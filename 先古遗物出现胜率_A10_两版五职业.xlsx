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efe5a254a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552026555ba49e7"/>
    <x:sheet xmlns:r="http://schemas.openxmlformats.org/officeDocument/2006/relationships" name="全量明细" sheetId="2" r:id="R9fdc7531180c4f49"/>
    <x:sheet xmlns:r="http://schemas.openxmlformats.org/officeDocument/2006/relationships" name="铁甲战士" sheetId="3" r:id="Rd186db2b3e954fd6"/>
    <x:sheet xmlns:r="http://schemas.openxmlformats.org/officeDocument/2006/relationships" name="静默猎手" sheetId="4" r:id="R5b6d48e745d4458e"/>
    <x:sheet xmlns:r="http://schemas.openxmlformats.org/officeDocument/2006/relationships" name="故障机器人" sheetId="5" r:id="Rff1594a786534481"/>
    <x:sheet xmlns:r="http://schemas.openxmlformats.org/officeDocument/2006/relationships" name="亡灵契约师" sheetId="6" r:id="R3d9eb2e1b5f948b6"/>
    <x:sheet xmlns:r="http://schemas.openxmlformats.org/officeDocument/2006/relationships" name="储君" sheetId="7" r:id="Rceb8567c1b604c66"/>
    <x:sheet xmlns:r="http://schemas.openxmlformats.org/officeDocument/2006/relationships" name="未归入先古" sheetId="8" r:id="R1b0630f91bed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+0.00;-0.00;0.00"/>
    <x:numFmt numFmtId="203" formatCode="#,##0.0"/>
  </x:numFmts>
  <x:fonts count="7">
    <x:font>
      <x:sz val="11"/>
      <x:name val="Carlito"/>
    </x:font>
    <x:font>
      <x:sz val="10"/>
      <x:color rgb="FF20323E"/>
      <x:name val="Microsoft YaHei"/>
    </x:font>
    <x:font>
      <x:b/>
      <x:sz val="19"/>
      <x:color rgb="FFFFFFFF"/>
      <x:name val="Microsoft YaHei"/>
    </x:font>
    <x:font>
      <x:sz val="10"/>
      <x:color rgb="FF52616B"/>
      <x:name val="Microsoft YaHei"/>
    </x:font>
    <x:font>
      <x:b/>
      <x:sz val="10"/>
      <x:color rgb="FFFFFFFF"/>
      <x:name val="Microsoft YaHei"/>
    </x:font>
    <x:font>
      <x:sz val="10"/>
      <x:color rgb="FF087F8C"/>
      <x:name val="Microsoft YaHei"/>
    </x:font>
    <x:font>
      <x:b/>
      <x:sz val="10"/>
      <x:color rgb="FF087F8C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83447"/>
      </x:patternFill>
    </x:fill>
    <x:fill>
      <x:patternFill patternType="solid">
        <x:fgColor rgb="FFE8F4F5"/>
      </x:patternFill>
    </x:fill>
    <x:fill>
      <x:patternFill patternType="solid">
        <x:fgColor rgb="FFFFF0D6"/>
      </x:patternFill>
    </x:fill>
    <x:fill>
      <x:patternFill patternType="solid">
        <x:fgColor rgb="FF355D72"/>
      </x:patternFill>
    </x:fill>
    <x:fill>
      <x:patternFill patternType="solid">
        <x:fgColor rgb="FF087F8C"/>
      </x:patternFill>
    </x:fill>
  </x:fills>
  <x:borders count="2">
    <x:border/>
    <x:border>
      <x:top style="medium">
        <x:color rgb="FF719CA7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6" fillId="3" borderId="1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f6d668a3e4a1b" /><Relationship Type="http://schemas.openxmlformats.org/officeDocument/2006/relationships/theme" Target="/xl/theme/theme1.xml" Id="R573e03befd3f4146" /><Relationship Type="http://schemas.openxmlformats.org/officeDocument/2006/relationships/sharedStrings" Target="/xl/sharedStrings.xml" Id="Rcde20e52bc8e4b1c" /><Relationship Type="http://schemas.openxmlformats.org/officeDocument/2006/relationships/worksheet" Target="/xl/worksheets/sheet1.xml" Id="R5552026555ba49e7" /><Relationship Type="http://schemas.openxmlformats.org/officeDocument/2006/relationships/worksheet" Target="/xl/worksheets/sheet2.xml" Id="R9fdc7531180c4f49" /><Relationship Type="http://schemas.openxmlformats.org/officeDocument/2006/relationships/worksheet" Target="/xl/worksheets/sheet3.xml" Id="Rd186db2b3e954fd6" /><Relationship Type="http://schemas.openxmlformats.org/officeDocument/2006/relationships/worksheet" Target="/xl/worksheets/sheet4.xml" Id="R5b6d48e745d4458e" /><Relationship Type="http://schemas.openxmlformats.org/officeDocument/2006/relationships/worksheet" Target="/xl/worksheets/sheet5.xml" Id="Rff1594a786534481" /><Relationship Type="http://schemas.openxmlformats.org/officeDocument/2006/relationships/worksheet" Target="/xl/worksheets/sheet6.xml" Id="R3d9eb2e1b5f948b6" /><Relationship Type="http://schemas.openxmlformats.org/officeDocument/2006/relationships/worksheet" Target="/xl/worksheets/sheet7.xml" Id="Rceb8567c1b604c66" /><Relationship Type="http://schemas.openxmlformats.org/officeDocument/2006/relationships/worksheet" Target="/xl/worksheets/sheet8.xml" Id="R1b0630f91bed4687" /></Relationships>
</file>

<file path=xl/tables/table1.xml><?xml version="1.0" encoding="utf-8"?>
<x:table xmlns:x="http://schemas.openxmlformats.org/spreadsheetml/2006/main" id="1" name="AllAncientRelics" displayName="AllAncientRelics" ref="A4:P999" headerRowCount="1" totalsRowCount="0" totalsRowShown="0">
  <x:autoFilter ref="A4:P999"/>
  <x:tableColumns count="16">
    <x:tableColumn id="1" name="版本"/>
    <x:tableColumn id="2" name="职业"/>
    <x:tableColumn id="3" name="先古之民"/>
    <x:tableColumn id="4" name="遗物"/>
    <x:tableColumn id="5" name="出现胜率&#10;近似值"/>
    <x:tableColumn id="6" name="出现次数&#10;网站口径"/>
    <x:tableColumn id="7" name="选取率"/>
    <x:tableColumn id="8" name="选择后胜率"/>
    <x:tableColumn id="9" name="跳过后胜率"/>
    <x:tableColumn id="10" name="选跳差&#10;百分点"/>
    <x:tableColumn id="11" name="网站原始差值&#10;百分点"/>
    <x:tableColumn id="12" name="选取次数&#10;估算"/>
    <x:tableColumn id="13" name="跳过次数&#10;估算"/>
    <x:tableColumn id="14" name="备注"/>
    <x:tableColumn id="15" name="数据来源"/>
    <x:tableColumn id="16" name="分组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lass_IRONCLAD" displayName="Class_IRONCLAD" ref="A4:P105" headerRowCount="1" totalsRowCount="0" totalsRowShown="0">
  <x:autoFilter ref="A4:P105"/>
  <x:tableColumns count="16">
    <x:tableColumn id="1" name="先古之民"/>
    <x:tableColumn id="2" name="遗物"/>
    <x:tableColumn id="3" name="0.107&#10;出现胜率"/>
    <x:tableColumn id="4" name="0.107&#10;出现次数"/>
    <x:tableColumn id="5" name="0.107&#10;选取率"/>
    <x:tableColumn id="6" name="0.107&#10;选择后胜率"/>
    <x:tableColumn id="7" name="0.107&#10;跳过后胜率"/>
    <x:tableColumn id="8" name="0.107&#10;选跳差(pp)"/>
    <x:tableColumn id="9" name="0.111&#10;出现胜率"/>
    <x:tableColumn id="10" name="0.111&#10;出现次数"/>
    <x:tableColumn id="11" name="0.111&#10;选取率"/>
    <x:tableColumn id="12" name="0.111&#10;选择后胜率"/>
    <x:tableColumn id="13" name="0.111&#10;跳过后胜率"/>
    <x:tableColumn id="14" name="0.111&#10;选跳差(pp)"/>
    <x:tableColumn id="15" name="出现胜率变化&#10;0.111−0.107(pp)"/>
    <x:tableColumn id="16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lass_SILENT" displayName="Class_SILENT" ref="A4:P105" headerRowCount="1" totalsRowCount="0" totalsRowShown="0">
  <x:autoFilter ref="A4:P105"/>
  <x:tableColumns count="16">
    <x:tableColumn id="1" name="先古之民"/>
    <x:tableColumn id="2" name="遗物"/>
    <x:tableColumn id="3" name="0.107&#10;出现胜率"/>
    <x:tableColumn id="4" name="0.107&#10;出现次数"/>
    <x:tableColumn id="5" name="0.107&#10;选取率"/>
    <x:tableColumn id="6" name="0.107&#10;选择后胜率"/>
    <x:tableColumn id="7" name="0.107&#10;跳过后胜率"/>
    <x:tableColumn id="8" name="0.107&#10;选跳差(pp)"/>
    <x:tableColumn id="9" name="0.111&#10;出现胜率"/>
    <x:tableColumn id="10" name="0.111&#10;出现次数"/>
    <x:tableColumn id="11" name="0.111&#10;选取率"/>
    <x:tableColumn id="12" name="0.111&#10;选择后胜率"/>
    <x:tableColumn id="13" name="0.111&#10;跳过后胜率"/>
    <x:tableColumn id="14" name="0.111&#10;选跳差(pp)"/>
    <x:tableColumn id="15" name="出现胜率变化&#10;0.111−0.107(pp)"/>
    <x:tableColumn id="16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Class_DEFECT" displayName="Class_DEFECT" ref="A4:P105" headerRowCount="1" totalsRowCount="0" totalsRowShown="0">
  <x:autoFilter ref="A4:P105"/>
  <x:tableColumns count="16">
    <x:tableColumn id="1" name="先古之民"/>
    <x:tableColumn id="2" name="遗物"/>
    <x:tableColumn id="3" name="0.107&#10;出现胜率"/>
    <x:tableColumn id="4" name="0.107&#10;出现次数"/>
    <x:tableColumn id="5" name="0.107&#10;选取率"/>
    <x:tableColumn id="6" name="0.107&#10;选择后胜率"/>
    <x:tableColumn id="7" name="0.107&#10;跳过后胜率"/>
    <x:tableColumn id="8" name="0.107&#10;选跳差(pp)"/>
    <x:tableColumn id="9" name="0.111&#10;出现胜率"/>
    <x:tableColumn id="10" name="0.111&#10;出现次数"/>
    <x:tableColumn id="11" name="0.111&#10;选取率"/>
    <x:tableColumn id="12" name="0.111&#10;选择后胜率"/>
    <x:tableColumn id="13" name="0.111&#10;跳过后胜率"/>
    <x:tableColumn id="14" name="0.111&#10;选跳差(pp)"/>
    <x:tableColumn id="15" name="出现胜率变化&#10;0.111−0.107(pp)"/>
    <x:tableColumn id="16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Class_NECROBINDER" displayName="Class_NECROBINDER" ref="A4:P105" headerRowCount="1" totalsRowCount="0" totalsRowShown="0">
  <x:autoFilter ref="A4:P105"/>
  <x:tableColumns count="16">
    <x:tableColumn id="1" name="先古之民"/>
    <x:tableColumn id="2" name="遗物"/>
    <x:tableColumn id="3" name="0.107&#10;出现胜率"/>
    <x:tableColumn id="4" name="0.107&#10;出现次数"/>
    <x:tableColumn id="5" name="0.107&#10;选取率"/>
    <x:tableColumn id="6" name="0.107&#10;选择后胜率"/>
    <x:tableColumn id="7" name="0.107&#10;跳过后胜率"/>
    <x:tableColumn id="8" name="0.107&#10;选跳差(pp)"/>
    <x:tableColumn id="9" name="0.111&#10;出现胜率"/>
    <x:tableColumn id="10" name="0.111&#10;出现次数"/>
    <x:tableColumn id="11" name="0.111&#10;选取率"/>
    <x:tableColumn id="12" name="0.111&#10;选择后胜率"/>
    <x:tableColumn id="13" name="0.111&#10;跳过后胜率"/>
    <x:tableColumn id="14" name="0.111&#10;选跳差(pp)"/>
    <x:tableColumn id="15" name="出现胜率变化&#10;0.111−0.107(pp)"/>
    <x:tableColumn id="16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Class_REGENT" displayName="Class_REGENT" ref="A4:P105" headerRowCount="1" totalsRowCount="0" totalsRowShown="0">
  <x:autoFilter ref="A4:P105"/>
  <x:tableColumns count="16">
    <x:tableColumn id="1" name="先古之民"/>
    <x:tableColumn id="2" name="遗物"/>
    <x:tableColumn id="3" name="0.107&#10;出现胜率"/>
    <x:tableColumn id="4" name="0.107&#10;出现次数"/>
    <x:tableColumn id="5" name="0.107&#10;选取率"/>
    <x:tableColumn id="6" name="0.107&#10;选择后胜率"/>
    <x:tableColumn id="7" name="0.107&#10;跳过后胜率"/>
    <x:tableColumn id="8" name="0.107&#10;选跳差(pp)"/>
    <x:tableColumn id="9" name="0.111&#10;出现胜率"/>
    <x:tableColumn id="10" name="0.111&#10;出现次数"/>
    <x:tableColumn id="11" name="0.111&#10;选取率"/>
    <x:tableColumn id="12" name="0.111&#10;选择后胜率"/>
    <x:tableColumn id="13" name="0.111&#10;跳过后胜率"/>
    <x:tableColumn id="14" name="0.111&#10;选跳差(pp)"/>
    <x:tableColumn id="15" name="出现胜率变化&#10;0.111−0.107(pp)"/>
    <x:tableColumn id="16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UnassignedRelics" displayName="UnassignedRelics" ref="A4:P59" headerRowCount="1" totalsRowCount="0" totalsRowShown="0">
  <x:autoFilter ref="A4:P59"/>
  <x:tableColumns count="16">
    <x:tableColumn id="1" name="版本"/>
    <x:tableColumn id="2" name="职业"/>
    <x:tableColumn id="3" name="先古之民"/>
    <x:tableColumn id="4" name="遗物"/>
    <x:tableColumn id="5" name="出现胜率&#10;近似值"/>
    <x:tableColumn id="6" name="出现次数&#10;网站口径"/>
    <x:tableColumn id="7" name="选取率"/>
    <x:tableColumn id="8" name="选择后胜率"/>
    <x:tableColumn id="9" name="跳过后胜率"/>
    <x:tableColumn id="10" name="选跳差&#10;百分点"/>
    <x:tableColumn id="11" name="网站原始差值&#10;百分点"/>
    <x:tableColumn id="12" name="选取次数&#10;估算"/>
    <x:tableColumn id="13" name="跳过次数&#10;估算"/>
    <x:tableColumn id="14" name="备注"/>
    <x:tableColumn id="15" name="数据来源"/>
    <x:tableColumn id="16" name="分组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f5903b7e2d43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e4183c70ac43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442216407a47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345505360f40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cd398b85a24c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efc76a18f047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4c92c649684877" /></Relationships>
</file>

<file path=xl/worksheets/sheet1.xml><?xml version="1.0" encoding="utf-8"?>
<x:worksheet xmlns:x="http://schemas.openxmlformats.org/spreadsheetml/2006/main">
  <x:sheetPr>
    <x:tabColor rgb="FF18344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3" customHeight="1">
      <x:c r="A1" s="4" t="str">
        <x:v>先古遗物出现胜率 · 计算说明</x:v>
      </x:c>
      <x:c r="B1" s="4"/>
      <x:c r="C1" s="4"/>
      <x:c r="D1" s="4"/>
      <x:c r="E1" s="4"/>
      <x:c r="F1" s="4"/>
      <x:c r="G1" s="4"/>
      <x:c r="H1" s="4"/>
    </x:row>
    <x:row r="2" ht="25" customHeight="1">
      <x:c r="A2" s="2"/>
      <x:c r="B2" s="2"/>
      <x:c r="C2" s="2"/>
      <x:c r="D2" s="2"/>
      <x:c r="E2" s="2"/>
      <x:c r="F2" s="2"/>
      <x:c r="G2" s="2"/>
      <x:c r="H2" s="2"/>
    </x:row>
    <x:row r="3" ht="25" customHeight="1">
      <x:c r="A3" s="2"/>
      <x:c r="B3" s="2"/>
      <x:c r="C3" s="2"/>
      <x:c r="D3" s="2"/>
      <x:c r="E3" s="2"/>
      <x:c r="F3" s="2"/>
      <x:c r="G3" s="2"/>
      <x:c r="H3" s="2"/>
    </x:row>
    <x:row r="4" ht="55" customHeight="1">
      <x:c r="A4" s="34" t="str">
        <x:v>统计范围</x:v>
      </x:c>
      <x:c r="B4" s="35"/>
      <x:c r="C4" s="17" t="str">
        <x:v>v0.107（正式版）、v0.111；最高进阶 A10；单人；标准模式。采集日期：2026-09-17。</x:v>
      </x:c>
      <x:c r="D4" s="17"/>
      <x:c r="E4" s="17"/>
      <x:c r="F4" s="17"/>
      <x:c r="G4" s="17"/>
      <x:c r="H4" s="17"/>
    </x:row>
    <x:row r="5" ht="55" customHeight="1">
      <x:c r="A5" s="34" t="str">
        <x:v>出现胜率的定义</x:v>
      </x:c>
      <x:c r="B5" s="35"/>
      <x:c r="C5" s="17" t="str">
        <x:v>某个选项出现在备选列表里的所有对局，不管玩家最后选没选它，都计入该组；出现胜率＝这一组最终获胜的局数÷这一组总局数。</x:v>
      </x:c>
      <x:c r="D5" s="17"/>
      <x:c r="E5" s="17"/>
      <x:c r="F5" s="17"/>
      <x:c r="G5" s="17"/>
      <x:c r="H5" s="17"/>
    </x:row>
    <x:row r="6" ht="55" customHeight="1">
      <x:c r="A6" s="34" t="str">
        <x:v>本次重建公式</x:v>
      </x:c>
      <x:c r="B6" s="35"/>
      <x:c r="C6" s="17" t="str">
        <x:v>出现胜率 ≈ 选取率×选择后胜率＋(1−选取率)×跳过后胜率。显示百分比已经四舍五入，无法恢复精确胜局数。</x:v>
      </x:c>
      <x:c r="D6" s="17"/>
      <x:c r="E6" s="17"/>
      <x:c r="F6" s="17"/>
      <x:c r="G6" s="17"/>
      <x:c r="H6" s="17"/>
    </x:row>
    <x:row r="7" ht="55" customHeight="1">
      <x:c r="A7" s="34" t="str">
        <x:v>选跳差</x:v>
      </x:c>
      <x:c r="B7" s="35"/>
      <x:c r="C7" s="17" t="str">
        <x:v>选择后胜率−跳过后胜率，单位为百分点（pp）。本表重新计算，不直接使用网站“胜率差”列。</x:v>
      </x:c>
      <x:c r="D7" s="17"/>
      <x:c r="E7" s="17"/>
      <x:c r="F7" s="17"/>
      <x:c r="G7" s="17"/>
      <x:c r="H7" s="17"/>
    </x:row>
    <x:row r="8" ht="55" customHeight="1">
      <x:c r="A8" s="34" t="str">
        <x:v>网站原始差值</x:v>
      </x:c>
      <x:c r="B8" s="35"/>
      <x:c r="C8" s="17" t="str">
        <x:v>网站“胜率差”的显示值另列保留。可观察到其与本表定义的选跳差不同；本次未将它当作选跳差。</x:v>
      </x:c>
      <x:c r="D8" s="17"/>
      <x:c r="E8" s="17"/>
      <x:c r="F8" s="17"/>
      <x:c r="G8" s="17"/>
      <x:c r="H8" s="17"/>
    </x:row>
    <x:row r="9" ht="55" customHeight="1">
      <x:c r="A9" s="34" t="str">
        <x:v>出现次数的口径</x:v>
      </x:c>
      <x:c r="B9" s="35"/>
      <x:c r="C9" s="17" t="str">
        <x:v>沿用网站“出现次数”。缺少逐局去重记录，不能确认每项计数一定等于不同对局数；不同遗物的出现次数不可相加当成总对局数。</x:v>
      </x:c>
      <x:c r="D9" s="17"/>
      <x:c r="E9" s="17"/>
      <x:c r="F9" s="17"/>
      <x:c r="G9" s="17"/>
      <x:c r="H9" s="17"/>
    </x:row>
    <x:row r="10" ht="55" customHeight="1">
      <x:c r="A10" s="34" t="str">
        <x:v>估算分组计数</x:v>
      </x:c>
      <x:c r="B10" s="35"/>
      <x:c r="C10" s="17" t="str">
        <x:v>选取次数估算＝出现次数×选取率；跳过次数估算＝出现次数−选取次数估算。并非网站提供的精确整数计数。</x:v>
      </x:c>
      <x:c r="D10" s="17"/>
      <x:c r="E10" s="17"/>
      <x:c r="F10" s="17"/>
      <x:c r="G10" s="17"/>
      <x:c r="H10" s="17"/>
    </x:row>
    <x:row r="11" ht="55" customHeight="1">
      <x:c r="A11" s="34" t="str">
        <x:v>零占比 / 缺失</x:v>
      </x:c>
      <x:c r="B11" s="35"/>
      <x:c r="C11" s="17" t="str">
        <x:v>一组占比显示为零时，该组胜率和选跳差留空；出现胜率使用另一组。某版本未出现的遗物保留空白，不填零。</x:v>
      </x:c>
      <x:c r="D11" s="17"/>
      <x:c r="E11" s="17"/>
      <x:c r="F11" s="17"/>
      <x:c r="G11" s="17"/>
      <x:c r="H11" s="17"/>
    </x:row>
    <x:row r="12" ht="55" customHeight="1">
      <x:c r="A12" s="34" t="str">
        <x:v>分组与附表</x:v>
      </x:c>
      <x:c r="B12" s="35"/>
      <x:c r="C12" s="17" t="str">
        <x:v>共 995 条先古遗物记录，按八位先古之民分组；网站古代页另有 55 条未归入先古的记录，保存在附表供核查。</x:v>
      </x:c>
      <x:c r="D12" s="17"/>
      <x:c r="E12" s="17"/>
      <x:c r="F12" s="17"/>
      <x:c r="G12" s="17"/>
      <x:c r="H12" s="17"/>
    </x:row>
    <x:row r="13" ht="55" customHeight="1">
      <x:c r="A13" s="34" t="str">
        <x:v>如何比较</x:v>
      </x:c>
      <x:c r="B13" s="35"/>
      <x:c r="C13" s="17" t="str">
        <x:v>先在同版本、同职业、同先古之民中查看，并留意提供条件和同屏选项。后续先古的数据以存活到该事件为前提，不跨先古直接比较绝对值。</x:v>
      </x:c>
      <x:c r="D13" s="17"/>
      <x:c r="E13" s="17"/>
      <x:c r="F13" s="17"/>
      <x:c r="G13" s="17"/>
      <x:c r="H13" s="17"/>
    </x:row>
    <x:row r="14" ht="55" customHeight="1">
      <x:c r="A14" s="34" t="str">
        <x:v>达弗的特殊口径</x:v>
      </x:c>
      <x:c r="B14" s="35"/>
      <x:c r="C14" s="17" t="str">
        <x:v>同一先古之民可能出现在不同幕，部分遗物的提供条件又随版本变化。该组混合不同幕，不能直接解读为遗物的纯强度排序。</x:v>
      </x:c>
      <x:c r="D14" s="17"/>
      <x:c r="E14" s="17"/>
      <x:c r="F14" s="17"/>
      <x:c r="G14" s="17"/>
      <x:c r="H14" s="17"/>
    </x:row>
    <x:row r="15" ht="55" customHeight="1">
      <x:c r="A15" s="34" t="str">
        <x:v>与 ITT 的关系</x:v>
      </x:c>
      <x:c r="B15" s="35"/>
      <x:c r="C15" s="17" t="str">
        <x:v>本表是“被提供这个选项”一组的胜率估计。要称为 ITT 效应，还需要可比的随机分配组或未出现组作差；单独一个出现胜率不是 ITT 效应。</x:v>
      </x:c>
      <x:c r="D15" s="17"/>
      <x:c r="E15" s="17"/>
      <x:c r="F15" s="17"/>
      <x:c r="G15" s="17"/>
      <x:c r="H15" s="17"/>
    </x:row>
    <x:row r="16" ht="55" customHeight="1">
      <x:c r="A16" s="34" t="str">
        <x:v>玩家策略仍参与结果</x:v>
      </x:c>
      <x:c r="B16" s="35"/>
      <x:c r="C16" s="17" t="str">
        <x:v>合并选取与跳过可减少按玩家实际选择分组产生的选择偏差；指标仍反映当前玩家策略、搭配及选项池，不能声称完全排除玩家影响。</x:v>
      </x:c>
      <x:c r="D16" s="17"/>
      <x:c r="E16" s="17"/>
      <x:c r="F16" s="17"/>
      <x:c r="G16" s="17"/>
      <x:c r="H16" s="17"/>
    </x:row>
    <x:row r="17" ht="55" customHeight="1">
      <x:c r="A17" s="34" t="str">
        <x:v>小样本与版本差</x:v>
      </x:c>
      <x:c r="B17" s="35"/>
      <x:c r="C17" s="17" t="str">
        <x:v>出现次数&lt;100标为浅橙色；本次五条均为旧版巨大卷轴。版本差也受玩家和样本构成影响，不等于版本改动的因果效果。</x:v>
      </x:c>
      <x:c r="D17" s="17"/>
      <x:c r="E17" s="17"/>
      <x:c r="F17" s="17"/>
      <x:c r="G17" s="17"/>
      <x:c r="H17" s="17"/>
    </x:row>
    <x:row r="18" ht="55" customHeight="1">
      <x:c r="A18" s="34" t="str">
        <x:v>数据与分组来源</x:v>
      </x:c>
      <x:c r="B18" s="35"/>
      <x:c r="C18" s="17" t="str">
        <x:v>统计：https://sts2log.com/cards；分组：https://slaythespire2.net/ancient 及 OP.GG 事件目录；逐条来源见全量明细 O/P 列。</x:v>
      </x:c>
      <x:c r="D18" s="17"/>
      <x:c r="E18" s="17"/>
      <x:c r="F18" s="17"/>
      <x:c r="G18" s="17"/>
      <x:c r="H18" s="17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</x:row>
    <x:row r="21" ht="25" customHeight="1">
      <x:c r="A21" s="7" t="str">
        <x:v>版本</x:v>
      </x:c>
      <x:c r="B21" s="7" t="str">
        <x:v>职业</x:v>
      </x:c>
      <x:c r="C21" s="7" t="str">
        <x:v>网站原始条数</x:v>
      </x:c>
      <x:c r="D21" s="7" t="str">
        <x:v>先古记录条数</x:v>
      </x:c>
      <x:c r="E21" s="7" t="str">
        <x:v>附表条数</x:v>
      </x:c>
      <x:c r="F21" s="7" t="str">
        <x:v>数据文件</x:v>
      </x:c>
      <x:c r="G21" s="7"/>
      <x:c r="H21" s="7"/>
    </x:row>
    <x:row r="22" ht="25" customHeight="1">
      <x:c r="A22" s="2" t="str">
        <x:v>v0.107</x:v>
      </x:c>
      <x:c r="B22" s="2" t="str">
        <x:v>铁甲战士</x:v>
      </x:c>
      <x:c r="C22" s="2" t="n">
        <x:v>113</x:v>
      </x:c>
      <x:c r="D22" s="2" t="n">
        <x:v>99</x:v>
      </x:c>
      <x:c r="E22" s="2" t="n">
        <x:v>14</x:v>
      </x:c>
      <x:c r="F22" s="2" t="str">
        <x:v>v0107_IRONCLAD.json</x:v>
      </x:c>
      <x:c r="G22" s="2"/>
      <x:c r="H22" s="2"/>
    </x:row>
    <x:row r="23" ht="25" customHeight="1">
      <x:c r="A23" s="2" t="str">
        <x:v>v0.107</x:v>
      </x:c>
      <x:c r="B23" s="2" t="str">
        <x:v>静默猎手</x:v>
      </x:c>
      <x:c r="C23" s="2" t="n">
        <x:v>107</x:v>
      </x:c>
      <x:c r="D23" s="2" t="n">
        <x:v>99</x:v>
      </x:c>
      <x:c r="E23" s="2" t="n">
        <x:v>8</x:v>
      </x:c>
      <x:c r="F23" s="2" t="str">
        <x:v>v0107_SILENT.json</x:v>
      </x:c>
      <x:c r="G23" s="2"/>
      <x:c r="H23" s="2"/>
    </x:row>
    <x:row r="24" ht="25" customHeight="1">
      <x:c r="A24" s="2" t="str">
        <x:v>v0.107</x:v>
      </x:c>
      <x:c r="B24" s="2" t="str">
        <x:v>故障机器人</x:v>
      </x:c>
      <x:c r="C24" s="2" t="n">
        <x:v>106</x:v>
      </x:c>
      <x:c r="D24" s="2" t="n">
        <x:v>99</x:v>
      </x:c>
      <x:c r="E24" s="2" t="n">
        <x:v>7</x:v>
      </x:c>
      <x:c r="F24" s="2" t="str">
        <x:v>v0107_DEFECT.json</x:v>
      </x:c>
      <x:c r="G24" s="2"/>
      <x:c r="H24" s="2"/>
    </x:row>
    <x:row r="25" ht="25" customHeight="1">
      <x:c r="A25" s="2" t="str">
        <x:v>v0.107</x:v>
      </x:c>
      <x:c r="B25" s="2" t="str">
        <x:v>亡灵契约师</x:v>
      </x:c>
      <x:c r="C25" s="2" t="n">
        <x:v>102</x:v>
      </x:c>
      <x:c r="D25" s="2" t="n">
        <x:v>99</x:v>
      </x:c>
      <x:c r="E25" s="2" t="n">
        <x:v>3</x:v>
      </x:c>
      <x:c r="F25" s="2" t="str">
        <x:v>v0107_NECROBINDER.json</x:v>
      </x:c>
      <x:c r="G25" s="2"/>
      <x:c r="H25" s="2"/>
    </x:row>
    <x:row r="26" ht="25" customHeight="1">
      <x:c r="A26" s="2" t="str">
        <x:v>v0.107</x:v>
      </x:c>
      <x:c r="B26" s="2" t="str">
        <x:v>储君</x:v>
      </x:c>
      <x:c r="C26" s="2" t="n">
        <x:v>111</x:v>
      </x:c>
      <x:c r="D26" s="2" t="n">
        <x:v>99</x:v>
      </x:c>
      <x:c r="E26" s="2" t="n">
        <x:v>12</x:v>
      </x:c>
      <x:c r="F26" s="2" t="str">
        <x:v>v0107_REGENT.json</x:v>
      </x:c>
      <x:c r="G26" s="2"/>
      <x:c r="H26" s="2"/>
    </x:row>
    <x:row r="27" ht="25" customHeight="1">
      <x:c r="A27" s="2" t="str">
        <x:v>v0.111</x:v>
      </x:c>
      <x:c r="B27" s="2" t="str">
        <x:v>铁甲战士</x:v>
      </x:c>
      <x:c r="C27" s="2" t="n">
        <x:v>104</x:v>
      </x:c>
      <x:c r="D27" s="2" t="n">
        <x:v>100</x:v>
      </x:c>
      <x:c r="E27" s="2" t="n">
        <x:v>4</x:v>
      </x:c>
      <x:c r="F27" s="2" t="str">
        <x:v>v0111_IRONCLAD.json</x:v>
      </x:c>
      <x:c r="G27" s="2"/>
      <x:c r="H27" s="2"/>
    </x:row>
    <x:row r="28" ht="25" customHeight="1">
      <x:c r="A28" s="2" t="str">
        <x:v>v0.111</x:v>
      </x:c>
      <x:c r="B28" s="2" t="str">
        <x:v>静默猎手</x:v>
      </x:c>
      <x:c r="C28" s="2" t="n">
        <x:v>103</x:v>
      </x:c>
      <x:c r="D28" s="2" t="n">
        <x:v>100</x:v>
      </x:c>
      <x:c r="E28" s="2" t="n">
        <x:v>3</x:v>
      </x:c>
      <x:c r="F28" s="2" t="str">
        <x:v>v0111_SILENT.json</x:v>
      </x:c>
      <x:c r="G28" s="2"/>
      <x:c r="H28" s="2"/>
    </x:row>
    <x:row r="29" ht="25" customHeight="1">
      <x:c r="A29" s="2" t="str">
        <x:v>v0.111</x:v>
      </x:c>
      <x:c r="B29" s="2" t="str">
        <x:v>故障机器人</x:v>
      </x:c>
      <x:c r="C29" s="2" t="n">
        <x:v>100</x:v>
      </x:c>
      <x:c r="D29" s="2" t="n">
        <x:v>100</x:v>
      </x:c>
      <x:c r="E29" s="2" t="n">
        <x:v>0</x:v>
      </x:c>
      <x:c r="F29" s="2" t="str">
        <x:v>v0111_DEFECT.json</x:v>
      </x:c>
      <x:c r="G29" s="2"/>
      <x:c r="H29" s="2"/>
    </x:row>
    <x:row r="30" ht="25" customHeight="1">
      <x:c r="A30" s="2" t="str">
        <x:v>v0.111</x:v>
      </x:c>
      <x:c r="B30" s="2" t="str">
        <x:v>亡灵契约师</x:v>
      </x:c>
      <x:c r="C30" s="2" t="n">
        <x:v>102</x:v>
      </x:c>
      <x:c r="D30" s="2" t="n">
        <x:v>100</x:v>
      </x:c>
      <x:c r="E30" s="2" t="n">
        <x:v>2</x:v>
      </x:c>
      <x:c r="F30" s="2" t="str">
        <x:v>v0111_NECROBINDER.json</x:v>
      </x:c>
      <x:c r="G30" s="2"/>
      <x:c r="H30" s="2"/>
    </x:row>
    <x:row r="31" ht="25" customHeight="1">
      <x:c r="A31" s="2" t="str">
        <x:v>v0.111</x:v>
      </x:c>
      <x:c r="B31" s="2" t="str">
        <x:v>储君</x:v>
      </x:c>
      <x:c r="C31" s="2" t="n">
        <x:v>102</x:v>
      </x:c>
      <x:c r="D31" s="2" t="n">
        <x:v>100</x:v>
      </x:c>
      <x:c r="E31" s="2" t="n">
        <x:v>2</x:v>
      </x:c>
      <x:c r="F31" s="2" t="str">
        <x:v>v0111_REGENT.json</x:v>
      </x:c>
      <x:c r="G31" s="2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25" customHeight="1">
      <x:c r="A34" s="17" t="str">
        <x:v>阅读顺序：先看各职业的两版对照，再用全量明细筛选、排序；图册按先古之民呈现五职业数据。没有计算跨遗物“职业总出现胜率”，避免重复计数和条件混合。</x:v>
      </x:c>
      <x:c r="B34" s="17"/>
      <x:c r="C34" s="17"/>
      <x:c r="D34" s="17"/>
      <x:c r="E34" s="17"/>
      <x:c r="F34" s="17"/>
      <x:c r="G34" s="17"/>
      <x:c r="H34" s="17"/>
    </x:row>
    <x:row r="35" ht="25" customHeight="1">
      <x:c r="A35" s="17"/>
      <x:c r="B35" s="17"/>
      <x:c r="C35" s="17"/>
      <x:c r="D35" s="17"/>
      <x:c r="E35" s="17"/>
      <x:c r="F35" s="17"/>
      <x:c r="G35" s="17"/>
      <x:c r="H35" s="17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</x:row>
  </x:sheetData>
  <x:mergeCells>
    <x:mergeCell ref="A1:H1"/>
    <x:mergeCell ref="A4:B4"/>
    <x:mergeCell ref="C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5:B15"/>
    <x:mergeCell ref="C15:H15"/>
    <x:mergeCell ref="A16:B16"/>
    <x:mergeCell ref="C16:H16"/>
    <x:mergeCell ref="A17:B17"/>
    <x:mergeCell ref="C17:H17"/>
    <x:mergeCell ref="A18:B18"/>
    <x:mergeCell ref="C18:H18"/>
    <x:mergeCell ref="F22:H22"/>
    <x:mergeCell ref="F23:H23"/>
    <x:mergeCell ref="F24:H24"/>
    <x:mergeCell ref="F25:H25"/>
    <x:mergeCell ref="F26:H26"/>
    <x:mergeCell ref="F27:H27"/>
    <x:mergeCell ref="F28:H28"/>
    <x:mergeCell ref="F29:H29"/>
    <x:mergeCell ref="F30:H30"/>
    <x:mergeCell ref="F31:H31"/>
    <x:mergeCell ref="A34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8C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22" hidden="0" customWidth="1"/>
    <x:col min="5" max="5" width="15" hidden="0" customWidth="1"/>
    <x:col min="6" max="6" width="16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9" hidden="0" customWidth="1"/>
    <x:col min="12" max="12" width="16" hidden="0" customWidth="1"/>
    <x:col min="13" max="13" width="16" hidden="0" customWidth="1"/>
    <x:col min="14" max="14" width="52" hidden="0" customWidth="1"/>
    <x:col min="15" max="15" width="39" hidden="0" customWidth="1"/>
    <x:col min="16" max="16" width="50" hidden="0" customWidth="1"/>
  </x:cols>
  <x:sheetData>
    <x:row r="1" ht="43" customHeight="1">
      <x:c r="A1" s="4" t="str">
        <x:v>先古遗物 · 全量计算明细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5" customHeight="1">
      <x:c r="A2" s="6" t="str">
        <x:v>A10｜单人｜标准模式｜995 条记录。出现胜率由网站显示值加权；绿色列为公式计算，计数估算不代表精确分组局数。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56" customHeight="1">
      <x:c r="A4" s="8" t="str">
        <x:v>版本</x:v>
      </x:c>
      <x:c r="B4" s="8" t="str">
        <x:v>职业</x:v>
      </x:c>
      <x:c r="C4" s="8" t="str">
        <x:v>先古之民</x:v>
      </x:c>
      <x:c r="D4" s="8" t="str">
        <x:v>遗物</x:v>
      </x:c>
      <x:c r="E4" s="8" t="str">
        <x:v>出现胜率
近似值</x:v>
      </x:c>
      <x:c r="F4" s="8" t="str">
        <x:v>出现次数
网站口径</x:v>
      </x:c>
      <x:c r="G4" s="8" t="str">
        <x:v>选取率</x:v>
      </x:c>
      <x:c r="H4" s="8" t="str">
        <x:v>选择后胜率</x:v>
      </x:c>
      <x:c r="I4" s="8" t="str">
        <x:v>跳过后胜率</x:v>
      </x:c>
      <x:c r="J4" s="8" t="str">
        <x:v>选跳差
百分点</x:v>
      </x:c>
      <x:c r="K4" s="8" t="str">
        <x:v>网站原始差值
百分点</x:v>
      </x:c>
      <x:c r="L4" s="8" t="str">
        <x:v>选取次数
估算</x:v>
      </x:c>
      <x:c r="M4" s="8" t="str">
        <x:v>跳过次数
估算</x:v>
      </x:c>
      <x:c r="N4" s="8" t="str">
        <x:v>备注</x:v>
      </x:c>
      <x:c r="O4" s="8" t="str">
        <x:v>数据来源</x:v>
      </x:c>
      <x:c r="P4" s="8" t="str">
        <x:v>分组依据</x:v>
      </x:c>
    </x:row>
    <x:row r="5" ht="25" customHeight="1">
      <x:c r="A5" s="2" t="str">
        <x:v>v0.107</x:v>
      </x:c>
      <x:c r="B5" s="2" t="str">
        <x:v>铁甲战士</x:v>
      </x:c>
      <x:c r="C5" s="2" t="str">
        <x:v>涅奥</x:v>
      </x:c>
      <x:c r="D5" s="2" t="str">
        <x:v>华美发束</x:v>
      </x:c>
      <x:c r="E5" s="16" t="n">
        <x:f>IF(G5=0,I5,IF(G5=1,H5,G5*H5+(1-G5)*I5))</x:f>
        <x:v>0.27591119999999997</x:v>
      </x:c>
      <x:c r="F5" s="12" t="n">
        <x:v>21026</x:v>
      </x:c>
      <x:c r="G5" s="11" t="n">
        <x:v>0.7924</x:v>
      </x:c>
      <x:c r="H5" s="11" t="n">
        <x:v>0.2838</x:v>
      </x:c>
      <x:c r="I5" s="11" t="n">
        <x:v>0.2458</x:v>
      </x:c>
      <x:c r="J5" s="13" t="n">
        <x:f>IF(OR(G5=0,G5=1),"",(H5-I5)*100)</x:f>
        <x:v>3.8000000000000007</x:v>
      </x:c>
      <x:c r="K5" s="14" t="n">
        <x:v>2.9</x:v>
      </x:c>
      <x:c r="L5" s="15" t="n">
        <x:f>F5*G5</x:f>
        <x:v>16661.0024</x:v>
      </x:c>
      <x:c r="M5" s="15" t="n">
        <x:f>F5-L5</x:f>
        <x:v>4364.997599999999</x:v>
      </x:c>
      <x:c r="N5" s="17" t="str"/>
      <x:c r="O5" s="17" t="str">
        <x:v>https://sts2log.com/cards</x:v>
      </x:c>
      <x:c r="P5" s="17" t="str">
        <x:v>https://slaythespire2.net/ancient/neow</x:v>
      </x:c>
    </x:row>
    <x:row r="6" ht="25" customHeight="1">
      <x:c r="A6" s="2" t="str">
        <x:v>v0.107</x:v>
      </x:c>
      <x:c r="B6" s="2" t="str">
        <x:v>铁甲战士</x:v>
      </x:c>
      <x:c r="C6" s="2" t="str">
        <x:v>涅奥</x:v>
      </x:c>
      <x:c r="D6" s="2" t="str">
        <x:v>树叶药膏</x:v>
      </x:c>
      <x:c r="E6" s="16" t="n">
        <x:f>IF(G6=0,I6,IF(G6=1,H6,G6*H6+(1-G6)*I6))</x:f>
        <x:v>0.27512776</x:v>
      </x:c>
      <x:c r="F6" s="12" t="n">
        <x:v>18494</x:v>
      </x:c>
      <x:c r="G6" s="11" t="n">
        <x:v>0.5882000000000001</x:v>
      </x:c>
      <x:c r="H6" s="11" t="n">
        <x:v>0.2944</x:v>
      </x:c>
      <x:c r="I6" s="11" t="n">
        <x:v>0.24760000000000001</x:v>
      </x:c>
      <x:c r="J6" s="13" t="n">
        <x:f>IF(OR(G6=0,G6=1),"",(H6-I6)*100)</x:f>
        <x:v>4.679999999999998</x:v>
      </x:c>
      <x:c r="K6" s="14" t="n">
        <x:v>3.96</x:v>
      </x:c>
      <x:c r="L6" s="15" t="n">
        <x:f>F6*G6</x:f>
        <x:v>10878.170800000002</x:v>
      </x:c>
      <x:c r="M6" s="15" t="n">
        <x:f>F6-L6</x:f>
        <x:v>7615.829199999998</x:v>
      </x:c>
      <x:c r="N6" s="17" t="str"/>
      <x:c r="O6" s="17" t="str">
        <x:v>https://sts2log.com/cards</x:v>
      </x:c>
      <x:c r="P6" s="17" t="str">
        <x:v>https://slaythespire2.net/ancient/neow</x:v>
      </x:c>
    </x:row>
    <x:row r="7" ht="25" customHeight="1">
      <x:c r="A7" s="2" t="str">
        <x:v>v0.107</x:v>
      </x:c>
      <x:c r="B7" s="2" t="str">
        <x:v>铁甲战士</x:v>
      </x:c>
      <x:c r="C7" s="2" t="str">
        <x:v>涅奥</x:v>
      </x:c>
      <x:c r="D7" s="2" t="str">
        <x:v>铅制镇纸</x:v>
      </x:c>
      <x:c r="E7" s="16" t="n">
        <x:f>IF(G7=0,I7,IF(G7=1,H7,G7*H7+(1-G7)*I7))</x:f>
        <x:v>0.26477819999999996</x:v>
      </x:c>
      <x:c r="F7" s="12" t="n">
        <x:v>20236</x:v>
      </x:c>
      <x:c r="G7" s="11" t="n">
        <x:v>0.3115</x:v>
      </x:c>
      <x:c r="H7" s="11" t="n">
        <x:v>0.297</x:v>
      </x:c>
      <x:c r="I7" s="11" t="n">
        <x:v>0.2502</x:v>
      </x:c>
      <x:c r="J7" s="13" t="n">
        <x:f>IF(OR(G7=0,G7=1),"",(H7-I7)*100)</x:f>
        <x:v>4.680000000000001</x:v>
      </x:c>
      <x:c r="K7" s="14" t="n">
        <x:v>4.22</x:v>
      </x:c>
      <x:c r="L7" s="15" t="n">
        <x:f>F7*G7</x:f>
        <x:v>6303.514</x:v>
      </x:c>
      <x:c r="M7" s="15" t="n">
        <x:f>F7-L7</x:f>
        <x:v>13932.486</x:v>
      </x:c>
      <x:c r="N7" s="17" t="str"/>
      <x:c r="O7" s="17" t="str">
        <x:v>https://sts2log.com/cards</x:v>
      </x:c>
      <x:c r="P7" s="17" t="str">
        <x:v>https://slaythespire2.net/ancient/neow</x:v>
      </x:c>
    </x:row>
    <x:row r="8" ht="25" customHeight="1">
      <x:c r="A8" s="2" t="str">
        <x:v>v0.107</x:v>
      </x:c>
      <x:c r="B8" s="2" t="str">
        <x:v>铁甲战士</x:v>
      </x:c>
      <x:c r="C8" s="2" t="str">
        <x:v>涅奥</x:v>
      </x:c>
      <x:c r="D8" s="2" t="str">
        <x:v>涅奥的苦痛</x:v>
      </x:c>
      <x:c r="E8" s="16" t="n">
        <x:f>IF(G8=0,I8,IF(G8=1,H8,G8*H8+(1-G8)*I8))</x:f>
        <x:v>0.26051825999999995</x:v>
      </x:c>
      <x:c r="F8" s="12" t="n">
        <x:v>19383</x:v>
      </x:c>
      <x:c r="G8" s="11" t="n">
        <x:v>0.0681</x:v>
      </x:c>
      <x:c r="H8" s="11" t="n">
        <x:v>0.3114</x:v>
      </x:c>
      <x:c r="I8" s="11" t="n">
        <x:v>0.2568</x:v>
      </x:c>
      <x:c r="J8" s="13" t="n">
        <x:f>IF(OR(G8=0,G8=1),"",(H8-I8)*100)</x:f>
        <x:v>5.4600000000000035</x:v>
      </x:c>
      <x:c r="K8" s="14" t="n">
        <x:v>5.66</x:v>
      </x:c>
      <x:c r="L8" s="15" t="n">
        <x:f>F8*G8</x:f>
        <x:v>1319.9823</x:v>
      </x:c>
      <x:c r="M8" s="15" t="n">
        <x:f>F8-L8</x:f>
        <x:v>18063.0177</x:v>
      </x:c>
      <x:c r="N8" s="17" t="str"/>
      <x:c r="O8" s="17" t="str">
        <x:v>https://sts2log.com/cards</x:v>
      </x:c>
      <x:c r="P8" s="17" t="str">
        <x:v>https://slaythespire2.net/ancient/neow</x:v>
      </x:c>
    </x:row>
    <x:row r="9" ht="25" customHeight="1">
      <x:c r="A9" s="2" t="str">
        <x:v>v0.107</x:v>
      </x:c>
      <x:c r="B9" s="2" t="str">
        <x:v>铁甲战士</x:v>
      </x:c>
      <x:c r="C9" s="2" t="str">
        <x:v>涅奥</x:v>
      </x:c>
      <x:c r="D9" s="2" t="str">
        <x:v>新叶</x:v>
      </x:c>
      <x:c r="E9" s="16" t="n">
        <x:f>IF(G9=0,I9,IF(G9=1,H9,G9*H9+(1-G9)*I9))</x:f>
        <x:v>0.26040080000000004</x:v>
      </x:c>
      <x:c r="F9" s="12" t="n">
        <x:v>17643</x:v>
      </x:c>
      <x:c r="G9" s="11" t="n">
        <x:v>0.32299999999999995</x:v>
      </x:c>
      <x:c r="H9" s="11" t="n">
        <x:v>0.2669</x:v>
      </x:c>
      <x:c r="I9" s="11" t="n">
        <x:v>0.25730000000000003</x:v>
      </x:c>
      <x:c r="J9" s="13" t="n">
        <x:f>IF(OR(G9=0,G9=1),"",(H9-I9)*100)</x:f>
        <x:v>0.9599999999999997</x:v>
      </x:c>
      <x:c r="K9" s="14" t="n">
        <x:v>1.21</x:v>
      </x:c>
      <x:c r="L9" s="15" t="n">
        <x:f>F9*G9</x:f>
        <x:v>5698.688999999999</x:v>
      </x:c>
      <x:c r="M9" s="15" t="n">
        <x:f>F9-L9</x:f>
        <x:v>11944.311000000002</x:v>
      </x:c>
      <x:c r="N9" s="17" t="str"/>
      <x:c r="O9" s="17" t="str">
        <x:v>https://sts2log.com/cards</x:v>
      </x:c>
      <x:c r="P9" s="17" t="str">
        <x:v>https://slaythespire2.net/ancient/neow</x:v>
      </x:c>
    </x:row>
    <x:row r="10" ht="25" customHeight="1">
      <x:c r="A10" s="2" t="str">
        <x:v>v0.107</x:v>
      </x:c>
      <x:c r="B10" s="2" t="str">
        <x:v>铁甲战士</x:v>
      </x:c>
      <x:c r="C10" s="2" t="str">
        <x:v>涅奥</x:v>
      </x:c>
      <x:c r="D10" s="2" t="str">
        <x:v>松动羊毛剪</x:v>
      </x:c>
      <x:c r="E10" s="16" t="n">
        <x:f>IF(G10=0,I10,IF(G10=1,H10,G10*H10+(1-G10)*I10))</x:f>
        <x:v>0.25969928</x:v>
      </x:c>
      <x:c r="F10" s="12" t="n">
        <x:v>17684</x:v>
      </x:c>
      <x:c r="G10" s="11" t="n">
        <x:v>0.2934</x:v>
      </x:c>
      <x:c r="H10" s="11" t="n">
        <x:v>0.2662</x:v>
      </x:c>
      <x:c r="I10" s="11" t="n">
        <x:v>0.257</x:v>
      </x:c>
      <x:c r="J10" s="13" t="n">
        <x:f>IF(OR(G10=0,G10=1),"",(H10-I10)*100)</x:f>
        <x:v>0.9199999999999986</x:v>
      </x:c>
      <x:c r="K10" s="14" t="n">
        <x:v>1.14</x:v>
      </x:c>
      <x:c r="L10" s="15" t="n">
        <x:f>F10*G10</x:f>
        <x:v>5188.4856</x:v>
      </x:c>
      <x:c r="M10" s="15" t="n">
        <x:f>F10-L10</x:f>
        <x:v>12495.5144</x:v>
      </x:c>
      <x:c r="N10" s="17" t="str"/>
      <x:c r="O10" s="17" t="str">
        <x:v>https://sts2log.com/cards</x:v>
      </x:c>
      <x:c r="P10" s="17" t="str">
        <x:v>https://slaythespire2.net/ancient/neow</x:v>
      </x:c>
    </x:row>
    <x:row r="11" ht="25" customHeight="1">
      <x:c r="A11" s="2" t="str">
        <x:v>v0.107</x:v>
      </x:c>
      <x:c r="B11" s="2" t="str">
        <x:v>铁甲战士</x:v>
      </x:c>
      <x:c r="C11" s="2" t="str">
        <x:v>涅奥</x:v>
      </x:c>
      <x:c r="D11" s="2" t="str">
        <x:v>石炉加湿器</x:v>
      </x:c>
      <x:c r="E11" s="16" t="n">
        <x:f>IF(G11=0,I11,IF(G11=1,H11,G11*H11+(1-G11)*I11))</x:f>
        <x:v>0.25823609999999997</x:v>
      </x:c>
      <x:c r="F11" s="12" t="n">
        <x:v>9620</x:v>
      </x:c>
      <x:c r="G11" s="11" t="n">
        <x:v>0.0958</x:v>
      </x:c>
      <x:c r="H11" s="11" t="n">
        <x:v>0.2397</x:v>
      </x:c>
      <x:c r="I11" s="11" t="n">
        <x:v>0.2602</x:v>
      </x:c>
      <x:c r="J11" s="13" t="n">
        <x:f>IF(OR(G11=0,G11=1),"",(H11-I11)*100)</x:f>
        <x:v>-2.049999999999999</x:v>
      </x:c>
      <x:c r="K11" s="14" t="n">
        <x:v>-1.51</x:v>
      </x:c>
      <x:c r="L11" s="15" t="n">
        <x:f>F11*G11</x:f>
        <x:v>921.596</x:v>
      </x:c>
      <x:c r="M11" s="15" t="n">
        <x:f>F11-L11</x:f>
        <x:v>8698.404</x:v>
      </x:c>
      <x:c r="N11" s="17" t="str"/>
      <x:c r="O11" s="17" t="str">
        <x:v>https://sts2log.com/cards</x:v>
      </x:c>
      <x:c r="P11" s="17" t="str">
        <x:v>https://slaythespire2.net/ancient/neow</x:v>
      </x:c>
    </x:row>
    <x:row r="12" ht="25" customHeight="1">
      <x:c r="A12" s="2" t="str">
        <x:v>v0.107</x:v>
      </x:c>
      <x:c r="B12" s="2" t="str">
        <x:v>铁甲战士</x:v>
      </x:c>
      <x:c r="C12" s="2" t="str">
        <x:v>涅奥</x:v>
      </x:c>
      <x:c r="D12" s="2" t="str">
        <x:v>万花筒</x:v>
      </x:c>
      <x:c r="E12" s="16" t="n">
        <x:f>IF(G12=0,I12,IF(G12=1,H12,G12*H12+(1-G12)*I12))</x:f>
        <x:v>0.25751634</x:v>
      </x:c>
      <x:c r="F12" s="12" t="n">
        <x:v>18516</x:v>
      </x:c>
      <x:c r="G12" s="11" t="n">
        <x:v>0.2701</x:v>
      </x:c>
      <x:c r="H12" s="11" t="n">
        <x:v>0.24539999999999998</x:v>
      </x:c>
      <x:c r="I12" s="11" t="n">
        <x:v>0.262</x:v>
      </x:c>
      <x:c r="J12" s="13" t="n">
        <x:f>IF(OR(G12=0,G12=1),"",(H12-I12)*100)</x:f>
        <x:v>-1.6600000000000033</x:v>
      </x:c>
      <x:c r="K12" s="14" t="n">
        <x:v>-0.94</x:v>
      </x:c>
      <x:c r="L12" s="15" t="n">
        <x:f>F12*G12</x:f>
        <x:v>5001.1716</x:v>
      </x:c>
      <x:c r="M12" s="15" t="n">
        <x:f>F12-L12</x:f>
        <x:v>13514.8284</x:v>
      </x:c>
      <x:c r="N12" s="17" t="str"/>
      <x:c r="O12" s="17" t="str">
        <x:v>https://sts2log.com/cards</x:v>
      </x:c>
      <x:c r="P12" s="17" t="str">
        <x:v>https://slaythespire2.net/ancient/neow</x:v>
      </x:c>
    </x:row>
    <x:row r="13" ht="25" customHeight="1">
      <x:c r="A13" s="2" t="str">
        <x:v>v0.107</x:v>
      </x:c>
      <x:c r="B13" s="2" t="str">
        <x:v>铁甲战士</x:v>
      </x:c>
      <x:c r="C13" s="2" t="str">
        <x:v>涅奥</x:v>
      </x:c>
      <x:c r="D13" s="2" t="str">
        <x:v>药瓶皮套</x:v>
      </x:c>
      <x:c r="E13" s="16" t="n">
        <x:f>IF(G13=0,I13,IF(G13=1,H13,G13*H13+(1-G13)*I13))</x:f>
        <x:v>0.25689924000000003</x:v>
      </x:c>
      <x:c r="F13" s="12" t="n">
        <x:v>19477</x:v>
      </x:c>
      <x:c r="G13" s="11" t="n">
        <x:v>0.1618</x:v>
      </x:c>
      <x:c r="H13" s="11" t="n">
        <x:v>0.30870000000000003</x:v>
      </x:c>
      <x:c r="I13" s="11" t="n">
        <x:v>0.2469</x:v>
      </x:c>
      <x:c r="J13" s="13" t="n">
        <x:f>IF(OR(G13=0,G13=1),"",(H13-I13)*100)</x:f>
        <x:v>6.180000000000002</x:v>
      </x:c>
      <x:c r="K13" s="14" t="n">
        <x:v>5.39</x:v>
      </x:c>
      <x:c r="L13" s="15" t="n">
        <x:f>F13*G13</x:f>
        <x:v>3151.3786</x:v>
      </x:c>
      <x:c r="M13" s="15" t="n">
        <x:f>F13-L13</x:f>
        <x:v>16325.6214</x:v>
      </x:c>
      <x:c r="N13" s="17" t="str"/>
      <x:c r="O13" s="17" t="str">
        <x:v>https://sts2log.com/cards</x:v>
      </x:c>
      <x:c r="P13" s="17" t="str">
        <x:v>https://slaythespire2.net/ancient/neow</x:v>
      </x:c>
    </x:row>
    <x:row r="14" ht="25" customHeight="1">
      <x:c r="A14" s="2" t="str">
        <x:v>v0.107</x:v>
      </x:c>
      <x:c r="B14" s="2" t="str">
        <x:v>铁甲战士</x:v>
      </x:c>
      <x:c r="C14" s="2" t="str">
        <x:v>涅奥</x:v>
      </x:c>
      <x:c r="D14" s="2" t="str">
        <x:v>巨大扭蛋</x:v>
      </x:c>
      <x:c r="E14" s="16" t="n">
        <x:f>IF(G14=0,I14,IF(G14=1,H14,G14*H14+(1-G14)*I14))</x:f>
        <x:v>0.25610835</x:v>
      </x:c>
      <x:c r="F14" s="12" t="n">
        <x:v>17949</x:v>
      </x:c>
      <x:c r="G14" s="11" t="n">
        <x:v>0.4335</x:v>
      </x:c>
      <x:c r="H14" s="11" t="n">
        <x:v>0.2505</x:v>
      </x:c>
      <x:c r="I14" s="11" t="n">
        <x:v>0.26039999999999996</x:v>
      </x:c>
      <x:c r="J14" s="13" t="n">
        <x:f>IF(OR(G14=0,G14=1),"",(H14-I14)*100)</x:f>
        <x:v>-0.9899999999999964</x:v>
      </x:c>
      <x:c r="K14" s="14" t="n">
        <x:v>-0.43</x:v>
      </x:c>
      <x:c r="L14" s="15" t="n">
        <x:f>F14*G14</x:f>
        <x:v>7780.8915</x:v>
      </x:c>
      <x:c r="M14" s="15" t="n">
        <x:f>F14-L14</x:f>
        <x:v>10168.1085</x:v>
      </x:c>
      <x:c r="N14" s="17" t="str"/>
      <x:c r="O14" s="17" t="str">
        <x:v>https://sts2log.com/cards</x:v>
      </x:c>
      <x:c r="P14" s="17" t="str">
        <x:v>https://slaythespire2.net/ancient/neow</x:v>
      </x:c>
    </x:row>
    <x:row r="15" ht="25" customHeight="1">
      <x:c r="A15" s="2" t="str">
        <x:v>v0.107</x:v>
      </x:c>
      <x:c r="B15" s="2" t="str">
        <x:v>铁甲战士</x:v>
      </x:c>
      <x:c r="C15" s="2" t="str">
        <x:v>涅奥</x:v>
      </x:c>
      <x:c r="D15" s="2" t="str">
        <x:v>金色珍珠</x:v>
      </x:c>
      <x:c r="E15" s="16" t="n">
        <x:f>IF(G15=0,I15,IF(G15=1,H15,G15*H15+(1-G15)*I15))</x:f>
        <x:v>0.25488288000000003</x:v>
      </x:c>
      <x:c r="F15" s="12" t="n">
        <x:v>18396</x:v>
      </x:c>
      <x:c r="G15" s="11" t="n">
        <x:v>0.3328</x:v>
      </x:c>
      <x:c r="H15" s="11" t="n">
        <x:v>0.2763</x:v>
      </x:c>
      <x:c r="I15" s="11" t="n">
        <x:v>0.24420000000000003</x:v>
      </x:c>
      <x:c r="J15" s="13" t="n">
        <x:f>IF(OR(G15=0,G15=1),"",(H15-I15)*100)</x:f>
        <x:v>3.2099999999999964</x:v>
      </x:c>
      <x:c r="K15" s="14" t="n">
        <x:v>2.15</x:v>
      </x:c>
      <x:c r="L15" s="15" t="n">
        <x:f>F15*G15</x:f>
        <x:v>6122.1888</x:v>
      </x:c>
      <x:c r="M15" s="15" t="n">
        <x:f>F15-L15</x:f>
        <x:v>12273.8112</x:v>
      </x:c>
      <x:c r="N15" s="17" t="str"/>
      <x:c r="O15" s="17" t="str">
        <x:v>https://sts2log.com/cards</x:v>
      </x:c>
      <x:c r="P15" s="17" t="str">
        <x:v>https://slaythespire2.net/ancient/neow</x:v>
      </x:c>
    </x:row>
    <x:row r="16" ht="25" customHeight="1">
      <x:c r="A16" s="2" t="str">
        <x:v>v0.107</x:v>
      </x:c>
      <x:c r="B16" s="2" t="str">
        <x:v>铁甲战士</x:v>
      </x:c>
      <x:c r="C16" s="2" t="str">
        <x:v>涅奥</x:v>
      </x:c>
      <x:c r="D16" s="2" t="str">
        <x:v>钓鱼竿</x:v>
      </x:c>
      <x:c r="E16" s="16" t="n">
        <x:f>IF(G16=0,I16,IF(G16=1,H16,G16*H16+(1-G16)*I16))</x:f>
        <x:v>0.2539127</x:v>
      </x:c>
      <x:c r="F16" s="12" t="n">
        <x:v>19685</x:v>
      </x:c>
      <x:c r="G16" s="11" t="n">
        <x:v>0.13699999999999998</x:v>
      </x:c>
      <x:c r="H16" s="11" t="n">
        <x:v>0.191</x:v>
      </x:c>
      <x:c r="I16" s="11" t="n">
        <x:v>0.2639</x:v>
      </x:c>
      <x:c r="J16" s="13" t="n">
        <x:f>IF(OR(G16=0,G16=1),"",(H16-I16)*100)</x:f>
        <x:v>-7.290000000000002</x:v>
      </x:c>
      <x:c r="K16" s="14" t="n">
        <x:v>-6.38</x:v>
      </x:c>
      <x:c r="L16" s="15" t="n">
        <x:f>F16*G16</x:f>
        <x:v>2696.845</x:v>
      </x:c>
      <x:c r="M16" s="15" t="n">
        <x:f>F16-L16</x:f>
        <x:v>16988.155</x:v>
      </x:c>
      <x:c r="N16" s="17" t="str"/>
      <x:c r="O16" s="17" t="str">
        <x:v>https://sts2log.com/cards</x:v>
      </x:c>
      <x:c r="P16" s="17" t="str">
        <x:v>https://slaythespire2.net/ancient/neow</x:v>
      </x:c>
    </x:row>
    <x:row r="17" ht="25" customHeight="1">
      <x:c r="A17" s="2" t="str">
        <x:v>v0.107</x:v>
      </x:c>
      <x:c r="B17" s="2" t="str">
        <x:v>铁甲战士</x:v>
      </x:c>
      <x:c r="C17" s="2" t="str">
        <x:v>涅奥</x:v>
      </x:c>
      <x:c r="D17" s="2" t="str">
        <x:v>奥术卷轴</x:v>
      </x:c>
      <x:c r="E17" s="16" t="n">
        <x:f>IF(G17=0,I17,IF(G17=1,H17,G17*H17+(1-G17)*I17))</x:f>
        <x:v>0.25318524</x:v>
      </x:c>
      <x:c r="F17" s="12" t="n">
        <x:v>17719</x:v>
      </x:c>
      <x:c r="G17" s="11" t="n">
        <x:v>0.48340000000000005</x:v>
      </x:c>
      <x:c r="H17" s="11" t="n">
        <x:v>0.2163</x:v>
      </x:c>
      <x:c r="I17" s="11" t="n">
        <x:v>0.2877</x:v>
      </x:c>
      <x:c r="J17" s="13" t="n">
        <x:f>IF(OR(G17=0,G17=1),"",(H17-I17)*100)</x:f>
        <x:v>-7.140000000000002</x:v>
      </x:c>
      <x:c r="K17" s="14" t="n">
        <x:v>-3.85</x:v>
      </x:c>
      <x:c r="L17" s="15" t="n">
        <x:f>F17*G17</x:f>
        <x:v>8565.3646</x:v>
      </x:c>
      <x:c r="M17" s="15" t="n">
        <x:f>F17-L17</x:f>
        <x:v>9153.6354</x:v>
      </x:c>
      <x:c r="N17" s="17" t="str"/>
      <x:c r="O17" s="17" t="str">
        <x:v>https://sts2log.com/cards</x:v>
      </x:c>
      <x:c r="P17" s="17" t="str">
        <x:v>https://slaythespire2.net/ancient/neow</x:v>
      </x:c>
    </x:row>
    <x:row r="18" ht="25" customHeight="1">
      <x:c r="A18" s="2" t="str">
        <x:v>v0.107</x:v>
      </x:c>
      <x:c r="B18" s="2" t="str">
        <x:v>铁甲战士</x:v>
      </x:c>
      <x:c r="C18" s="2" t="str">
        <x:v>涅奥</x:v>
      </x:c>
      <x:c r="D18" s="2" t="str">
        <x:v>精准剪刀</x:v>
      </x:c>
      <x:c r="E18" s="16" t="n">
        <x:f>IF(G18=0,I18,IF(G18=1,H18,G18*H18+(1-G18)*I18))</x:f>
        <x:v>0.25313853999999997</x:v>
      </x:c>
      <x:c r="F18" s="12" t="n">
        <x:v>17416</x:v>
      </x:c>
      <x:c r="G18" s="11" t="n">
        <x:v>0.0754</x:v>
      </x:c>
      <x:c r="H18" s="11" t="n">
        <x:v>0.2671</x:v>
      </x:c>
      <x:c r="I18" s="11" t="n">
        <x:v>0.252</x:v>
      </x:c>
      <x:c r="J18" s="13" t="n">
        <x:f>IF(OR(G18=0,G18=1),"",(H18-I18)*100)</x:f>
        <x:v>1.5100000000000002</x:v>
      </x:c>
      <x:c r="K18" s="14" t="n">
        <x:v>1.23</x:v>
      </x:c>
      <x:c r="L18" s="15" t="n">
        <x:f>F18*G18</x:f>
        <x:v>1313.1663999999998</x:v>
      </x:c>
      <x:c r="M18" s="15" t="n">
        <x:f>F18-L18</x:f>
        <x:v>16102.8336</x:v>
      </x:c>
      <x:c r="N18" s="17" t="str"/>
      <x:c r="O18" s="17" t="str">
        <x:v>https://sts2log.com/cards</x:v>
      </x:c>
      <x:c r="P18" s="17" t="str">
        <x:v>https://slaythespire2.net/ancient/neow</x:v>
      </x:c>
    </x:row>
    <x:row r="19" ht="25" customHeight="1">
      <x:c r="A19" s="2" t="str">
        <x:v>v0.107</x:v>
      </x:c>
      <x:c r="B19" s="2" t="str">
        <x:v>铁甲战士</x:v>
      </x:c>
      <x:c r="C19" s="2" t="str">
        <x:v>涅奥</x:v>
      </x:c>
      <x:c r="D19" s="2" t="str">
        <x:v>小型扭蛋</x:v>
      </x:c>
      <x:c r="E19" s="16" t="n">
        <x:f>IF(G19=0,I19,IF(G19=1,H19,G19*H19+(1-G19)*I19))</x:f>
        <x:v>0.2530456</x:v>
      </x:c>
      <x:c r="F19" s="12" t="n">
        <x:v>8893</x:v>
      </x:c>
      <x:c r="G19" s="11" t="n">
        <x:v>0.22399999999999998</x:v>
      </x:c>
      <x:c r="H19" s="11" t="n">
        <x:v>0.2681</x:v>
      </x:c>
      <x:c r="I19" s="11" t="n">
        <x:v>0.2487</x:v>
      </x:c>
      <x:c r="J19" s="13" t="n">
        <x:f>IF(OR(G19=0,G19=1),"",(H19-I19)*100)</x:f>
        <x:v>1.94</x:v>
      </x:c>
      <x:c r="K19" s="14" t="n">
        <x:v>1.33</x:v>
      </x:c>
      <x:c r="L19" s="15" t="n">
        <x:f>F19*G19</x:f>
        <x:v>1992.0319999999997</x:v>
      </x:c>
      <x:c r="M19" s="15" t="n">
        <x:f>F19-L19</x:f>
        <x:v>6900.968000000001</x:v>
      </x:c>
      <x:c r="N19" s="17" t="str"/>
      <x:c r="O19" s="17" t="str">
        <x:v>https://sts2log.com/cards</x:v>
      </x:c>
      <x:c r="P19" s="17" t="str">
        <x:v>https://slaythespire2.net/ancient/neow</x:v>
      </x:c>
    </x:row>
    <x:row r="20" ht="25" customHeight="1">
      <x:c r="A20" s="2" t="str">
        <x:v>v0.107</x:v>
      </x:c>
      <x:c r="B20" s="2" t="str">
        <x:v>铁甲战士</x:v>
      </x:c>
      <x:c r="C20" s="2" t="str">
        <x:v>涅奥</x:v>
      </x:c>
      <x:c r="D20" s="2" t="str">
        <x:v>轰鸣海螺</x:v>
      </x:c>
      <x:c r="E20" s="16" t="n">
        <x:f>IF(G20=0,I20,IF(G20=1,H20,G20*H20+(1-G20)*I20))</x:f>
        <x:v>0.25276382</x:v>
      </x:c>
      <x:c r="F20" s="12" t="n">
        <x:v>19675</x:v>
      </x:c>
      <x:c r="G20" s="11" t="n">
        <x:v>0.1378</x:v>
      </x:c>
      <x:c r="H20" s="11" t="n">
        <x:v>0.332</x:v>
      </x:c>
      <x:c r="I20" s="11" t="n">
        <x:v>0.2401</x:v>
      </x:c>
      <x:c r="J20" s="13" t="n">
        <x:f>IF(OR(G20=0,G20=1),"",(H20-I20)*100)</x:f>
        <x:v>9.190000000000001</x:v>
      </x:c>
      <x:c r="K20" s="14" t="n">
        <x:v>7.72</x:v>
      </x:c>
      <x:c r="L20" s="15" t="n">
        <x:f>F20*G20</x:f>
        <x:v>2711.215</x:v>
      </x:c>
      <x:c r="M20" s="15" t="n">
        <x:f>F20-L20</x:f>
        <x:v>16963.785</x:v>
      </x:c>
      <x:c r="N20" s="17" t="str"/>
      <x:c r="O20" s="17" t="str">
        <x:v>https://sts2log.com/cards</x:v>
      </x:c>
      <x:c r="P20" s="17" t="str">
        <x:v>https://slaythespire2.net/ancient/neow</x:v>
      </x:c>
    </x:row>
    <x:row r="21" ht="25" customHeight="1">
      <x:c r="A21" s="2" t="str">
        <x:v>v0.107</x:v>
      </x:c>
      <x:c r="B21" s="2" t="str">
        <x:v>铁甲战士</x:v>
      </x:c>
      <x:c r="C21" s="2" t="str">
        <x:v>涅奥</x:v>
      </x:c>
      <x:c r="D21" s="2" t="str">
        <x:v>营养牡蛎</x:v>
      </x:c>
      <x:c r="E21" s="16" t="n">
        <x:f>IF(G21=0,I21,IF(G21=1,H21,G21*H21+(1-G21)*I21))</x:f>
        <x:v>0.25222644</x:v>
      </x:c>
      <x:c r="F21" s="12" t="n">
        <x:v>9956</x:v>
      </x:c>
      <x:c r="G21" s="11" t="n">
        <x:v>0.0751</x:v>
      </x:c>
      <x:c r="H21" s="11" t="n">
        <x:v>0.2193</x:v>
      </x:c>
      <x:c r="I21" s="11" t="n">
        <x:v>0.25489999999999996</x:v>
      </x:c>
      <x:c r="J21" s="13" t="n">
        <x:f>IF(OR(G21=0,G21=1),"",(H21-I21)*100)</x:f>
        <x:v>-3.5599999999999965</x:v>
      </x:c>
      <x:c r="K21" s="14" t="n">
        <x:v>-3.55</x:v>
      </x:c>
      <x:c r="L21" s="15" t="n">
        <x:f>F21*G21</x:f>
        <x:v>747.6956</x:v>
      </x:c>
      <x:c r="M21" s="15" t="n">
        <x:f>F21-L21</x:f>
        <x:v>9208.3044</x:v>
      </x:c>
      <x:c r="N21" s="17" t="str"/>
      <x:c r="O21" s="17" t="str">
        <x:v>https://sts2log.com/cards</x:v>
      </x:c>
      <x:c r="P21" s="17" t="str">
        <x:v>https://slaythespire2.net/ancient/neow</x:v>
      </x:c>
    </x:row>
    <x:row r="22" ht="25" customHeight="1">
      <x:c r="A22" s="2" t="str">
        <x:v>v0.107</x:v>
      </x:c>
      <x:c r="B22" s="2" t="str">
        <x:v>铁甲战士</x:v>
      </x:c>
      <x:c r="C22" s="2" t="str">
        <x:v>涅奥</x:v>
      </x:c>
      <x:c r="D22" s="2" t="str">
        <x:v>熔岩石</x:v>
      </x:c>
      <x:c r="E22" s="16" t="n">
        <x:f>IF(G22=0,I22,IF(G22=1,H22,G22*H22+(1-G22)*I22))</x:f>
        <x:v>0.25116206</x:v>
      </x:c>
      <x:c r="F22" s="12" t="n">
        <x:v>8965</x:v>
      </x:c>
      <x:c r="G22" s="11" t="n">
        <x:v>0.08109999999999999</x:v>
      </x:c>
      <x:c r="H22" s="11" t="n">
        <x:v>0.2462</x:v>
      </x:c>
      <x:c r="I22" s="11" t="n">
        <x:v>0.2516</x:v>
      </x:c>
      <x:c r="J22" s="13" t="n">
        <x:f>IF(OR(G22=0,G22=1),"",(H22-I22)*100)</x:f>
        <x:v>-0.5399999999999988</x:v>
      </x:c>
      <x:c r="K22" s="14" t="n">
        <x:v>-0.86</x:v>
      </x:c>
      <x:c r="L22" s="15" t="n">
        <x:f>F22*G22</x:f>
        <x:v>727.0614999999999</x:v>
      </x:c>
      <x:c r="M22" s="15" t="n">
        <x:f>F22-L22</x:f>
        <x:v>8237.9385</x:v>
      </x:c>
      <x:c r="N22" s="17" t="str"/>
      <x:c r="O22" s="17" t="str">
        <x:v>https://sts2log.com/cards</x:v>
      </x:c>
      <x:c r="P22" s="17" t="str">
        <x:v>https://slaythespire2.net/ancient/neow</x:v>
      </x:c>
    </x:row>
    <x:row r="23" ht="25" customHeight="1">
      <x:c r="A23" s="2" t="str">
        <x:v>v0.107</x:v>
      </x:c>
      <x:c r="B23" s="2" t="str">
        <x:v>铁甲战士</x:v>
      </x:c>
      <x:c r="C23" s="2" t="str">
        <x:v>涅奥</x:v>
      </x:c>
      <x:c r="D23" s="2" t="str">
        <x:v>羽翼之靴</x:v>
      </x:c>
      <x:c r="E23" s="16" t="n">
        <x:f>IF(G23=0,I23,IF(G23=1,H23,G23*H23+(1-G23)*I23))</x:f>
        <x:v>0.25110808</x:v>
      </x:c>
      <x:c r="F23" s="12" t="n">
        <x:v>19612</x:v>
      </x:c>
      <x:c r="G23" s="11" t="n">
        <x:v>0.20980000000000001</x:v>
      </x:c>
      <x:c r="H23" s="11" t="n">
        <x:v>0.2824</x:v>
      </x:c>
      <x:c r="I23" s="11" t="n">
        <x:v>0.24280000000000002</x:v>
      </x:c>
      <x:c r="J23" s="13" t="n">
        <x:f>IF(OR(G23=0,G23=1),"",(H23-I23)*100)</x:f>
        <x:v>3.959999999999997</x:v>
      </x:c>
      <x:c r="K23" s="14" t="n">
        <x:v>2.76</x:v>
      </x:c>
      <x:c r="L23" s="15" t="n">
        <x:f>F23*G23</x:f>
        <x:v>4114.5976</x:v>
      </x:c>
      <x:c r="M23" s="15" t="n">
        <x:f>F23-L23</x:f>
        <x:v>15497.402399999999</x:v>
      </x:c>
      <x:c r="N23" s="17" t="str"/>
      <x:c r="O23" s="17" t="str">
        <x:v>https://sts2log.com/cards</x:v>
      </x:c>
      <x:c r="P23" s="17" t="str">
        <x:v>https://slaythespire2.net/ancient/neow</x:v>
      </x:c>
    </x:row>
    <x:row r="24" ht="25" customHeight="1">
      <x:c r="A24" s="2" t="str">
        <x:v>v0.107</x:v>
      </x:c>
      <x:c r="B24" s="2" t="str">
        <x:v>铁甲战士</x:v>
      </x:c>
      <x:c r="C24" s="2" t="str">
        <x:v>涅奥</x:v>
      </x:c>
      <x:c r="D24" s="2" t="str">
        <x:v>涅奥的护符</x:v>
      </x:c>
      <x:c r="E24" s="16" t="n">
        <x:f>IF(G24=0,I24,IF(G24=1,H24,G24*H24+(1-G24)*I24))</x:f>
        <x:v>0.25077776</x:v>
      </x:c>
      <x:c r="F24" s="12" t="n">
        <x:v>9969</x:v>
      </x:c>
      <x:c r="G24" s="11" t="n">
        <x:v>0.0766</x:v>
      </x:c>
      <x:c r="H24" s="11" t="n">
        <x:v>0.22640000000000002</x:v>
      </x:c>
      <x:c r="I24" s="11" t="n">
        <x:v>0.2528</x:v>
      </x:c>
      <x:c r="J24" s="13" t="n">
        <x:f>IF(OR(G24=0,G24=1),"",(H24-I24)*100)</x:f>
        <x:v>-2.6400000000000006</x:v>
      </x:c>
      <x:c r="K24" s="14" t="n">
        <x:v>-2.84</x:v>
      </x:c>
      <x:c r="L24" s="15" t="n">
        <x:f>F24*G24</x:f>
        <x:v>763.6254</x:v>
      </x:c>
      <x:c r="M24" s="15" t="n">
        <x:f>F24-L24</x:f>
        <x:v>9205.3746</x:v>
      </x:c>
      <x:c r="N24" s="17" t="str"/>
      <x:c r="O24" s="17" t="str">
        <x:v>https://sts2log.com/cards</x:v>
      </x:c>
      <x:c r="P24" s="17" t="str">
        <x:v>https://slaythespire2.net/ancient/neow</x:v>
      </x:c>
    </x:row>
    <x:row r="25" ht="25" customHeight="1">
      <x:c r="A25" s="2" t="str">
        <x:v>v0.107</x:v>
      </x:c>
      <x:c r="B25" s="2" t="str">
        <x:v>铁甲战士</x:v>
      </x:c>
      <x:c r="C25" s="2" t="str">
        <x:v>涅奥</x:v>
      </x:c>
      <x:c r="D25" s="2" t="str">
        <x:v>橙型香盒</x:v>
      </x:c>
      <x:c r="E25" s="16" t="n">
        <x:f>IF(G25=0,I25,IF(G25=1,H25,G25*H25+(1-G25)*I25))</x:f>
        <x:v>0.24868421</x:v>
      </x:c>
      <x:c r="F25" s="12" t="n">
        <x:v>9790</x:v>
      </x:c>
      <x:c r="G25" s="11" t="n">
        <x:v>0.0669</x:v>
      </x:c>
      <x:c r="H25" s="11" t="n">
        <x:v>0.2122</x:v>
      </x:c>
      <x:c r="I25" s="11" t="n">
        <x:v>0.25129999999999997</x:v>
      </x:c>
      <x:c r="J25" s="13" t="n">
        <x:f>IF(OR(G25=0,G25=1),"",(H25-I25)*100)</x:f>
        <x:v>-3.9099999999999966</x:v>
      </x:c>
      <x:c r="K25" s="14" t="n">
        <x:v>-4.26</x:v>
      </x:c>
      <x:c r="L25" s="15" t="n">
        <x:f>F25*G25</x:f>
        <x:v>654.951</x:v>
      </x:c>
      <x:c r="M25" s="15" t="n">
        <x:f>F25-L25</x:f>
        <x:v>9135.048999999999</x:v>
      </x:c>
      <x:c r="N25" s="17" t="str"/>
      <x:c r="O25" s="17" t="str">
        <x:v>https://sts2log.com/cards</x:v>
      </x:c>
      <x:c r="P25" s="17" t="str">
        <x:v>https://slaythespire2.net/ancient/neow</x:v>
      </x:c>
    </x:row>
    <x:row r="26" ht="25" customHeight="1">
      <x:c r="A26" s="2" t="str">
        <x:v>v0.107</x:v>
      </x:c>
      <x:c r="B26" s="2" t="str">
        <x:v>铁甲战士</x:v>
      </x:c>
      <x:c r="C26" s="2" t="str">
        <x:v>涅奥</x:v>
      </x:c>
      <x:c r="D26" s="2" t="str">
        <x:v>涅奥骨骰</x:v>
      </x:c>
      <x:c r="E26" s="16" t="n">
        <x:f>IF(G26=0,I26,IF(G26=1,H26,G26*H26+(1-G26)*I26))</x:f>
        <x:v>0.24850352999999997</x:v>
      </x:c>
      <x:c r="F26" s="12" t="n">
        <x:v>17941</x:v>
      </x:c>
      <x:c r="G26" s="11" t="n">
        <x:v>0.5331</x:v>
      </x:c>
      <x:c r="H26" s="11" t="n">
        <x:v>0.2281</x:v>
      </x:c>
      <x:c r="I26" s="11" t="n">
        <x:v>0.2718</x:v>
      </x:c>
      <x:c r="J26" s="13" t="n">
        <x:f>IF(OR(G26=0,G26=1),"",(H26-I26)*100)</x:f>
        <x:v>-4.369999999999999</x:v>
      </x:c>
      <x:c r="K26" s="14" t="n">
        <x:v>-2.67</x:v>
      </x:c>
      <x:c r="L26" s="15" t="n">
        <x:f>F26*G26</x:f>
        <x:v>9564.3471</x:v>
      </x:c>
      <x:c r="M26" s="15" t="n">
        <x:f>F26-L26</x:f>
        <x:v>8376.6529</x:v>
      </x:c>
      <x:c r="N26" s="17" t="str"/>
      <x:c r="O26" s="17" t="str">
        <x:v>https://sts2log.com/cards</x:v>
      </x:c>
      <x:c r="P26" s="17" t="str">
        <x:v>https://slaythespire2.net/ancient/neow</x:v>
      </x:c>
    </x:row>
    <x:row r="27" ht="25" customHeight="1">
      <x:c r="A27" s="2" t="str">
        <x:v>v0.107</x:v>
      </x:c>
      <x:c r="B27" s="2" t="str">
        <x:v>铁甲战士</x:v>
      </x:c>
      <x:c r="C27" s="2" t="str">
        <x:v>涅奥</x:v>
      </x:c>
      <x:c r="D27" s="2" t="str">
        <x:v>诅咒珍珠</x:v>
      </x:c>
      <x:c r="E27" s="16" t="n">
        <x:f>IF(G27=0,I27,IF(G27=1,H27,G27*H27+(1-G27)*I27))</x:f>
        <x:v>0.24713543999999998</x:v>
      </x:c>
      <x:c r="F27" s="12" t="n">
        <x:v>18763</x:v>
      </x:c>
      <x:c r="G27" s="11" t="n">
        <x:v>0.5372</x:v>
      </x:c>
      <x:c r="H27" s="11" t="n">
        <x:v>0.2426</x:v>
      </x:c>
      <x:c r="I27" s="11" t="n">
        <x:v>0.25239999999999996</x:v>
      </x:c>
      <x:c r="J27" s="13" t="n">
        <x:f>IF(OR(G27=0,G27=1),"",(H27-I27)*100)</x:f>
        <x:v>-0.9799999999999948</x:v>
      </x:c>
      <x:c r="K27" s="14" t="n">
        <x:v>-1.22</x:v>
      </x:c>
      <x:c r="L27" s="15" t="n">
        <x:f>F27*G27</x:f>
        <x:v>10079.4836</x:v>
      </x:c>
      <x:c r="M27" s="15" t="n">
        <x:f>F27-L27</x:f>
        <x:v>8683.5164</x:v>
      </x:c>
      <x:c r="N27" s="17" t="str"/>
      <x:c r="O27" s="17" t="str">
        <x:v>https://sts2log.com/cards</x:v>
      </x:c>
      <x:c r="P27" s="17" t="str">
        <x:v>https://slaythespire2.net/ancient/neow</x:v>
      </x:c>
    </x:row>
    <x:row r="28" ht="25" customHeight="1">
      <x:c r="A28" s="2" t="str">
        <x:v>v0.107</x:v>
      </x:c>
      <x:c r="B28" s="2" t="str">
        <x:v>铁甲战士</x:v>
      </x:c>
      <x:c r="C28" s="2" t="str">
        <x:v>涅奥</x:v>
      </x:c>
      <x:c r="D28" s="2" t="str">
        <x:v>失物盒</x:v>
      </x:c>
      <x:c r="E28" s="16" t="n">
        <x:f>IF(G28=0,I28,IF(G28=1,H28,G28*H28+(1-G28)*I28))</x:f>
        <x:v>0.24615128</x:v>
      </x:c>
      <x:c r="F28" s="12" t="n">
        <x:v>19685</x:v>
      </x:c>
      <x:c r="G28" s="11" t="n">
        <x:v>0.17679999999999998</x:v>
      </x:c>
      <x:c r="H28" s="11" t="n">
        <x:v>0.2273</x:v>
      </x:c>
      <x:c r="I28" s="11" t="n">
        <x:v>0.2502</x:v>
      </x:c>
      <x:c r="J28" s="13" t="n">
        <x:f>IF(OR(G28=0,G28=1),"",(H28-I28)*100)</x:f>
        <x:v>-2.2899999999999974</x:v>
      </x:c>
      <x:c r="K28" s="14" t="n">
        <x:v>-2.75</x:v>
      </x:c>
      <x:c r="L28" s="15" t="n">
        <x:f>F28*G28</x:f>
        <x:v>3480.3079999999995</x:v>
      </x:c>
      <x:c r="M28" s="15" t="n">
        <x:f>F28-L28</x:f>
        <x:v>16204.692000000001</x:v>
      </x:c>
      <x:c r="N28" s="17" t="str"/>
      <x:c r="O28" s="17" t="str">
        <x:v>https://sts2log.com/cards</x:v>
      </x:c>
      <x:c r="P28" s="17" t="str">
        <x:v>https://slaythespire2.net/ancient/neow</x:v>
      </x:c>
    </x:row>
    <x:row r="29" ht="25" customHeight="1">
      <x:c r="A29" s="2" t="str">
        <x:v>v0.107</x:v>
      </x:c>
      <x:c r="B29" s="2" t="str">
        <x:v>铁甲战士</x:v>
      </x:c>
      <x:c r="C29" s="2" t="str">
        <x:v>涅奥</x:v>
      </x:c>
      <x:c r="D29" s="2" t="str">
        <x:v>卷轴箱</x:v>
      </x:c>
      <x:c r="E29" s="16" t="n">
        <x:f>IF(G29=0,I29,IF(G29=1,H29,G29*H29+(1-G29)*I29))</x:f>
        <x:v>0.24615095999999997</x:v>
      </x:c>
      <x:c r="F29" s="12" t="n">
        <x:v>19924</x:v>
      </x:c>
      <x:c r="G29" s="11" t="n">
        <x:v>0.2952</x:v>
      </x:c>
      <x:c r="H29" s="11" t="n">
        <x:v>0.2372</x:v>
      </x:c>
      <x:c r="I29" s="11" t="n">
        <x:v>0.24989999999999998</x:v>
      </x:c>
      <x:c r="J29" s="13" t="n">
        <x:f>IF(OR(G29=0,G29=1),"",(H29-I29)*100)</x:f>
        <x:v>-1.269999999999999</x:v>
      </x:c>
      <x:c r="K29" s="14" t="n">
        <x:v>-1.76</x:v>
      </x:c>
      <x:c r="L29" s="15" t="n">
        <x:f>F29*G29</x:f>
        <x:v>5881.5648</x:v>
      </x:c>
      <x:c r="M29" s="15" t="n">
        <x:f>F29-L29</x:f>
        <x:v>14042.4352</x:v>
      </x:c>
      <x:c r="N29" s="17" t="str"/>
      <x:c r="O29" s="17" t="str">
        <x:v>https://sts2log.com/cards</x:v>
      </x:c>
      <x:c r="P29" s="17" t="str">
        <x:v>https://slaythespire2.net/ancient/neow</x:v>
      </x:c>
    </x:row>
    <x:row r="30" ht="25" customHeight="1">
      <x:c r="A30" s="2" t="str">
        <x:v>v0.107</x:v>
      </x:c>
      <x:c r="B30" s="2" t="str">
        <x:v>铁甲战士</x:v>
      </x:c>
      <x:c r="C30" s="2" t="str">
        <x:v>涅奥</x:v>
      </x:c>
      <x:c r="D30" s="2" t="str">
        <x:v>白银熔炉</x:v>
      </x:c>
      <x:c r="E30" s="16" t="n">
        <x:f>IF(G30=0,I30,IF(G30=1,H30,G30*H30+(1-G30)*I30))</x:f>
        <x:v>0.24220812000000003</x:v>
      </x:c>
      <x:c r="F30" s="12" t="n">
        <x:v>20686</x:v>
      </x:c>
      <x:c r="G30" s="11" t="n">
        <x:v>0.7436</x:v>
      </x:c>
      <x:c r="H30" s="11" t="n">
        <x:v>0.2529</x:v>
      </x:c>
      <x:c r="I30" s="11" t="n">
        <x:v>0.2112</x:v>
      </x:c>
      <x:c r="J30" s="13" t="n">
        <x:f>IF(OR(G30=0,G30=1),"",(H30-I30)*100)</x:f>
        <x:v>4.170000000000002</x:v>
      </x:c>
      <x:c r="K30" s="14" t="n">
        <x:v>-0.19</x:v>
      </x:c>
      <x:c r="L30" s="15" t="n">
        <x:f>F30*G30</x:f>
        <x:v>15382.109600000002</x:v>
      </x:c>
      <x:c r="M30" s="15" t="n">
        <x:f>F30-L30</x:f>
        <x:v>5303.890399999998</x:v>
      </x:c>
      <x:c r="N30" s="17" t="str"/>
      <x:c r="O30" s="17" t="str">
        <x:v>https://sts2log.com/cards</x:v>
      </x:c>
      <x:c r="P30" s="17" t="str">
        <x:v>https://slaythespire2.net/ancient/neow</x:v>
      </x:c>
    </x:row>
    <x:row r="31" ht="25" customHeight="1">
      <x:c r="A31" s="2" t="str">
        <x:v>v0.107</x:v>
      </x:c>
      <x:c r="B31" s="2" t="str">
        <x:v>铁甲战士</x:v>
      </x:c>
      <x:c r="C31" s="2" t="str">
        <x:v>涅奥</x:v>
      </x:c>
      <x:c r="D31" s="2" t="str">
        <x:v>沉重石板</x:v>
      </x:c>
      <x:c r="E31" s="16" t="n">
        <x:f>IF(G31=0,I31,IF(G31=1,H31,G31*H31+(1-G31)*I31))</x:f>
        <x:v>0.23242137000000002</x:v>
      </x:c>
      <x:c r="F31" s="12" t="n">
        <x:v>19387</x:v>
      </x:c>
      <x:c r="G31" s="11" t="n">
        <x:v>0.6301</x:v>
      </x:c>
      <x:c r="H31" s="11" t="n">
        <x:v>0.1968</x:v>
      </x:c>
      <x:c r="I31" s="11" t="n">
        <x:v>0.29309999999999997</x:v>
      </x:c>
      <x:c r="J31" s="13" t="n">
        <x:f>IF(OR(G31=0,G31=1),"",(H31-I31)*100)</x:f>
        <x:v>-9.629999999999997</x:v>
      </x:c>
      <x:c r="K31" s="14" t="n">
        <x:v>-5.8</x:v>
      </x:c>
      <x:c r="L31" s="15" t="n">
        <x:f>F31*G31</x:f>
        <x:v>12215.7487</x:v>
      </x:c>
      <x:c r="M31" s="15" t="n">
        <x:f>F31-L31</x:f>
        <x:v>7171.2513</x:v>
      </x:c>
      <x:c r="N31" s="17" t="str"/>
      <x:c r="O31" s="17" t="str">
        <x:v>https://sts2log.com/cards</x:v>
      </x:c>
      <x:c r="P31" s="17" t="str">
        <x:v>https://slaythespire2.net/ancient/neow</x:v>
      </x:c>
    </x:row>
    <x:row r="32" ht="42" customHeight="1">
      <x:c r="A32" s="2" t="str">
        <x:v>v0.107</x:v>
      </x:c>
      <x:c r="B32" s="2" t="str">
        <x:v>铁甲战士</x:v>
      </x:c>
      <x:c r="C32" s="2" t="str">
        <x:v>涅奥</x:v>
      </x:c>
      <x:c r="D32" s="2" t="str">
        <x:v>巨大卷轴</x:v>
      </x:c>
      <x:c r="E32" s="18" t="n">
        <x:f>IF(G32=0,I32,IF(G32=1,H32,G32*H32+(1-G32)*I32))</x:f>
        <x:v>0.1</x:v>
      </x:c>
      <x:c r="F32" s="19" t="n">
        <x:v>40</x:v>
      </x:c>
      <x:c r="G32" s="11" t="n">
        <x:v>0</x:v>
      </x:c>
      <x:c r="H32" s="11"/>
      <x:c r="I32" s="11" t="n">
        <x:v>0.1</x:v>
      </x:c>
      <x:c r="J32" s="13" t="str">
        <x:f>IF(OR(G32=0,G32=1),"",(H32-I32)*100)</x:f>
      </x:c>
      <x:c r="K32" s="14" t="n">
        <x:v>-25.48</x:v>
      </x:c>
      <x:c r="L32" s="15" t="n">
        <x:f>F32*G32</x:f>
        <x:v>0</x:v>
      </x:c>
      <x:c r="M32" s="15" t="n">
        <x:f>F32-L32</x:f>
        <x:v>40</x:v>
      </x:c>
      <x:c r="N32" s="17" t="str">
        <x:v>出现次数&lt;100；一组占比显示为零，其胜率及选跳差留空</x:v>
      </x:c>
      <x:c r="O32" s="17" t="str">
        <x:v>https://sts2log.com/cards</x:v>
      </x:c>
      <x:c r="P32" s="17" t="str">
        <x:v>https://slaythespire2.net/ancient/neow</x:v>
      </x:c>
    </x:row>
    <x:row r="33" ht="25" customHeight="1">
      <x:c r="A33" s="2" t="str">
        <x:v>v0.107</x:v>
      </x:c>
      <x:c r="B33" s="2" t="str">
        <x:v>铁甲战士</x:v>
      </x:c>
      <x:c r="C33" s="2" t="str">
        <x:v>欧洛巴斯</x:v>
      </x:c>
      <x:c r="D33" s="2" t="str">
        <x:v>棱彩宝石</x:v>
      </x:c>
      <x:c r="E33" s="16" t="n">
        <x:f>IF(G33=0,I33,IF(G33=1,H33,G33*H33+(1-G33)*I33))</x:f>
        <x:v>0.39969744</x:v>
      </x:c>
      <x:c r="F33" s="12" t="n">
        <x:v>2442</x:v>
      </x:c>
      <x:c r="G33" s="11" t="n">
        <x:v>0.3452</x:v>
      </x:c>
      <x:c r="H33" s="11" t="n">
        <x:v>0.4437</x:v>
      </x:c>
      <x:c r="I33" s="11" t="n">
        <x:v>0.3765</x:v>
      </x:c>
      <x:c r="J33" s="13" t="n">
        <x:f>IF(OR(G33=0,G33=1),"",(H33-I33)*100)</x:f>
        <x:v>6.719999999999998</x:v>
      </x:c>
      <x:c r="K33" s="14" t="n">
        <x:v>18.89</x:v>
      </x:c>
      <x:c r="L33" s="15" t="n">
        <x:f>F33*G33</x:f>
        <x:v>842.9784</x:v>
      </x:c>
      <x:c r="M33" s="15" t="n">
        <x:f>F33-L33</x:f>
        <x:v>1599.0216</x:v>
      </x:c>
      <x:c r="N33" s="17" t="str"/>
      <x:c r="O33" s="17" t="str">
        <x:v>https://sts2log.com/cards</x:v>
      </x:c>
      <x:c r="P33" s="17" t="str">
        <x:v>https://slaythespire2.net/ancient/orobas</x:v>
      </x:c>
    </x:row>
    <x:row r="34" ht="25" customHeight="1">
      <x:c r="A34" s="2" t="str">
        <x:v>v0.107</x:v>
      </x:c>
      <x:c r="B34" s="2" t="str">
        <x:v>铁甲战士</x:v>
      </x:c>
      <x:c r="C34" s="2" t="str">
        <x:v>欧洛巴斯</x:v>
      </x:c>
      <x:c r="D34" s="2" t="str">
        <x:v>古老牙齿</x:v>
      </x:c>
      <x:c r="E34" s="16" t="n">
        <x:f>IF(G34=0,I34,IF(G34=1,H34,G34*H34+(1-G34)*I34))</x:f>
        <x:v>0.38982399999999995</x:v>
      </x:c>
      <x:c r="F34" s="12" t="n">
        <x:v>12524</x:v>
      </x:c>
      <x:c r="G34" s="11" t="n">
        <x:v>0.8134999999999999</x:v>
      </x:c>
      <x:c r="H34" s="11" t="n">
        <x:v>0.3943</x:v>
      </x:c>
      <x:c r="I34" s="11" t="n">
        <x:v>0.3703</x:v>
      </x:c>
      <x:c r="J34" s="13" t="n">
        <x:f>IF(OR(G34=0,G34=1),"",(H34-I34)*100)</x:f>
        <x:v>2.399999999999997</x:v>
      </x:c>
      <x:c r="K34" s="14" t="n">
        <x:v>13.95</x:v>
      </x:c>
      <x:c r="L34" s="15" t="n">
        <x:f>F34*G34</x:f>
        <x:v>10188.274</x:v>
      </x:c>
      <x:c r="M34" s="15" t="n">
        <x:f>F34-L34</x:f>
        <x:v>2335.7260000000006</x:v>
      </x:c>
      <x:c r="N34" s="17" t="str"/>
      <x:c r="O34" s="17" t="str">
        <x:v>https://sts2log.com/cards</x:v>
      </x:c>
      <x:c r="P34" s="17" t="str">
        <x:v>https://slaythespire2.net/ancient/orobas</x:v>
      </x:c>
    </x:row>
    <x:row r="35" ht="25" customHeight="1">
      <x:c r="A35" s="2" t="str">
        <x:v>v0.107</x:v>
      </x:c>
      <x:c r="B35" s="2" t="str">
        <x:v>铁甲战士</x:v>
      </x:c>
      <x:c r="C35" s="2" t="str">
        <x:v>欧洛巴斯</x:v>
      </x:c>
      <x:c r="D35" s="2" t="str">
        <x:v>炼金箱</x:v>
      </x:c>
      <x:c r="E35" s="16" t="n">
        <x:f>IF(G35=0,I35,IF(G35=1,H35,G35*H35+(1-G35)*I35))</x:f>
        <x:v>0.37284152000000004</x:v>
      </x:c>
      <x:c r="F35" s="12" t="n">
        <x:v>8487</x:v>
      </x:c>
      <x:c r="G35" s="11" t="n">
        <x:v>0.1962</x:v>
      </x:c>
      <x:c r="H35" s="11" t="n">
        <x:v>0.45289999999999997</x:v>
      </x:c>
      <x:c r="I35" s="11" t="n">
        <x:v>0.3533</x:v>
      </x:c>
      <x:c r="J35" s="13" t="n">
        <x:f>IF(OR(G35=0,G35=1),"",(H35-I35)*100)</x:f>
        <x:v>9.959999999999997</x:v>
      </x:c>
      <x:c r="K35" s="14" t="n">
        <x:v>19.81</x:v>
      </x:c>
      <x:c r="L35" s="15" t="n">
        <x:f>F35*G35</x:f>
        <x:v>1665.1494</x:v>
      </x:c>
      <x:c r="M35" s="15" t="n">
        <x:f>F35-L35</x:f>
        <x:v>6821.8506</x:v>
      </x:c>
      <x:c r="N35" s="17" t="str"/>
      <x:c r="O35" s="17" t="str">
        <x:v>https://sts2log.com/cards</x:v>
      </x:c>
      <x:c r="P35" s="17" t="str">
        <x:v>https://slaythespire2.net/ancient/orobas</x:v>
      </x:c>
    </x:row>
    <x:row r="36" ht="25" customHeight="1">
      <x:c r="A36" s="2" t="str">
        <x:v>v0.107</x:v>
      </x:c>
      <x:c r="B36" s="2" t="str">
        <x:v>铁甲战士</x:v>
      </x:c>
      <x:c r="C36" s="2" t="str">
        <x:v>欧洛巴斯</x:v>
      </x:c>
      <x:c r="D36" s="2" t="str">
        <x:v>沙堡</x:v>
      </x:c>
      <x:c r="E36" s="16" t="n">
        <x:f>IF(G36=0,I36,IF(G36=1,H36,G36*H36+(1-G36)*I36))</x:f>
        <x:v>0.3695732</x:v>
      </x:c>
      <x:c r="F36" s="12" t="n">
        <x:v>7490</x:v>
      </x:c>
      <x:c r="G36" s="11" t="n">
        <x:v>0.19440000000000002</x:v>
      </x:c>
      <x:c r="H36" s="11" t="n">
        <x:v>0.3015</x:v>
      </x:c>
      <x:c r="I36" s="11" t="n">
        <x:v>0.386</x:v>
      </x:c>
      <x:c r="J36" s="13" t="n">
        <x:f>IF(OR(G36=0,G36=1),"",(H36-I36)*100)</x:f>
        <x:v>-8.450000000000003</x:v>
      </x:c>
      <x:c r="K36" s="14" t="n">
        <x:v>4.67</x:v>
      </x:c>
      <x:c r="L36" s="15" t="n">
        <x:f>F36*G36</x:f>
        <x:v>1456.056</x:v>
      </x:c>
      <x:c r="M36" s="15" t="n">
        <x:f>F36-L36</x:f>
        <x:v>6033.9439999999995</x:v>
      </x:c>
      <x:c r="N36" s="17" t="str"/>
      <x:c r="O36" s="17" t="str">
        <x:v>https://sts2log.com/cards</x:v>
      </x:c>
      <x:c r="P36" s="17" t="str">
        <x:v>https://slaythespire2.net/ancient/orobas</x:v>
      </x:c>
    </x:row>
    <x:row r="37" ht="25" customHeight="1">
      <x:c r="A37" s="2" t="str">
        <x:v>v0.107</x:v>
      </x:c>
      <x:c r="B37" s="2" t="str">
        <x:v>铁甲战士</x:v>
      </x:c>
      <x:c r="C37" s="2" t="str">
        <x:v>欧洛巴斯</x:v>
      </x:c>
      <x:c r="D37" s="2" t="str">
        <x:v>发光珍珠</x:v>
      </x:c>
      <x:c r="E37" s="16" t="n">
        <x:f>IF(G37=0,I37,IF(G37=1,H37,G37*H37+(1-G37)*I37))</x:f>
        <x:v>0.3637088</x:v>
      </x:c>
      <x:c r="F37" s="12" t="n">
        <x:v>8337</x:v>
      </x:c>
      <x:c r="G37" s="11" t="n">
        <x:v>0.1815</x:v>
      </x:c>
      <x:c r="H37" s="11" t="n">
        <x:v>0.45799999999999996</x:v>
      </x:c>
      <x:c r="I37" s="11" t="n">
        <x:v>0.3428</x:v>
      </x:c>
      <x:c r="J37" s="13" t="n">
        <x:f>IF(OR(G37=0,G37=1),"",(H37-I37)*100)</x:f>
        <x:v>11.519999999999996</x:v>
      </x:c>
      <x:c r="K37" s="14" t="n">
        <x:v>20.32</x:v>
      </x:c>
      <x:c r="L37" s="15" t="n">
        <x:f>F37*G37</x:f>
        <x:v>1513.1655</x:v>
      </x:c>
      <x:c r="M37" s="15" t="n">
        <x:f>F37-L37</x:f>
        <x:v>6823.8345</x:v>
      </x:c>
      <x:c r="N37" s="17" t="str"/>
      <x:c r="O37" s="17" t="str">
        <x:v>https://sts2log.com/cards</x:v>
      </x:c>
      <x:c r="P37" s="17" t="str">
        <x:v>https://slaythespire2.net/ancient/orobas</x:v>
      </x:c>
    </x:row>
    <x:row r="38" ht="25" customHeight="1">
      <x:c r="A38" s="2" t="str">
        <x:v>v0.107</x:v>
      </x:c>
      <x:c r="B38" s="2" t="str">
        <x:v>铁甲战士</x:v>
      </x:c>
      <x:c r="C38" s="2" t="str">
        <x:v>欧洛巴斯</x:v>
      </x:c>
      <x:c r="D38" s="2" t="str">
        <x:v>浮木</x:v>
      </x:c>
      <x:c r="E38" s="16" t="n">
        <x:f>IF(G38=0,I38,IF(G38=1,H38,G38*H38+(1-G38)*I38))</x:f>
        <x:v>0.36094648</x:v>
      </x:c>
      <x:c r="F38" s="12" t="n">
        <x:v>8198</x:v>
      </x:c>
      <x:c r="G38" s="11" t="n">
        <x:v>0.1678</x:v>
      </x:c>
      <x:c r="H38" s="11" t="n">
        <x:v>0.37060000000000004</x:v>
      </x:c>
      <x:c r="I38" s="11" t="n">
        <x:v>0.359</x:v>
      </x:c>
      <x:c r="J38" s="13" t="n">
        <x:f>IF(OR(G38=0,G38=1),"",(H38-I38)*100)</x:f>
        <x:v>1.1600000000000055</x:v>
      </x:c>
      <x:c r="K38" s="14" t="n">
        <x:v>11.58</x:v>
      </x:c>
      <x:c r="L38" s="15" t="n">
        <x:f>F38*G38</x:f>
        <x:v>1375.6244000000002</x:v>
      </x:c>
      <x:c r="M38" s="15" t="n">
        <x:f>F38-L38</x:f>
        <x:v>6822.375599999999</x:v>
      </x:c>
      <x:c r="N38" s="17" t="str"/>
      <x:c r="O38" s="17" t="str">
        <x:v>https://sts2log.com/cards</x:v>
      </x:c>
      <x:c r="P38" s="17" t="str">
        <x:v>https://slaythespire2.net/ancient/orobas</x:v>
      </x:c>
    </x:row>
    <x:row r="39" ht="25" customHeight="1">
      <x:c r="A39" s="2" t="str">
        <x:v>v0.107</x:v>
      </x:c>
      <x:c r="B39" s="2" t="str">
        <x:v>铁甲战士</x:v>
      </x:c>
      <x:c r="C39" s="2" t="str">
        <x:v>欧洛巴斯</x:v>
      </x:c>
      <x:c r="D39" s="2" t="str">
        <x:v>放电异虾</x:v>
      </x:c>
      <x:c r="E39" s="16" t="n">
        <x:f>IF(G39=0,I39,IF(G39=1,H39,G39*H39+(1-G39)*I39))</x:f>
        <x:v>0.35992829000000004</x:v>
      </x:c>
      <x:c r="F39" s="12" t="n">
        <x:v>7548</x:v>
      </x:c>
      <x:c r="G39" s="11" t="n">
        <x:v>0.1779</x:v>
      </x:c>
      <x:c r="H39" s="11" t="n">
        <x:v>0.35590000000000005</x:v>
      </x:c>
      <x:c r="I39" s="11" t="n">
        <x:v>0.3608</x:v>
      </x:c>
      <x:c r="J39" s="13" t="n">
        <x:f>IF(OR(G39=0,G39=1),"",(H39-I39)*100)</x:f>
        <x:v>-0.489999999999996</x:v>
      </x:c>
      <x:c r="K39" s="14" t="n">
        <x:v>10.11</x:v>
      </x:c>
      <x:c r="L39" s="15" t="n">
        <x:f>F39*G39</x:f>
        <x:v>1342.7892</x:v>
      </x:c>
      <x:c r="M39" s="15" t="n">
        <x:f>F39-L39</x:f>
        <x:v>6205.2108</x:v>
      </x:c>
      <x:c r="N39" s="17" t="str"/>
      <x:c r="O39" s="17" t="str">
        <x:v>https://sts2log.com/cards</x:v>
      </x:c>
      <x:c r="P39" s="17" t="str">
        <x:v>https://slaythespire2.net/ancient/orobas</x:v>
      </x:c>
    </x:row>
    <x:row r="40" ht="25" customHeight="1">
      <x:c r="A40" s="2" t="str">
        <x:v>v0.107</x:v>
      </x:c>
      <x:c r="B40" s="2" t="str">
        <x:v>铁甲战士</x:v>
      </x:c>
      <x:c r="C40" s="2" t="str">
        <x:v>欧洛巴斯</x:v>
      </x:c>
      <x:c r="D40" s="2" t="str">
        <x:v>玻璃眼珠</x:v>
      </x:c>
      <x:c r="E40" s="16" t="n">
        <x:f>IF(G40=0,I40,IF(G40=1,H40,G40*H40+(1-G40)*I40))</x:f>
        <x:v>0.35626033999999995</x:v>
      </x:c>
      <x:c r="F40" s="12" t="n">
        <x:v>7550</x:v>
      </x:c>
      <x:c r="G40" s="11" t="n">
        <x:v>0.33590000000000003</x:v>
      </x:c>
      <x:c r="H40" s="11" t="n">
        <x:v>0.3115</x:v>
      </x:c>
      <x:c r="I40" s="11" t="n">
        <x:v>0.3789</x:v>
      </x:c>
      <x:c r="J40" s="13" t="n">
        <x:f>IF(OR(G40=0,G40=1),"",(H40-I40)*100)</x:f>
        <x:v>-6.740000000000002</x:v>
      </x:c>
      <x:c r="K40" s="14" t="n">
        <x:v>5.67</x:v>
      </x:c>
      <x:c r="L40" s="15" t="n">
        <x:f>F40*G40</x:f>
        <x:v>2536.045</x:v>
      </x:c>
      <x:c r="M40" s="15" t="n">
        <x:f>F40-L40</x:f>
        <x:v>5013.955</x:v>
      </x:c>
      <x:c r="N40" s="17" t="str"/>
      <x:c r="O40" s="17" t="str">
        <x:v>https://sts2log.com/cards</x:v>
      </x:c>
      <x:c r="P40" s="17" t="str">
        <x:v>https://slaythespire2.net/ancient/orobas</x:v>
      </x:c>
    </x:row>
    <x:row r="41" ht="25" customHeight="1">
      <x:c r="A41" s="2" t="str">
        <x:v>v0.107</x:v>
      </x:c>
      <x:c r="B41" s="2" t="str">
        <x:v>铁甲战士</x:v>
      </x:c>
      <x:c r="C41" s="2" t="str">
        <x:v>欧洛巴斯</x:v>
      </x:c>
      <x:c r="D41" s="2" t="str">
        <x:v>欧洛巴斯之触</x:v>
      </x:c>
      <x:c r="E41" s="16" t="n">
        <x:f>IF(G41=0,I41,IF(G41=1,H41,G41*H41+(1-G41)*I41))</x:f>
        <x:v>0.3417752</x:v>
      </x:c>
      <x:c r="F41" s="12" t="n">
        <x:v>12505</x:v>
      </x:c>
      <x:c r="G41" s="11" t="n">
        <x:v>0.32789999999999997</x:v>
      </x:c>
      <x:c r="H41" s="11" t="n">
        <x:v>0.26649999999999996</x:v>
      </x:c>
      <x:c r="I41" s="11" t="n">
        <x:v>0.3785</x:v>
      </x:c>
      <x:c r="J41" s="13" t="n">
        <x:f>IF(OR(G41=0,G41=1),"",(H41-I41)*100)</x:f>
        <x:v>-11.200000000000005</x:v>
      </x:c>
      <x:c r="K41" s="14" t="n">
        <x:v>1.17</x:v>
      </x:c>
      <x:c r="L41" s="15" t="n">
        <x:f>F41*G41</x:f>
        <x:v>4100.389499999999</x:v>
      </x:c>
      <x:c r="M41" s="15" t="n">
        <x:f>F41-L41</x:f>
        <x:v>8404.6105</x:v>
      </x:c>
      <x:c r="N41" s="17" t="str"/>
      <x:c r="O41" s="17" t="str">
        <x:v>https://sts2log.com/cards</x:v>
      </x:c>
      <x:c r="P41" s="17" t="str">
        <x:v>https://slaythespire2.net/ancient/orobas</x:v>
      </x:c>
    </x:row>
    <x:row r="42" ht="25" customHeight="1">
      <x:c r="A42" s="2" t="str">
        <x:v>v0.107</x:v>
      </x:c>
      <x:c r="B42" s="2" t="str">
        <x:v>铁甲战士</x:v>
      </x:c>
      <x:c r="C42" s="2" t="str">
        <x:v>佩尔</x:v>
      </x:c>
      <x:c r="D42" s="2" t="str">
        <x:v>佩尔之血</x:v>
      </x:c>
      <x:c r="E42" s="16" t="n">
        <x:f>IF(G42=0,I42,IF(G42=1,H42,G42*H42+(1-G42)*I42))</x:f>
        <x:v>0.42310204000000007</x:v>
      </x:c>
      <x:c r="F42" s="12" t="n">
        <x:v>10173</x:v>
      </x:c>
      <x:c r="G42" s="11" t="n">
        <x:v>0.6092</x:v>
      </x:c>
      <x:c r="H42" s="11" t="n">
        <x:v>0.4988</x:v>
      </x:c>
      <x:c r="I42" s="11" t="n">
        <x:v>0.30510000000000004</x:v>
      </x:c>
      <x:c r="J42" s="13" t="n">
        <x:f>IF(OR(G42=0,G42=1),"",(H42-I42)*100)</x:f>
        <x:v>19.369999999999997</x:v>
      </x:c>
      <x:c r="K42" s="14" t="n">
        <x:v>24.4</x:v>
      </x:c>
      <x:c r="L42" s="15" t="n">
        <x:f>F42*G42</x:f>
        <x:v>6197.3916</x:v>
      </x:c>
      <x:c r="M42" s="15" t="n">
        <x:f>F42-L42</x:f>
        <x:v>3975.6084</x:v>
      </x:c>
      <x:c r="N42" s="17" t="str"/>
      <x:c r="O42" s="17" t="str">
        <x:v>https://sts2log.com/cards</x:v>
      </x:c>
      <x:c r="P42" s="17" t="str">
        <x:v>https://slaythespire2.net/ancient/pael</x:v>
      </x:c>
    </x:row>
    <x:row r="43" ht="25" customHeight="1">
      <x:c r="A43" s="2" t="str">
        <x:v>v0.107</x:v>
      </x:c>
      <x:c r="B43" s="2" t="str">
        <x:v>铁甲战士</x:v>
      </x:c>
      <x:c r="C43" s="2" t="str">
        <x:v>佩尔</x:v>
      </x:c>
      <x:c r="D43" s="2" t="str">
        <x:v>佩尔的增生组织</x:v>
      </x:c>
      <x:c r="E43" s="16" t="n">
        <x:f>IF(G43=0,I43,IF(G43=1,H43,G43*H43+(1-G43)*I43))</x:f>
        <x:v>0.40863650999999995</x:v>
      </x:c>
      <x:c r="F43" s="12" t="n">
        <x:v>4552</x:v>
      </x:c>
      <x:c r="G43" s="11" t="n">
        <x:v>0.2797</x:v>
      </x:c>
      <x:c r="H43" s="11" t="n">
        <x:v>0.3786</x:v>
      </x:c>
      <x:c r="I43" s="11" t="n">
        <x:v>0.4203</x:v>
      </x:c>
      <x:c r="J43" s="13" t="n">
        <x:f>IF(OR(G43=0,G43=1),"",(H43-I43)*100)</x:f>
        <x:v>-4.170000000000002</x:v>
      </x:c>
      <x:c r="K43" s="14" t="n">
        <x:v>12.38</x:v>
      </x:c>
      <x:c r="L43" s="15" t="n">
        <x:f>F43*G43</x:f>
        <x:v>1273.1944</x:v>
      </x:c>
      <x:c r="M43" s="15" t="n">
        <x:f>F43-L43</x:f>
        <x:v>3278.8055999999997</x:v>
      </x:c>
      <x:c r="N43" s="17" t="str"/>
      <x:c r="O43" s="17" t="str">
        <x:v>https://sts2log.com/cards</x:v>
      </x:c>
      <x:c r="P43" s="17" t="str">
        <x:v>https://slaythespire2.net/ancient/pael</x:v>
      </x:c>
    </x:row>
    <x:row r="44" ht="25" customHeight="1">
      <x:c r="A44" s="2" t="str">
        <x:v>v0.107</x:v>
      </x:c>
      <x:c r="B44" s="2" t="str">
        <x:v>铁甲战士</x:v>
      </x:c>
      <x:c r="C44" s="2" t="str">
        <x:v>佩尔</x:v>
      </x:c>
      <x:c r="D44" s="2" t="str">
        <x:v>佩尔的士兵</x:v>
      </x:c>
      <x:c r="E44" s="16" t="n">
        <x:f>IF(G44=0,I44,IF(G44=1,H44,G44*H44+(1-G44)*I44))</x:f>
        <x:v>0.38084995</x:v>
      </x:c>
      <x:c r="F44" s="12" t="n">
        <x:v>10237</x:v>
      </x:c>
      <x:c r="G44" s="11" t="n">
        <x:v>0.5657</x:v>
      </x:c>
      <x:c r="H44" s="11" t="n">
        <x:v>0.42579999999999996</x:v>
      </x:c>
      <x:c r="I44" s="11" t="n">
        <x:v>0.3223</x:v>
      </x:c>
      <x:c r="J44" s="13" t="n">
        <x:f>IF(OR(G44=0,G44=1),"",(H44-I44)*100)</x:f>
        <x:v>10.349999999999998</x:v>
      </x:c>
      <x:c r="K44" s="14" t="n">
        <x:v>17.1</x:v>
      </x:c>
      <x:c r="L44" s="15" t="n">
        <x:f>F44*G44</x:f>
        <x:v>5791.0709</x:v>
      </x:c>
      <x:c r="M44" s="15" t="n">
        <x:f>F44-L44</x:f>
        <x:v>4445.9291</x:v>
      </x:c>
      <x:c r="N44" s="17" t="str"/>
      <x:c r="O44" s="17" t="str">
        <x:v>https://sts2log.com/cards</x:v>
      </x:c>
      <x:c r="P44" s="17" t="str">
        <x:v>https://slaythespire2.net/ancient/pael</x:v>
      </x:c>
    </x:row>
    <x:row r="45" ht="25" customHeight="1">
      <x:c r="A45" s="2" t="str">
        <x:v>v0.107</x:v>
      </x:c>
      <x:c r="B45" s="2" t="str">
        <x:v>铁甲战士</x:v>
      </x:c>
      <x:c r="C45" s="2" t="str">
        <x:v>佩尔</x:v>
      </x:c>
      <x:c r="D45" s="2" t="str">
        <x:v>佩尔之爪</x:v>
      </x:c>
      <x:c r="E45" s="16" t="n">
        <x:f>IF(G45=0,I45,IF(G45=1,H45,G45*H45+(1-G45)*I45))</x:f>
        <x:v>0.37979123000000004</x:v>
      </x:c>
      <x:c r="F45" s="12" t="n">
        <x:v>8417</x:v>
      </x:c>
      <x:c r="G45" s="11" t="n">
        <x:v>0.2923</x:v>
      </x:c>
      <x:c r="H45" s="11" t="n">
        <x:v>0.33740000000000003</x:v>
      </x:c>
      <x:c r="I45" s="11" t="n">
        <x:v>0.3973</x:v>
      </x:c>
      <x:c r="J45" s="13" t="n">
        <x:f>IF(OR(G45=0,G45=1),"",(H45-I45)*100)</x:f>
        <x:v>-5.989999999999995</x:v>
      </x:c>
      <x:c r="K45" s="14" t="n">
        <x:v>8.26</x:v>
      </x:c>
      <x:c r="L45" s="15" t="n">
        <x:f>F45*G45</x:f>
        <x:v>2460.2891</x:v>
      </x:c>
      <x:c r="M45" s="15" t="n">
        <x:f>F45-L45</x:f>
        <x:v>5956.7109</x:v>
      </x:c>
      <x:c r="N45" s="17" t="str"/>
      <x:c r="O45" s="17" t="str">
        <x:v>https://sts2log.com/cards</x:v>
      </x:c>
      <x:c r="P45" s="17" t="str">
        <x:v>https://slaythespire2.net/ancient/pael</x:v>
      </x:c>
    </x:row>
    <x:row r="46" ht="25" customHeight="1">
      <x:c r="A46" s="2" t="str">
        <x:v>v0.107</x:v>
      </x:c>
      <x:c r="B46" s="2" t="str">
        <x:v>铁甲战士</x:v>
      </x:c>
      <x:c r="C46" s="2" t="str">
        <x:v>佩尔</x:v>
      </x:c>
      <x:c r="D46" s="2" t="str">
        <x:v>佩尔之泪</x:v>
      </x:c>
      <x:c r="E46" s="16" t="n">
        <x:f>IF(G46=0,I46,IF(G46=1,H46,G46*H46+(1-G46)*I46))</x:f>
        <x:v>0.37927613</x:v>
      </x:c>
      <x:c r="F46" s="12" t="n">
        <x:v>10302</x:v>
      </x:c>
      <x:c r="G46" s="11" t="n">
        <x:v>0.2813</x:v>
      </x:c>
      <x:c r="H46" s="11" t="n">
        <x:v>0.3506</x:v>
      </x:c>
      <x:c r="I46" s="11" t="n">
        <x:v>0.39049999999999996</x:v>
      </x:c>
      <x:c r="J46" s="13" t="n">
        <x:f>IF(OR(G46=0,G46=1),"",(H46-I46)*100)</x:f>
        <x:v>-3.9899999999999936</x:v>
      </x:c>
      <x:c r="K46" s="14" t="n">
        <x:v>9.58</x:v>
      </x:c>
      <x:c r="L46" s="15" t="n">
        <x:f>F46*G46</x:f>
        <x:v>2897.9526</x:v>
      </x:c>
      <x:c r="M46" s="15" t="n">
        <x:f>F46-L46</x:f>
        <x:v>7404.0473999999995</x:v>
      </x:c>
      <x:c r="N46" s="17" t="str"/>
      <x:c r="O46" s="17" t="str">
        <x:v>https://sts2log.com/cards</x:v>
      </x:c>
      <x:c r="P46" s="17" t="str">
        <x:v>https://slaythespire2.net/ancient/pael</x:v>
      </x:c>
    </x:row>
    <x:row r="47" ht="25" customHeight="1">
      <x:c r="A47" s="2" t="str">
        <x:v>v0.107</x:v>
      </x:c>
      <x:c r="B47" s="2" t="str">
        <x:v>铁甲战士</x:v>
      </x:c>
      <x:c r="C47" s="2" t="str">
        <x:v>佩尔</x:v>
      </x:c>
      <x:c r="D47" s="2" t="str">
        <x:v>佩尔之角</x:v>
      </x:c>
      <x:c r="E47" s="16" t="n">
        <x:f>IF(G47=0,I47,IF(G47=1,H47,G47*H47+(1-G47)*I47))</x:f>
        <x:v>0.3786773</x:v>
      </x:c>
      <x:c r="F47" s="12" t="n">
        <x:v>9996</x:v>
      </x:c>
      <x:c r="G47" s="11" t="n">
        <x:v>0.0953</x:v>
      </x:c>
      <x:c r="H47" s="11" t="n">
        <x:v>0.32530000000000003</x:v>
      </x:c>
      <x:c r="I47" s="11" t="n">
        <x:v>0.3843</x:v>
      </x:c>
      <x:c r="J47" s="13" t="n">
        <x:f>IF(OR(G47=0,G47=1),"",(H47-I47)*100)</x:f>
        <x:v>-5.899999999999994</x:v>
      </x:c>
      <x:c r="K47" s="14" t="n">
        <x:v>7.05</x:v>
      </x:c>
      <x:c r="L47" s="15" t="n">
        <x:f>F47*G47</x:f>
        <x:v>952.6188</x:v>
      </x:c>
      <x:c r="M47" s="15" t="n">
        <x:f>F47-L47</x:f>
        <x:v>9043.3812</x:v>
      </x:c>
      <x:c r="N47" s="17" t="str"/>
      <x:c r="O47" s="17" t="str">
        <x:v>https://sts2log.com/cards</x:v>
      </x:c>
      <x:c r="P47" s="17" t="str">
        <x:v>https://slaythespire2.net/ancient/pael</x:v>
      </x:c>
    </x:row>
    <x:row r="48" ht="25" customHeight="1">
      <x:c r="A48" s="2" t="str">
        <x:v>v0.107</x:v>
      </x:c>
      <x:c r="B48" s="2" t="str">
        <x:v>铁甲战士</x:v>
      </x:c>
      <x:c r="C48" s="2" t="str">
        <x:v>佩尔</x:v>
      </x:c>
      <x:c r="D48" s="2" t="str">
        <x:v>佩尔之肉</x:v>
      </x:c>
      <x:c r="E48" s="16" t="n">
        <x:f>IF(G48=0,I48,IF(G48=1,H48,G48*H48+(1-G48)*I48))</x:f>
        <x:v>0.37450688</x:v>
      </x:c>
      <x:c r="F48" s="12" t="n">
        <x:v>10414</x:v>
      </x:c>
      <x:c r="G48" s="11" t="n">
        <x:v>0.2756</x:v>
      </x:c>
      <x:c r="H48" s="11" t="n">
        <x:v>0.2983</x:v>
      </x:c>
      <x:c r="I48" s="11" t="n">
        <x:v>0.4035</x:v>
      </x:c>
      <x:c r="J48" s="13" t="n">
        <x:f>IF(OR(G48=0,G48=1),"",(H48-I48)*100)</x:f>
        <x:v>-10.520000000000001</x:v>
      </x:c>
      <x:c r="K48" s="14" t="n">
        <x:v>4.35</x:v>
      </x:c>
      <x:c r="L48" s="15" t="n">
        <x:f>F48*G48</x:f>
        <x:v>2870.0984000000003</x:v>
      </x:c>
      <x:c r="M48" s="15" t="n">
        <x:f>F48-L48</x:f>
        <x:v>7543.901599999999</x:v>
      </x:c>
      <x:c r="N48" s="17" t="str"/>
      <x:c r="O48" s="17" t="str">
        <x:v>https://sts2log.com/cards</x:v>
      </x:c>
      <x:c r="P48" s="17" t="str">
        <x:v>https://slaythespire2.net/ancient/pael</x:v>
      </x:c>
    </x:row>
    <x:row r="49" ht="25" customHeight="1">
      <x:c r="A49" s="2" t="str">
        <x:v>v0.107</x:v>
      </x:c>
      <x:c r="B49" s="2" t="str">
        <x:v>铁甲战士</x:v>
      </x:c>
      <x:c r="C49" s="2" t="str">
        <x:v>佩尔</x:v>
      </x:c>
      <x:c r="D49" s="2" t="str">
        <x:v>佩尔之翼</x:v>
      </x:c>
      <x:c r="E49" s="16" t="n">
        <x:f>IF(G49=0,I49,IF(G49=1,H49,G49*H49+(1-G49)*I49))</x:f>
        <x:v>0.37093035</x:v>
      </x:c>
      <x:c r="F49" s="12" t="n">
        <x:v>8926</x:v>
      </x:c>
      <x:c r="G49" s="11" t="n">
        <x:v>0.3615</x:v>
      </x:c>
      <x:c r="H49" s="11" t="n">
        <x:v>0.28850000000000003</x:v>
      </x:c>
      <x:c r="I49" s="11" t="n">
        <x:v>0.41759999999999997</x:v>
      </x:c>
      <x:c r="J49" s="13" t="n">
        <x:f>IF(OR(G49=0,G49=1),"",(H49-I49)*100)</x:f>
        <x:v>-12.909999999999993</x:v>
      </x:c>
      <x:c r="K49" s="14" t="n">
        <x:v>3.37</x:v>
      </x:c>
      <x:c r="L49" s="15" t="n">
        <x:f>F49*G49</x:f>
        <x:v>3226.749</x:v>
      </x:c>
      <x:c r="M49" s="15" t="n">
        <x:f>F49-L49</x:f>
        <x:v>5699.251</x:v>
      </x:c>
      <x:c r="N49" s="17" t="str"/>
      <x:c r="O49" s="17" t="str">
        <x:v>https://sts2log.com/cards</x:v>
      </x:c>
      <x:c r="P49" s="17" t="str">
        <x:v>https://slaythespire2.net/ancient/pael</x:v>
      </x:c>
    </x:row>
    <x:row r="50" ht="25" customHeight="1">
      <x:c r="A50" s="2" t="str">
        <x:v>v0.107</x:v>
      </x:c>
      <x:c r="B50" s="2" t="str">
        <x:v>铁甲战士</x:v>
      </x:c>
      <x:c r="C50" s="2" t="str">
        <x:v>佩尔</x:v>
      </x:c>
      <x:c r="D50" s="2" t="str">
        <x:v>佩尔之牙</x:v>
      </x:c>
      <x:c r="E50" s="16" t="n">
        <x:f>IF(G50=0,I50,IF(G50=1,H50,G50*H50+(1-G50)*I50))</x:f>
        <x:v>0.36733383000000003</x:v>
      </x:c>
      <x:c r="F50" s="12" t="n">
        <x:v>8891</x:v>
      </x:c>
      <x:c r="G50" s="11" t="n">
        <x:v>0.1351</x:v>
      </x:c>
      <x:c r="H50" s="11" t="n">
        <x:v>0.2664</x:v>
      </x:c>
      <x:c r="I50" s="11" t="n">
        <x:v>0.3831</x:v>
      </x:c>
      <x:c r="J50" s="13" t="n">
        <x:f>IF(OR(G50=0,G50=1),"",(H50-I50)*100)</x:f>
        <x:v>-11.669999999999996</x:v>
      </x:c>
      <x:c r="K50" s="14" t="n">
        <x:v>1.16</x:v>
      </x:c>
      <x:c r="L50" s="15" t="n">
        <x:f>F50*G50</x:f>
        <x:v>1201.1741</x:v>
      </x:c>
      <x:c r="M50" s="15" t="n">
        <x:f>F50-L50</x:f>
        <x:v>7689.8259</x:v>
      </x:c>
      <x:c r="N50" s="17" t="str"/>
      <x:c r="O50" s="17" t="str">
        <x:v>https://sts2log.com/cards</x:v>
      </x:c>
      <x:c r="P50" s="17" t="str">
        <x:v>https://slaythespire2.net/ancient/pael</x:v>
      </x:c>
    </x:row>
    <x:row r="51" ht="25" customHeight="1">
      <x:c r="A51" s="2" t="str">
        <x:v>v0.107</x:v>
      </x:c>
      <x:c r="B51" s="2" t="str">
        <x:v>铁甲战士</x:v>
      </x:c>
      <x:c r="C51" s="2" t="str">
        <x:v>佩尔</x:v>
      </x:c>
      <x:c r="D51" s="2" t="str">
        <x:v>佩尔之眼</x:v>
      </x:c>
      <x:c r="E51" s="16" t="n">
        <x:f>IF(G51=0,I51,IF(G51=1,H51,G51*H51+(1-G51)*I51))</x:f>
        <x:v>0.32948960000000005</x:v>
      </x:c>
      <x:c r="F51" s="12" t="n">
        <x:v>10320</x:v>
      </x:c>
      <x:c r="G51" s="11" t="n">
        <x:v>0.3632</x:v>
      </x:c>
      <x:c r="H51" s="11" t="n">
        <x:v>0.33140000000000003</x:v>
      </x:c>
      <x:c r="I51" s="11" t="n">
        <x:v>0.3284</x:v>
      </x:c>
      <x:c r="J51" s="13" t="n">
        <x:f>IF(OR(G51=0,G51=1),"",(H51-I51)*100)</x:f>
        <x:v>0.30000000000000027</x:v>
      </x:c>
      <x:c r="K51" s="14" t="n">
        <x:v>7.66</x:v>
      </x:c>
      <x:c r="L51" s="15" t="n">
        <x:f>F51*G51</x:f>
        <x:v>3748.224</x:v>
      </x:c>
      <x:c r="M51" s="15" t="n">
        <x:f>F51-L51</x:f>
        <x:v>6571.776</x:v>
      </x:c>
      <x:c r="N51" s="17" t="str"/>
      <x:c r="O51" s="17" t="str">
        <x:v>https://sts2log.com/cards</x:v>
      </x:c>
      <x:c r="P51" s="17" t="str">
        <x:v>https://slaythespire2.net/ancient/pael</x:v>
      </x:c>
    </x:row>
    <x:row r="52" ht="25" customHeight="1">
      <x:c r="A52" s="2" t="str">
        <x:v>v0.107</x:v>
      </x:c>
      <x:c r="B52" s="2" t="str">
        <x:v>铁甲战士</x:v>
      </x:c>
      <x:c r="C52" s="2" t="str">
        <x:v>特兹卡塔拉</x:v>
      </x:c>
      <x:c r="D52" s="2" t="str">
        <x:v>故事书</x:v>
      </x:c>
      <x:c r="E52" s="16" t="n">
        <x:f>IF(G52=0,I52,IF(G52=1,H52,G52*H52+(1-G52)*I52))</x:f>
        <x:v>0.43342476</x:v>
      </x:c>
      <x:c r="F52" s="12" t="n">
        <x:v>10369</x:v>
      </x:c>
      <x:c r="G52" s="11" t="n">
        <x:v>0.7188</x:v>
      </x:c>
      <x:c r="H52" s="11" t="n">
        <x:v>0.48479999999999995</x:v>
      </x:c>
      <x:c r="I52" s="11" t="n">
        <x:v>0.30210000000000004</x:v>
      </x:c>
      <x:c r="J52" s="13" t="n">
        <x:f>IF(OR(G52=0,G52=1),"",(H52-I52)*100)</x:f>
        <x:v>18.269999999999992</x:v>
      </x:c>
      <x:c r="K52" s="14" t="n">
        <x:v>23</x:v>
      </x:c>
      <x:c r="L52" s="15" t="n">
        <x:f>F52*G52</x:f>
        <x:v>7453.2372</x:v>
      </x:c>
      <x:c r="M52" s="15" t="n">
        <x:f>F52-L52</x:f>
        <x:v>2915.7628000000004</x:v>
      </x:c>
      <x:c r="N52" s="17" t="str"/>
      <x:c r="O52" s="17" t="str">
        <x:v>https://sts2log.com/cards</x:v>
      </x:c>
      <x:c r="P52" s="17" t="str">
        <x:v>https://slaythespire2.net/ancient/tezcatara</x:v>
      </x:c>
    </x:row>
    <x:row r="53" ht="25" customHeight="1">
      <x:c r="A53" s="2" t="str">
        <x:v>v0.107</x:v>
      </x:c>
      <x:c r="B53" s="2" t="str">
        <x:v>铁甲战士</x:v>
      </x:c>
      <x:c r="C53" s="2" t="str">
        <x:v>特兹卡塔拉</x:v>
      </x:c>
      <x:c r="D53" s="2" t="str">
        <x:v>营养汤</x:v>
      </x:c>
      <x:c r="E53" s="16" t="n">
        <x:f>IF(G53=0,I53,IF(G53=1,H53,G53*H53+(1-G53)*I53))</x:f>
        <x:v>0.41156222</x:v>
      </x:c>
      <x:c r="F53" s="12" t="n">
        <x:v>10208</x:v>
      </x:c>
      <x:c r="G53" s="11" t="n">
        <x:v>0.41229999999999994</x:v>
      </x:c>
      <x:c r="H53" s="11" t="n">
        <x:v>0.38299999999999995</x:v>
      </x:c>
      <x:c r="I53" s="11" t="n">
        <x:v>0.4316</x:v>
      </x:c>
      <x:c r="J53" s="13" t="n">
        <x:f>IF(OR(G53=0,G53=1),"",(H53-I53)*100)</x:f>
        <x:v>-4.860000000000003</x:v>
      </x:c>
      <x:c r="K53" s="14" t="n">
        <x:v>12.82</x:v>
      </x:c>
      <x:c r="L53" s="15" t="n">
        <x:f>F53*G53</x:f>
        <x:v>4208.7584</x:v>
      </x:c>
      <x:c r="M53" s="15" t="n">
        <x:f>F53-L53</x:f>
        <x:v>5999.2416</x:v>
      </x:c>
      <x:c r="N53" s="17" t="str"/>
      <x:c r="O53" s="17" t="str">
        <x:v>https://sts2log.com/cards</x:v>
      </x:c>
      <x:c r="P53" s="17" t="str">
        <x:v>https://slaythespire2.net/ancient/tezcatara</x:v>
      </x:c>
    </x:row>
    <x:row r="54" ht="25" customHeight="1">
      <x:c r="A54" s="2" t="str">
        <x:v>v0.107</x:v>
      </x:c>
      <x:c r="B54" s="2" t="str">
        <x:v>铁甲战士</x:v>
      </x:c>
      <x:c r="C54" s="2" t="str">
        <x:v>特兹卡塔拉</x:v>
      </x:c>
      <x:c r="D54" s="2" t="str">
        <x:v>烫嘴可可</x:v>
      </x:c>
      <x:c r="E54" s="16" t="n">
        <x:f>IF(G54=0,I54,IF(G54=1,H54,G54*H54+(1-G54)*I54))</x:f>
        <x:v>0.3997062</x:v>
      </x:c>
      <x:c r="F54" s="12" t="n">
        <x:v>10308</x:v>
      </x:c>
      <x:c r="G54" s="11" t="n">
        <x:v>0.43799999999999994</x:v>
      </x:c>
      <x:c r="H54" s="11" t="n">
        <x:v>0.3575</x:v>
      </x:c>
      <x:c r="I54" s="11" t="n">
        <x:v>0.4326</x:v>
      </x:c>
      <x:c r="J54" s="13" t="n">
        <x:f>IF(OR(G54=0,G54=1),"",(H54-I54)*100)</x:f>
        <x:v>-7.51</x:v>
      </x:c>
      <x:c r="K54" s="14" t="n">
        <x:v>10.27</x:v>
      </x:c>
      <x:c r="L54" s="15" t="n">
        <x:f>F54*G54</x:f>
        <x:v>4514.9039999999995</x:v>
      </x:c>
      <x:c r="M54" s="15" t="n">
        <x:f>F54-L54</x:f>
        <x:v>5793.0960000000005</x:v>
      </x:c>
      <x:c r="N54" s="17" t="str"/>
      <x:c r="O54" s="17" t="str">
        <x:v>https://sts2log.com/cards</x:v>
      </x:c>
      <x:c r="P54" s="17" t="str">
        <x:v>https://slaythespire2.net/ancient/tezcatara</x:v>
      </x:c>
    </x:row>
    <x:row r="55" ht="25" customHeight="1">
      <x:c r="A55" s="2" t="str">
        <x:v>v0.107</x:v>
      </x:c>
      <x:c r="B55" s="2" t="str">
        <x:v>铁甲战士</x:v>
      </x:c>
      <x:c r="C55" s="2" t="str">
        <x:v>特兹卡塔拉</x:v>
      </x:c>
      <x:c r="D55" s="2" t="str">
        <x:v>黄金印</x:v>
      </x:c>
      <x:c r="E55" s="16" t="n">
        <x:f>IF(G55=0,I55,IF(G55=1,H55,G55*H55+(1-G55)*I55))</x:f>
        <x:v>0.39810393000000005</x:v>
      </x:c>
      <x:c r="F55" s="12" t="n">
        <x:v>7662</x:v>
      </x:c>
      <x:c r="G55" s="11" t="n">
        <x:v>0.1303</x:v>
      </x:c>
      <x:c r="H55" s="11" t="n">
        <x:v>0.4008</x:v>
      </x:c>
      <x:c r="I55" s="11" t="n">
        <x:v>0.39770000000000005</x:v>
      </x:c>
      <x:c r="J55" s="13" t="n">
        <x:f>IF(OR(G55=0,G55=1),"",(H55-I55)*100)</x:f>
        <x:v>0.3099999999999936</x:v>
      </x:c>
      <x:c r="K55" s="14" t="n">
        <x:v>14.6</x:v>
      </x:c>
      <x:c r="L55" s="15" t="n">
        <x:f>F55*G55</x:f>
        <x:v>998.3586</x:v>
      </x:c>
      <x:c r="M55" s="15" t="n">
        <x:f>F55-L55</x:f>
        <x:v>6663.6414</x:v>
      </x:c>
      <x:c r="N55" s="17" t="str"/>
      <x:c r="O55" s="17" t="str">
        <x:v>https://sts2log.com/cards</x:v>
      </x:c>
      <x:c r="P55" s="17" t="str">
        <x:v>https://slaythespire2.net/ancient/tezcatara</x:v>
      </x:c>
    </x:row>
    <x:row r="56" ht="25" customHeight="1">
      <x:c r="A56" s="2" t="str">
        <x:v>v0.107</x:v>
      </x:c>
      <x:c r="B56" s="2" t="str">
        <x:v>铁甲战士</x:v>
      </x:c>
      <x:c r="C56" s="2" t="str">
        <x:v>特兹卡塔拉</x:v>
      </x:c>
      <x:c r="D56" s="2" t="str">
        <x:v>黄金罗盘</x:v>
      </x:c>
      <x:c r="E56" s="16" t="n">
        <x:f>IF(G56=0,I56,IF(G56=1,H56,G56*H56+(1-G56)*I56))</x:f>
        <x:v>0.39567904000000004</x:v>
      </x:c>
      <x:c r="F56" s="12" t="n">
        <x:v>8272</x:v>
      </x:c>
      <x:c r="G56" s="11" t="n">
        <x:v>0.2626</x:v>
      </x:c>
      <x:c r="H56" s="11" t="n">
        <x:v>0.3886</x:v>
      </x:c>
      <x:c r="I56" s="11" t="n">
        <x:v>0.3982</x:v>
      </x:c>
      <x:c r="J56" s="13" t="n">
        <x:f>IF(OR(G56=0,G56=1),"",(H56-I56)*100)</x:f>
        <x:v>-0.9599999999999997</x:v>
      </x:c>
      <x:c r="K56" s="14" t="n">
        <x:v>13.38</x:v>
      </x:c>
      <x:c r="L56" s="15" t="n">
        <x:f>F56*G56</x:f>
        <x:v>2172.2272</x:v>
      </x:c>
      <x:c r="M56" s="15" t="n">
        <x:f>F56-L56</x:f>
        <x:v>6099.772800000001</x:v>
      </x:c>
      <x:c r="N56" s="17" t="str"/>
      <x:c r="O56" s="17" t="str">
        <x:v>https://sts2log.com/cards</x:v>
      </x:c>
      <x:c r="P56" s="17" t="str">
        <x:v>https://slaythespire2.net/ancient/tezcatara</x:v>
      </x:c>
    </x:row>
    <x:row r="57" ht="25" customHeight="1">
      <x:c r="A57" s="2" t="str">
        <x:v>v0.107</x:v>
      </x:c>
      <x:c r="B57" s="2" t="str">
        <x:v>铁甲战士</x:v>
      </x:c>
      <x:c r="C57" s="2" t="str">
        <x:v>特兹卡塔拉</x:v>
      </x:c>
      <x:c r="D57" s="2" t="str">
        <x:v>南瓜蜡烛</x:v>
      </x:c>
      <x:c r="E57" s="16" t="n">
        <x:f>IF(G57=0,I57,IF(G57=1,H57,G57*H57+(1-G57)*I57))</x:f>
        <x:v>0.39326989</x:v>
      </x:c>
      <x:c r="F57" s="12" t="n">
        <x:v>7573</x:v>
      </x:c>
      <x:c r="G57" s="11" t="n">
        <x:v>0.2913</x:v>
      </x:c>
      <x:c r="H57" s="11" t="n">
        <x:v>0.41119999999999995</x:v>
      </x:c>
      <x:c r="I57" s="11" t="n">
        <x:v>0.3859</x:v>
      </x:c>
      <x:c r="J57" s="13" t="n">
        <x:f>IF(OR(G57=0,G57=1),"",(H57-I57)*100)</x:f>
        <x:v>2.529999999999993</x:v>
      </x:c>
      <x:c r="K57" s="14" t="n">
        <x:v>15.64</x:v>
      </x:c>
      <x:c r="L57" s="15" t="n">
        <x:f>F57*G57</x:f>
        <x:v>2206.0149</x:v>
      </x:c>
      <x:c r="M57" s="15" t="n">
        <x:f>F57-L57</x:f>
        <x:v>5366.9851</x:v>
      </x:c>
      <x:c r="N57" s="17" t="str"/>
      <x:c r="O57" s="17" t="str">
        <x:v>https://sts2log.com/cards</x:v>
      </x:c>
      <x:c r="P57" s="17" t="str">
        <x:v>https://slaythespire2.net/ancient/tezcatara</x:v>
      </x:c>
    </x:row>
    <x:row r="58" ht="25" customHeight="1">
      <x:c r="A58" s="2" t="str">
        <x:v>v0.107</x:v>
      </x:c>
      <x:c r="B58" s="2" t="str">
        <x:v>铁甲战士</x:v>
      </x:c>
      <x:c r="C58" s="2" t="str">
        <x:v>特兹卡塔拉</x:v>
      </x:c>
      <x:c r="D58" s="2" t="str">
        <x:v>玩具盒</x:v>
      </x:c>
      <x:c r="E58" s="16" t="n">
        <x:f>IF(G58=0,I58,IF(G58=1,H58,G58*H58+(1-G58)*I58))</x:f>
        <x:v>0.3872965500000001</x:v>
      </x:c>
      <x:c r="F58" s="12" t="n">
        <x:v>7689</x:v>
      </x:c>
      <x:c r="G58" s="11" t="n">
        <x:v>0.1877</x:v>
      </x:c>
      <x:c r="H58" s="11" t="n">
        <x:v>0.3479</x:v>
      </x:c>
      <x:c r="I58" s="11" t="n">
        <x:v>0.39640000000000003</x:v>
      </x:c>
      <x:c r="J58" s="13" t="n">
        <x:f>IF(OR(G58=0,G58=1),"",(H58-I58)*100)</x:f>
        <x:v>-4.850000000000004</x:v>
      </x:c>
      <x:c r="K58" s="14" t="n">
        <x:v>9.31</x:v>
      </x:c>
      <x:c r="L58" s="15" t="n">
        <x:f>F58*G58</x:f>
        <x:v>1443.2253</x:v>
      </x:c>
      <x:c r="M58" s="15" t="n">
        <x:f>F58-L58</x:f>
        <x:v>6245.7747</x:v>
      </x:c>
      <x:c r="N58" s="17" t="str"/>
      <x:c r="O58" s="17" t="str">
        <x:v>https://sts2log.com/cards</x:v>
      </x:c>
      <x:c r="P58" s="17" t="str">
        <x:v>https://slaythespire2.net/ancient/tezcatara</x:v>
      </x:c>
    </x:row>
    <x:row r="59" ht="25" customHeight="1">
      <x:c r="A59" s="2" t="str">
        <x:v>v0.107</x:v>
      </x:c>
      <x:c r="B59" s="2" t="str">
        <x:v>铁甲战士</x:v>
      </x:c>
      <x:c r="C59" s="2" t="str">
        <x:v>特兹卡塔拉</x:v>
      </x:c>
      <x:c r="D59" s="2" t="str">
        <x:v>大～抱抱</x:v>
      </x:c>
      <x:c r="E59" s="16" t="n">
        <x:f>IF(G59=0,I59,IF(G59=1,H59,G59*H59+(1-G59)*I59))</x:f>
        <x:v>0.38440799999999997</x:v>
      </x:c>
      <x:c r="F59" s="12" t="n">
        <x:v>10245</x:v>
      </x:c>
      <x:c r="G59" s="11" t="n">
        <x:v>0.24</x:v>
      </x:c>
      <x:c r="H59" s="11" t="n">
        <x:v>0.44079999999999997</x:v>
      </x:c>
      <x:c r="I59" s="11" t="n">
        <x:v>0.3666</x:v>
      </x:c>
      <x:c r="J59" s="13" t="n">
        <x:f>IF(OR(G59=0,G59=1),"",(H59-I59)*100)</x:f>
        <x:v>7.419999999999999</x:v>
      </x:c>
      <x:c r="K59" s="14" t="n">
        <x:v>18.6</x:v>
      </x:c>
      <x:c r="L59" s="15" t="n">
        <x:f>F59*G59</x:f>
        <x:v>2458.7999999999997</x:v>
      </x:c>
      <x:c r="M59" s="15" t="n">
        <x:f>F59-L59</x:f>
        <x:v>7786.200000000001</x:v>
      </x:c>
      <x:c r="N59" s="17" t="str"/>
      <x:c r="O59" s="17" t="str">
        <x:v>https://sts2log.com/cards</x:v>
      </x:c>
      <x:c r="P59" s="17" t="str">
        <x:v>https://slaythespire2.net/ancient/tezcatara</x:v>
      </x:c>
    </x:row>
    <x:row r="60" ht="25" customHeight="1">
      <x:c r="A60" s="2" t="str">
        <x:v>v0.107</x:v>
      </x:c>
      <x:c r="B60" s="2" t="str">
        <x:v>铁甲战士</x:v>
      </x:c>
      <x:c r="C60" s="2" t="str">
        <x:v>特兹卡塔拉</x:v>
      </x:c>
      <x:c r="D60" s="2" t="str">
        <x:v>美味饼干</x:v>
      </x:c>
      <x:c r="E60" s="16" t="n">
        <x:f>IF(G60=0,I60,IF(G60=1,H60,G60*H60+(1-G60)*I60))</x:f>
        <x:v>0.3717434</x:v>
      </x:c>
      <x:c r="F60" s="12" t="n">
        <x:v>10622</x:v>
      </x:c>
      <x:c r="G60" s="11" t="n">
        <x:v>0.4673</x:v>
      </x:c>
      <x:c r="H60" s="11" t="n">
        <x:v>0.2961</x:v>
      </x:c>
      <x:c r="I60" s="11" t="n">
        <x:v>0.43810000000000004</x:v>
      </x:c>
      <x:c r="J60" s="13" t="n">
        <x:f>IF(OR(G60=0,G60=1),"",(H60-I60)*100)</x:f>
        <x:v>-14.200000000000006</x:v>
      </x:c>
      <x:c r="K60" s="14" t="n">
        <x:v>4.13</x:v>
      </x:c>
      <x:c r="L60" s="15" t="n">
        <x:f>F60*G60</x:f>
        <x:v>4963.6606</x:v>
      </x:c>
      <x:c r="M60" s="15" t="n">
        <x:f>F60-L60</x:f>
        <x:v>5658.3394</x:v>
      </x:c>
      <x:c r="N60" s="17" t="str"/>
      <x:c r="O60" s="17" t="str">
        <x:v>https://sts2log.com/cards</x:v>
      </x:c>
      <x:c r="P60" s="17" t="str">
        <x:v>https://slaythespire2.net/ancient/tezcatara</x:v>
      </x:c>
    </x:row>
    <x:row r="61" ht="25" customHeight="1">
      <x:c r="A61" s="2" t="str">
        <x:v>v0.107</x:v>
      </x:c>
      <x:c r="B61" s="2" t="str">
        <x:v>铁甲战士</x:v>
      </x:c>
      <x:c r="C61" s="2" t="str">
        <x:v>特兹卡塔拉</x:v>
      </x:c>
      <x:c r="D61" s="2" t="str">
        <x:v>烘焙手套</x:v>
      </x:c>
      <x:c r="E61" s="16" t="n">
        <x:f>IF(G61=0,I61,IF(G61=1,H61,G61*H61+(1-G61)*I61))</x:f>
        <x:v>0.3654964</x:v>
      </x:c>
      <x:c r="F61" s="12" t="n">
        <x:v>10510</x:v>
      </x:c>
      <x:c r="G61" s="11" t="n">
        <x:v>0.0546</x:v>
      </x:c>
      <x:c r="H61" s="11" t="n">
        <x:v>0.3031</x:v>
      </x:c>
      <x:c r="I61" s="11" t="n">
        <x:v>0.3691</x:v>
      </x:c>
      <x:c r="J61" s="13" t="n">
        <x:f>IF(OR(G61=0,G61=1),"",(H61-I61)*100)</x:f>
        <x:v>-6.6000000000000005</x:v>
      </x:c>
      <x:c r="K61" s="14" t="n">
        <x:v>4.83</x:v>
      </x:c>
      <x:c r="L61" s="15" t="n">
        <x:f>F61*G61</x:f>
        <x:v>573.846</x:v>
      </x:c>
      <x:c r="M61" s="15" t="n">
        <x:f>F61-L61</x:f>
        <x:v>9936.154</x:v>
      </x:c>
      <x:c r="N61" s="17" t="str"/>
      <x:c r="O61" s="17" t="str">
        <x:v>https://sts2log.com/cards</x:v>
      </x:c>
      <x:c r="P61" s="17" t="str">
        <x:v>https://slaythespire2.net/ancient/tezcatara</x:v>
      </x:c>
    </x:row>
    <x:row r="62" ht="25" customHeight="1">
      <x:c r="A62" s="2" t="str">
        <x:v>v0.107</x:v>
      </x:c>
      <x:c r="B62" s="2" t="str">
        <x:v>铁甲战士</x:v>
      </x:c>
      <x:c r="C62" s="2" t="str">
        <x:v>诺奴佩普</x:v>
      </x:c>
      <x:c r="D62" s="2" t="str">
        <x:v>华美手镯</x:v>
      </x:c>
      <x:c r="E62" s="16" t="n">
        <x:f>IF(G62=0,I62,IF(G62=1,H62,G62*H62+(1-G62)*I62))</x:f>
        <x:v>0.64342482</x:v>
      </x:c>
      <x:c r="F62" s="12" t="n">
        <x:v>6156</x:v>
      </x:c>
      <x:c r="G62" s="11" t="n">
        <x:v>0.5439</x:v>
      </x:c>
      <x:c r="H62" s="11" t="n">
        <x:v>0.7454999999999999</x:v>
      </x:c>
      <x:c r="I62" s="11" t="n">
        <x:v>0.5217</x:v>
      </x:c>
      <x:c r="J62" s="13" t="n">
        <x:f>IF(OR(G62=0,G62=1),"",(H62-I62)*100)</x:f>
        <x:v>22.37999999999999</x:v>
      </x:c>
      <x:c r="K62" s="14" t="n">
        <x:v>49.07</x:v>
      </x:c>
      <x:c r="L62" s="15" t="n">
        <x:f>F62*G62</x:f>
        <x:v>3348.2484000000004</x:v>
      </x:c>
      <x:c r="M62" s="15" t="n">
        <x:f>F62-L62</x:f>
        <x:v>2807.7515999999996</x:v>
      </x:c>
      <x:c r="N62" s="17" t="str"/>
      <x:c r="O62" s="17" t="str">
        <x:v>https://sts2log.com/cards</x:v>
      </x:c>
      <x:c r="P62" s="17" t="str">
        <x:v>https://slaythespire2.net/ancient/nonupeipe</x:v>
      </x:c>
    </x:row>
    <x:row r="63" ht="25" customHeight="1">
      <x:c r="A63" s="2" t="str">
        <x:v>v0.107</x:v>
      </x:c>
      <x:c r="B63" s="2" t="str">
        <x:v>铁甲战士</x:v>
      </x:c>
      <x:c r="C63" s="2" t="str">
        <x:v>诺奴佩普</x:v>
      </x:c>
      <x:c r="D63" s="2" t="str">
        <x:v>图章戒指</x:v>
      </x:c>
      <x:c r="E63" s="16" t="n">
        <x:f>IF(G63=0,I63,IF(G63=1,H63,G63*H63+(1-G63)*I63))</x:f>
        <x:v>0.6105816399999999</x:v>
      </x:c>
      <x:c r="F63" s="12" t="n">
        <x:v>6312</x:v>
      </x:c>
      <x:c r="G63" s="11" t="n">
        <x:v>0.5158</x:v>
      </x:c>
      <x:c r="H63" s="11" t="n">
        <x:v>0.6376</x:v>
      </x:c>
      <x:c r="I63" s="11" t="n">
        <x:v>0.5818</x:v>
      </x:c>
      <x:c r="J63" s="13" t="n">
        <x:f>IF(OR(G63=0,G63=1),"",(H63-I63)*100)</x:f>
        <x:v>5.5799999999999965</x:v>
      </x:c>
      <x:c r="K63" s="14" t="n">
        <x:v>38.28</x:v>
      </x:c>
      <x:c r="L63" s="15" t="n">
        <x:f>F63*G63</x:f>
        <x:v>3255.7296</x:v>
      </x:c>
      <x:c r="M63" s="15" t="n">
        <x:f>F63-L63</x:f>
        <x:v>3056.2704</x:v>
      </x:c>
      <x:c r="N63" s="17" t="str"/>
      <x:c r="O63" s="17" t="str">
        <x:v>https://sts2log.com/cards</x:v>
      </x:c>
      <x:c r="P63" s="17" t="str">
        <x:v>https://slaythespire2.net/ancient/nonupeipe</x:v>
      </x:c>
    </x:row>
    <x:row r="64" ht="25" customHeight="1">
      <x:c r="A64" s="2" t="str">
        <x:v>v0.107</x:v>
      </x:c>
      <x:c r="B64" s="2" t="str">
        <x:v>铁甲战士</x:v>
      </x:c>
      <x:c r="C64" s="2" t="str">
        <x:v>诺奴佩普</x:v>
      </x:c>
      <x:c r="D64" s="2" t="str">
        <x:v>布质果实</x:v>
      </x:c>
      <x:c r="E64" s="16" t="n">
        <x:f>IF(G64=0,I64,IF(G64=1,H64,G64*H64+(1-G64)*I64))</x:f>
        <x:v>0.60603296</x:v>
      </x:c>
      <x:c r="F64" s="12" t="n">
        <x:v>6183</x:v>
      </x:c>
      <x:c r="G64" s="11" t="n">
        <x:v>0.3013</x:v>
      </x:c>
      <x:c r="H64" s="11" t="n">
        <x:v>0.5915</x:v>
      </x:c>
      <x:c r="I64" s="11" t="n">
        <x:v>0.6123</x:v>
      </x:c>
      <x:c r="J64" s="13" t="n">
        <x:f>IF(OR(G64=0,G64=1),"",(H64-I64)*100)</x:f>
        <x:v>-2.079999999999993</x:v>
      </x:c>
      <x:c r="K64" s="14" t="n">
        <x:v>33.67</x:v>
      </x:c>
      <x:c r="L64" s="15" t="n">
        <x:f>F64*G64</x:f>
        <x:v>1862.9379000000001</x:v>
      </x:c>
      <x:c r="M64" s="15" t="n">
        <x:f>F64-L64</x:f>
        <x:v>4320.0621</x:v>
      </x:c>
      <x:c r="N64" s="17" t="str"/>
      <x:c r="O64" s="17" t="str">
        <x:v>https://sts2log.com/cards</x:v>
      </x:c>
      <x:c r="P64" s="17" t="str">
        <x:v>https://slaythespire2.net/ancient/nonupeipe</x:v>
      </x:c>
    </x:row>
    <x:row r="65" ht="25" customHeight="1">
      <x:c r="A65" s="2" t="str">
        <x:v>v0.107</x:v>
      </x:c>
      <x:c r="B65" s="2" t="str">
        <x:v>铁甲战士</x:v>
      </x:c>
      <x:c r="C65" s="2" t="str">
        <x:v>诺奴佩普</x:v>
      </x:c>
      <x:c r="D65" s="2" t="str">
        <x:v>娇嫩蕨草</x:v>
      </x:c>
      <x:c r="E65" s="16" t="n">
        <x:f>IF(G65=0,I65,IF(G65=1,H65,G65*H65+(1-G65)*I65))</x:f>
        <x:v>0.59720134</x:v>
      </x:c>
      <x:c r="F65" s="12" t="n">
        <x:v>6316</x:v>
      </x:c>
      <x:c r="G65" s="11" t="n">
        <x:v>0.1702</x:v>
      </x:c>
      <x:c r="H65" s="11" t="n">
        <x:v>0.6484000000000001</x:v>
      </x:c>
      <x:c r="I65" s="11" t="n">
        <x:v>0.5867</x:v>
      </x:c>
      <x:c r="J65" s="13" t="n">
        <x:f>IF(OR(G65=0,G65=1),"",(H65-I65)*100)</x:f>
        <x:v>6.170000000000009</x:v>
      </x:c>
      <x:c r="K65" s="14" t="n">
        <x:v>39.36</x:v>
      </x:c>
      <x:c r="L65" s="15" t="n">
        <x:f>F65*G65</x:f>
        <x:v>1074.9832</x:v>
      </x:c>
      <x:c r="M65" s="15" t="n">
        <x:f>F65-L65</x:f>
        <x:v>5241.0168</x:v>
      </x:c>
      <x:c r="N65" s="17" t="str"/>
      <x:c r="O65" s="17" t="str">
        <x:v>https://sts2log.com/cards</x:v>
      </x:c>
      <x:c r="P65" s="17" t="str">
        <x:v>https://slaythespire2.net/ancient/nonupeipe</x:v>
      </x:c>
    </x:row>
    <x:row r="66" ht="25" customHeight="1">
      <x:c r="A66" s="2" t="str">
        <x:v>v0.107</x:v>
      </x:c>
      <x:c r="B66" s="2" t="str">
        <x:v>铁甲战士</x:v>
      </x:c>
      <x:c r="C66" s="2" t="str">
        <x:v>诺奴佩普</x:v>
      </x:c>
      <x:c r="D66" s="2" t="str">
        <x:v>钻石头冠</x:v>
      </x:c>
      <x:c r="E66" s="16" t="n">
        <x:f>IF(G66=0,I66,IF(G66=1,H66,G66*H66+(1-G66)*I66))</x:f>
        <x:v>0.5932284099999999</x:v>
      </x:c>
      <x:c r="F66" s="12" t="n">
        <x:v>6240</x:v>
      </x:c>
      <x:c r="G66" s="11" t="n">
        <x:v>0.2841</x:v>
      </x:c>
      <x:c r="H66" s="11" t="n">
        <x:v>0.5932999999999999</x:v>
      </x:c>
      <x:c r="I66" s="11" t="n">
        <x:v>0.5932</x:v>
      </x:c>
      <x:c r="J66" s="13" t="n">
        <x:f>IF(OR(G66=0,G66=1),"",(H66-I66)*100)</x:f>
        <x:v>0.009999999999998899</x:v>
      </x:c>
      <x:c r="K66" s="14" t="n">
        <x:v>33.85</x:v>
      </x:c>
      <x:c r="L66" s="15" t="n">
        <x:f>F66*G66</x:f>
        <x:v>1772.784</x:v>
      </x:c>
      <x:c r="M66" s="15" t="n">
        <x:f>F66-L66</x:f>
        <x:v>4467.216</x:v>
      </x:c>
      <x:c r="N66" s="17" t="str"/>
      <x:c r="O66" s="17" t="str">
        <x:v>https://sts2log.com/cards</x:v>
      </x:c>
      <x:c r="P66" s="17" t="str">
        <x:v>https://slaythespire2.net/ancient/nonupeipe</x:v>
      </x:c>
    </x:row>
    <x:row r="67" ht="25" customHeight="1">
      <x:c r="A67" s="2" t="str">
        <x:v>v0.107</x:v>
      </x:c>
      <x:c r="B67" s="2" t="str">
        <x:v>铁甲战士</x:v>
      </x:c>
      <x:c r="C67" s="2" t="str">
        <x:v>诺奴佩普</x:v>
      </x:c>
      <x:c r="D67" s="2" t="str">
        <x:v>珠宝盒</x:v>
      </x:c>
      <x:c r="E67" s="16" t="n">
        <x:f>IF(G67=0,I67,IF(G67=1,H67,G67*H67+(1-G67)*I67))</x:f>
        <x:v>0.5924647999999999</x:v>
      </x:c>
      <x:c r="F67" s="12" t="n">
        <x:v>6110</x:v>
      </x:c>
      <x:c r="G67" s="11" t="n">
        <x:v>0.2254</x:v>
      </x:c>
      <x:c r="H67" s="11" t="n">
        <x:v>0.5243</x:v>
      </x:c>
      <x:c r="I67" s="11" t="n">
        <x:v>0.6123</x:v>
      </x:c>
      <x:c r="J67" s="13" t="n">
        <x:f>IF(OR(G67=0,G67=1),"",(H67-I67)*100)</x:f>
        <x:v>-8.799999999999997</x:v>
      </x:c>
      <x:c r="K67" s="14" t="n">
        <x:v>26.95</x:v>
      </x:c>
      <x:c r="L67" s="15" t="n">
        <x:f>F67*G67</x:f>
        <x:v>1377.194</x:v>
      </x:c>
      <x:c r="M67" s="15" t="n">
        <x:f>F67-L67</x:f>
        <x:v>4732.8060000000005</x:v>
      </x:c>
      <x:c r="N67" s="17" t="str"/>
      <x:c r="O67" s="17" t="str">
        <x:v>https://sts2log.com/cards</x:v>
      </x:c>
      <x:c r="P67" s="17" t="str">
        <x:v>https://slaythespire2.net/ancient/nonupeipe</x:v>
      </x:c>
    </x:row>
    <x:row r="68" ht="25" customHeight="1">
      <x:c r="A68" s="2" t="str">
        <x:v>v0.107</x:v>
      </x:c>
      <x:c r="B68" s="2" t="str">
        <x:v>铁甲战士</x:v>
      </x:c>
      <x:c r="C68" s="2" t="str">
        <x:v>诺奴佩普</x:v>
      </x:c>
      <x:c r="D68" s="2" t="str">
        <x:v>亮片</x:v>
      </x:c>
      <x:c r="E68" s="16" t="n">
        <x:f>IF(G68=0,I68,IF(G68=1,H68,G68*H68+(1-G68)*I68))</x:f>
        <x:v>0.589388</x:v>
      </x:c>
      <x:c r="F68" s="12" t="n">
        <x:v>6293</x:v>
      </x:c>
      <x:c r="G68" s="11" t="n">
        <x:v>0.42</x:v>
      </x:c>
      <x:c r="H68" s="11" t="n">
        <x:v>0.5640999999999999</x:v>
      </x:c>
      <x:c r="I68" s="11" t="n">
        <x:v>0.6077</x:v>
      </x:c>
      <x:c r="J68" s="13" t="n">
        <x:f>IF(OR(G68=0,G68=1),"",(H68-I68)*100)</x:f>
        <x:v>-4.360000000000008</x:v>
      </x:c>
      <x:c r="K68" s="14" t="n">
        <x:v>30.93</x:v>
      </x:c>
      <x:c r="L68" s="15" t="n">
        <x:f>F68*G68</x:f>
        <x:v>2643.06</x:v>
      </x:c>
      <x:c r="M68" s="15" t="n">
        <x:f>F68-L68</x:f>
        <x:v>3649.94</x:v>
      </x:c>
      <x:c r="N68" s="17" t="str"/>
      <x:c r="O68" s="17" t="str">
        <x:v>https://sts2log.com/cards</x:v>
      </x:c>
      <x:c r="P68" s="17" t="str">
        <x:v>https://slaythespire2.net/ancient/nonupeipe</x:v>
      </x:c>
    </x:row>
    <x:row r="69" ht="25" customHeight="1">
      <x:c r="A69" s="2" t="str">
        <x:v>v0.107</x:v>
      </x:c>
      <x:c r="B69" s="2" t="str">
        <x:v>铁甲战士</x:v>
      </x:c>
      <x:c r="C69" s="2" t="str">
        <x:v>诺奴佩普</x:v>
      </x:c>
      <x:c r="D69" s="2" t="str">
        <x:v>艳丽围巾</x:v>
      </x:c>
      <x:c r="E69" s="16" t="n">
        <x:f>IF(G69=0,I69,IF(G69=1,H69,G69*H69+(1-G69)*I69))</x:f>
        <x:v>0.58815774</x:v>
      </x:c>
      <x:c r="F69" s="12" t="n">
        <x:v>6170</x:v>
      </x:c>
      <x:c r="G69" s="11" t="n">
        <x:v>0.2721</x:v>
      </x:c>
      <x:c r="H69" s="11" t="n">
        <x:v>0.595</x:v>
      </x:c>
      <x:c r="I69" s="11" t="n">
        <x:v>0.5856</x:v>
      </x:c>
      <x:c r="J69" s="13" t="n">
        <x:f>IF(OR(G69=0,G69=1),"",(H69-I69)*100)</x:f>
        <x:v>0.9399999999999964</x:v>
      </x:c>
      <x:c r="K69" s="14" t="n">
        <x:v>34.02</x:v>
      </x:c>
      <x:c r="L69" s="15" t="n">
        <x:f>F69*G69</x:f>
        <x:v>1678.857</x:v>
      </x:c>
      <x:c r="M69" s="15" t="n">
        <x:f>F69-L69</x:f>
        <x:v>4491.143</x:v>
      </x:c>
      <x:c r="N69" s="17" t="str"/>
      <x:c r="O69" s="17" t="str">
        <x:v>https://sts2log.com/cards</x:v>
      </x:c>
      <x:c r="P69" s="17" t="str">
        <x:v>https://slaythespire2.net/ancient/nonupeipe</x:v>
      </x:c>
    </x:row>
    <x:row r="70" ht="25" customHeight="1">
      <x:c r="A70" s="2" t="str">
        <x:v>v0.107</x:v>
      </x:c>
      <x:c r="B70" s="2" t="str">
        <x:v>铁甲战士</x:v>
      </x:c>
      <x:c r="C70" s="2" t="str">
        <x:v>诺奴佩普</x:v>
      </x:c>
      <x:c r="D70" s="2" t="str">
        <x:v>赐福鹿角</x:v>
      </x:c>
      <x:c r="E70" s="16" t="n">
        <x:f>IF(G70=0,I70,IF(G70=1,H70,G70*H70+(1-G70)*I70))</x:f>
        <x:v>0.58431624</x:v>
      </x:c>
      <x:c r="F70" s="12" t="n">
        <x:v>6247</x:v>
      </x:c>
      <x:c r="G70" s="11" t="n">
        <x:v>0.2726</x:v>
      </x:c>
      <x:c r="H70" s="11" t="n">
        <x:v>0.4915</x:v>
      </x:c>
      <x:c r="I70" s="11" t="n">
        <x:v>0.6191</x:v>
      </x:c>
      <x:c r="J70" s="13" t="n">
        <x:f>IF(OR(G70=0,G70=1),"",(H70-I70)*100)</x:f>
        <x:v>-12.76</x:v>
      </x:c>
      <x:c r="K70" s="14" t="n">
        <x:v>23.67</x:v>
      </x:c>
      <x:c r="L70" s="15" t="n">
        <x:f>F70*G70</x:f>
        <x:v>1702.9322</x:v>
      </x:c>
      <x:c r="M70" s="15" t="n">
        <x:f>F70-L70</x:f>
        <x:v>4544.0678</x:v>
      </x:c>
      <x:c r="N70" s="17" t="str"/>
      <x:c r="O70" s="17" t="str">
        <x:v>https://sts2log.com/cards</x:v>
      </x:c>
      <x:c r="P70" s="17" t="str">
        <x:v>https://slaythespire2.net/ancient/nonupeipe</x:v>
      </x:c>
    </x:row>
    <x:row r="71" ht="25" customHeight="1">
      <x:c r="A71" s="2" t="str">
        <x:v>v0.107</x:v>
      </x:c>
      <x:c r="B71" s="2" t="str">
        <x:v>铁甲战士</x:v>
      </x:c>
      <x:c r="C71" s="2" t="str">
        <x:v>诺奴佩普</x:v>
      </x:c>
      <x:c r="D71" s="2" t="str">
        <x:v>皮草大衣</x:v>
      </x:c>
      <x:c r="E71" s="16" t="n">
        <x:f>IF(G71=0,I71,IF(G71=1,H71,G71*H71+(1-G71)*I71))</x:f>
        <x:v>0.5826422600000001</x:v>
      </x:c>
      <x:c r="F71" s="12" t="n">
        <x:v>6208</x:v>
      </x:c>
      <x:c r="G71" s="11" t="n">
        <x:v>0.3157</x:v>
      </x:c>
      <x:c r="H71" s="11" t="n">
        <x:v>0.4607</x:v>
      </x:c>
      <x:c r="I71" s="11" t="n">
        <x:v>0.6389</x:v>
      </x:c>
      <x:c r="J71" s="13" t="n">
        <x:f>IF(OR(G71=0,G71=1),"",(H71-I71)*100)</x:f>
        <x:v>-17.820000000000004</x:v>
      </x:c>
      <x:c r="K71" s="14" t="n">
        <x:v>20.59</x:v>
      </x:c>
      <x:c r="L71" s="15" t="n">
        <x:f>F71*G71</x:f>
        <x:v>1959.8655999999999</x:v>
      </x:c>
      <x:c r="M71" s="15" t="n">
        <x:f>F71-L71</x:f>
        <x:v>4248.1344</x:v>
      </x:c>
      <x:c r="N71" s="17" t="str"/>
      <x:c r="O71" s="17" t="str">
        <x:v>https://sts2log.com/cards</x:v>
      </x:c>
      <x:c r="P71" s="17" t="str">
        <x:v>https://slaythespire2.net/ancient/nonupeipe</x:v>
      </x:c>
    </x:row>
    <x:row r="72" ht="25" customHeight="1">
      <x:c r="A72" s="2" t="str">
        <x:v>v0.107</x:v>
      </x:c>
      <x:c r="B72" s="2" t="str">
        <x:v>铁甲战士</x:v>
      </x:c>
      <x:c r="C72" s="2" t="str">
        <x:v>坦克斯</x:v>
      </x:c>
      <x:c r="D72" s="2" t="str">
        <x:v>十字弓</x:v>
      </x:c>
      <x:c r="E72" s="16" t="n">
        <x:f>IF(G72=0,I72,IF(G72=1,H72,G72*H72+(1-G72)*I72))</x:f>
        <x:v>0.61940994</x:v>
      </x:c>
      <x:c r="F72" s="12" t="n">
        <x:v>6241</x:v>
      </x:c>
      <x:c r="G72" s="11" t="n">
        <x:v>0.22219999999999998</x:v>
      </x:c>
      <x:c r="H72" s="11" t="n">
        <x:v>0.6604000000000001</x:v>
      </x:c>
      <x:c r="I72" s="11" t="n">
        <x:v>0.6077</x:v>
      </x:c>
      <x:c r="J72" s="13" t="n">
        <x:f>IF(OR(G72=0,G72=1),"",(H72-I72)*100)</x:f>
        <x:v>5.2700000000000085</x:v>
      </x:c>
      <x:c r="K72" s="14" t="n">
        <x:v>40.56</x:v>
      </x:c>
      <x:c r="L72" s="15" t="n">
        <x:f>F72*G72</x:f>
        <x:v>1386.7502</x:v>
      </x:c>
      <x:c r="M72" s="15" t="n">
        <x:f>F72-L72</x:f>
        <x:v>4854.2498</x:v>
      </x:c>
      <x:c r="N72" s="17" t="str"/>
      <x:c r="O72" s="17" t="str">
        <x:v>https://sts2log.com/cards</x:v>
      </x:c>
      <x:c r="P72" s="17" t="str">
        <x:v>https://slaythespire2.net/ancient/tanx</x:v>
      </x:c>
    </x:row>
    <x:row r="73" ht="25" customHeight="1">
      <x:c r="A73" s="2" t="str">
        <x:v>v0.107</x:v>
      </x:c>
      <x:c r="B73" s="2" t="str">
        <x:v>铁甲战士</x:v>
      </x:c>
      <x:c r="C73" s="2" t="str">
        <x:v>坦克斯</x:v>
      </x:c>
      <x:c r="D73" s="2" t="str">
        <x:v>钗</x:v>
      </x:c>
      <x:c r="E73" s="16" t="n">
        <x:f>IF(G73=0,I73,IF(G73=1,H73,G73*H73+(1-G73)*I73))</x:f>
        <x:v>0.6156157000000001</x:v>
      </x:c>
      <x:c r="F73" s="12" t="n">
        <x:v>6377</x:v>
      </x:c>
      <x:c r="G73" s="11" t="n">
        <x:v>0.469</x:v>
      </x:c>
      <x:c r="H73" s="11" t="n">
        <x:v>0.6556000000000001</x:v>
      </x:c>
      <x:c r="I73" s="11" t="n">
        <x:v>0.5803</x:v>
      </x:c>
      <x:c r="J73" s="13" t="n">
        <x:f>IF(OR(G73=0,G73=1),"",(H73-I73)*100)</x:f>
        <x:v>7.530000000000003</x:v>
      </x:c>
      <x:c r="K73" s="14" t="n">
        <x:v>40.08</x:v>
      </x:c>
      <x:c r="L73" s="15" t="n">
        <x:f>F73*G73</x:f>
        <x:v>2990.8129999999996</x:v>
      </x:c>
      <x:c r="M73" s="15" t="n">
        <x:f>F73-L73</x:f>
        <x:v>3386.1870000000004</x:v>
      </x:c>
      <x:c r="N73" s="17" t="str"/>
      <x:c r="O73" s="17" t="str">
        <x:v>https://sts2log.com/cards</x:v>
      </x:c>
      <x:c r="P73" s="17" t="str">
        <x:v>https://slaythespire2.net/ancient/tanx</x:v>
      </x:c>
    </x:row>
    <x:row r="74" ht="25" customHeight="1">
      <x:c r="A74" s="2" t="str">
        <x:v>v0.107</x:v>
      </x:c>
      <x:c r="B74" s="2" t="str">
        <x:v>铁甲战士</x:v>
      </x:c>
      <x:c r="C74" s="2" t="str">
        <x:v>坦克斯</x:v>
      </x:c>
      <x:c r="D74" s="2" t="str">
        <x:v>铁棒</x:v>
      </x:c>
      <x:c r="E74" s="16" t="n">
        <x:f>IF(G74=0,I74,IF(G74=1,H74,G74*H74+(1-G74)*I74))</x:f>
        <x:v>0.60940748</x:v>
      </x:c>
      <x:c r="F74" s="12" t="n">
        <x:v>6124</x:v>
      </x:c>
      <x:c r="G74" s="11" t="n">
        <x:v>0.4719</x:v>
      </x:c>
      <x:c r="H74" s="11" t="n">
        <x:v>0.6881999999999999</x:v>
      </x:c>
      <x:c r="I74" s="11" t="n">
        <x:v>0.539</x:v>
      </x:c>
      <x:c r="J74" s="13" t="n">
        <x:f>IF(OR(G74=0,G74=1),"",(H74-I74)*100)</x:f>
        <x:v>14.91999999999999</x:v>
      </x:c>
      <x:c r="K74" s="14" t="n">
        <x:v>43.34</x:v>
      </x:c>
      <x:c r="L74" s="15" t="n">
        <x:f>F74*G74</x:f>
        <x:v>2889.9156</x:v>
      </x:c>
      <x:c r="M74" s="15" t="n">
        <x:f>F74-L74</x:f>
        <x:v>3234.0844</x:v>
      </x:c>
      <x:c r="N74" s="17" t="str"/>
      <x:c r="O74" s="17" t="str">
        <x:v>https://sts2log.com/cards</x:v>
      </x:c>
      <x:c r="P74" s="17" t="str">
        <x:v>https://slaythespire2.net/ancient/tanx</x:v>
      </x:c>
    </x:row>
    <x:row r="75" ht="25" customHeight="1">
      <x:c r="A75" s="2" t="str">
        <x:v>v0.107</x:v>
      </x:c>
      <x:c r="B75" s="2" t="str">
        <x:v>铁甲战士</x:v>
      </x:c>
      <x:c r="C75" s="2" t="str">
        <x:v>坦克斯</x:v>
      </x:c>
      <x:c r="D75" s="2" t="str">
        <x:v>切肉刀</x:v>
      </x:c>
      <x:c r="E75" s="16" t="n">
        <x:f>IF(G75=0,I75,IF(G75=1,H75,G75*H75+(1-G75)*I75))</x:f>
        <x:v>0.60451928</x:v>
      </x:c>
      <x:c r="F75" s="12" t="n">
        <x:v>6091</x:v>
      </x:c>
      <x:c r="G75" s="11" t="n">
        <x:v>0.49520000000000003</x:v>
      </x:c>
      <x:c r="H75" s="11" t="n">
        <x:v>0.6393</x:v>
      </x:c>
      <x:c r="I75" s="11" t="n">
        <x:v>0.5704</x:v>
      </x:c>
      <x:c r="J75" s="13" t="n">
        <x:f>IF(OR(G75=0,G75=1),"",(H75-I75)*100)</x:f>
        <x:v>6.889999999999996</x:v>
      </x:c>
      <x:c r="K75" s="14" t="n">
        <x:v>38.45</x:v>
      </x:c>
      <x:c r="L75" s="15" t="n">
        <x:f>F75*G75</x:f>
        <x:v>3016.2632000000003</x:v>
      </x:c>
      <x:c r="M75" s="15" t="n">
        <x:f>F75-L75</x:f>
        <x:v>3074.7367999999997</x:v>
      </x:c>
      <x:c r="N75" s="17" t="str"/>
      <x:c r="O75" s="17" t="str">
        <x:v>https://sts2log.com/cards</x:v>
      </x:c>
      <x:c r="P75" s="17" t="str">
        <x:v>https://slaythespire2.net/ancient/tanx</x:v>
      </x:c>
    </x:row>
    <x:row r="76" ht="25" customHeight="1">
      <x:c r="A76" s="2" t="str">
        <x:v>v0.107</x:v>
      </x:c>
      <x:c r="B76" s="2" t="str">
        <x:v>铁甲战士</x:v>
      </x:c>
      <x:c r="C76" s="2" t="str">
        <x:v>坦克斯</x:v>
      </x:c>
      <x:c r="D76" s="2" t="str">
        <x:v>三刃回旋镖</x:v>
      </x:c>
      <x:c r="E76" s="16" t="n">
        <x:f>IF(G76=0,I76,IF(G76=1,H76,G76*H76+(1-G76)*I76))</x:f>
        <x:v>0.59637994</x:v>
      </x:c>
      <x:c r="F76" s="12" t="n">
        <x:v>6184</x:v>
      </x:c>
      <x:c r="G76" s="11" t="n">
        <x:v>0.5487</x:v>
      </x:c>
      <x:c r="H76" s="11" t="n">
        <x:v>0.5721</x:v>
      </x:c>
      <x:c r="I76" s="11" t="n">
        <x:v>0.6259</x:v>
      </x:c>
      <x:c r="J76" s="13" t="n">
        <x:f>IF(OR(G76=0,G76=1),"",(H76-I76)*100)</x:f>
        <x:v>-5.3799999999999955</x:v>
      </x:c>
      <x:c r="K76" s="14" t="n">
        <x:v>31.73</x:v>
      </x:c>
      <x:c r="L76" s="15" t="n">
        <x:f>F76*G76</x:f>
        <x:v>3393.1607999999997</x:v>
      </x:c>
      <x:c r="M76" s="15" t="n">
        <x:f>F76-L76</x:f>
        <x:v>2790.8392000000003</x:v>
      </x:c>
      <x:c r="N76" s="17" t="str"/>
      <x:c r="O76" s="17" t="str">
        <x:v>https://sts2log.com/cards</x:v>
      </x:c>
      <x:c r="P76" s="17" t="str">
        <x:v>https://slaythespire2.net/ancient/tanx</x:v>
      </x:c>
    </x:row>
    <x:row r="77" ht="25" customHeight="1">
      <x:c r="A77" s="2" t="str">
        <x:v>v0.107</x:v>
      </x:c>
      <x:c r="B77" s="2" t="str">
        <x:v>铁甲战士</x:v>
      </x:c>
      <x:c r="C77" s="2" t="str">
        <x:v>坦克斯</x:v>
      </x:c>
      <x:c r="D77" s="2" t="str">
        <x:v>利爪</x:v>
      </x:c>
      <x:c r="E77" s="16" t="n">
        <x:f>IF(G77=0,I77,IF(G77=1,H77,G77*H77+(1-G77)*I77))</x:f>
        <x:v>0.59193454</x:v>
      </x:c>
      <x:c r="F77" s="12" t="n">
        <x:v>6234</x:v>
      </x:c>
      <x:c r="G77" s="11" t="n">
        <x:v>0.2177</x:v>
      </x:c>
      <x:c r="H77" s="11" t="n">
        <x:v>0.45909999999999995</x:v>
      </x:c>
      <x:c r="I77" s="11" t="n">
        <x:v>0.6289</x:v>
      </x:c>
      <x:c r="J77" s="13" t="n">
        <x:f>IF(OR(G77=0,G77=1),"",(H77-I77)*100)</x:f>
        <x:v>-16.980000000000008</x:v>
      </x:c>
      <x:c r="K77" s="14" t="n">
        <x:v>20.43</x:v>
      </x:c>
      <x:c r="L77" s="15" t="n">
        <x:f>F77*G77</x:f>
        <x:v>1357.1418</x:v>
      </x:c>
      <x:c r="M77" s="15" t="n">
        <x:f>F77-L77</x:f>
        <x:v>4876.8582</x:v>
      </x:c>
      <x:c r="N77" s="17" t="str"/>
      <x:c r="O77" s="17" t="str">
        <x:v>https://sts2log.com/cards</x:v>
      </x:c>
      <x:c r="P77" s="17" t="str">
        <x:v>https://slaythespire2.net/ancient/tanx</x:v>
      </x:c>
    </x:row>
    <x:row r="78" ht="25" customHeight="1">
      <x:c r="A78" s="2" t="str">
        <x:v>v0.107</x:v>
      </x:c>
      <x:c r="B78" s="2" t="str">
        <x:v>铁甲战士</x:v>
      </x:c>
      <x:c r="C78" s="2" t="str">
        <x:v>坦克斯</x:v>
      </x:c>
      <x:c r="D78" s="2" t="str">
        <x:v>战锤</x:v>
      </x:c>
      <x:c r="E78" s="16" t="n">
        <x:f>IF(G78=0,I78,IF(G78=1,H78,G78*H78+(1-G78)*I78))</x:f>
        <x:v>0.58689661</x:v>
      </x:c>
      <x:c r="F78" s="12" t="n">
        <x:v>6221</x:v>
      </x:c>
      <x:c r="G78" s="11" t="n">
        <x:v>0.16570000000000001</x:v>
      </x:c>
      <x:c r="H78" s="11" t="n">
        <x:v>0.5179</x:v>
      </x:c>
      <x:c r="I78" s="11" t="n">
        <x:v>0.6006</x:v>
      </x:c>
      <x:c r="J78" s="13" t="n">
        <x:f>IF(OR(G78=0,G78=1),"",(H78-I78)*100)</x:f>
        <x:v>-8.27</x:v>
      </x:c>
      <x:c r="K78" s="14" t="n">
        <x:v>26.31</x:v>
      </x:c>
      <x:c r="L78" s="15" t="n">
        <x:f>F78*G78</x:f>
        <x:v>1030.8197</x:v>
      </x:c>
      <x:c r="M78" s="15" t="n">
        <x:f>F78-L78</x:f>
        <x:v>5190.1803</x:v>
      </x:c>
      <x:c r="N78" s="17" t="str"/>
      <x:c r="O78" s="17" t="str">
        <x:v>https://sts2log.com/cards</x:v>
      </x:c>
      <x:c r="P78" s="17" t="str">
        <x:v>https://slaythespire2.net/ancient/tanx</x:v>
      </x:c>
    </x:row>
    <x:row r="79" ht="25" customHeight="1">
      <x:c r="A79" s="2" t="str">
        <x:v>v0.107</x:v>
      </x:c>
      <x:c r="B79" s="2" t="str">
        <x:v>铁甲战士</x:v>
      </x:c>
      <x:c r="C79" s="2" t="str">
        <x:v>坦克斯</x:v>
      </x:c>
      <x:c r="D79" s="2" t="str">
        <x:v>投斧</x:v>
      </x:c>
      <x:c r="E79" s="16" t="n">
        <x:f>IF(G79=0,I79,IF(G79=1,H79,G79*H79+(1-G79)*I79))</x:f>
        <x:v>0.5772327500000001</x:v>
      </x:c>
      <x:c r="F79" s="12" t="n">
        <x:v>6282</x:v>
      </x:c>
      <x:c r="G79" s="11" t="n">
        <x:v>0.3325</x:v>
      </x:c>
      <x:c r="H79" s="11" t="n">
        <x:v>0.551</x:v>
      </x:c>
      <x:c r="I79" s="11" t="n">
        <x:v>0.5903</x:v>
      </x:c>
      <x:c r="J79" s="13" t="n">
        <x:f>IF(OR(G79=0,G79=1),"",(H79-I79)*100)</x:f>
        <x:v>-3.93</x:v>
      </x:c>
      <x:c r="K79" s="14" t="n">
        <x:v>29.62</x:v>
      </x:c>
      <x:c r="L79" s="15" t="n">
        <x:f>F79*G79</x:f>
        <x:v>2088.7650000000003</x:v>
      </x:c>
      <x:c r="M79" s="15" t="n">
        <x:f>F79-L79</x:f>
        <x:v>4193.235</x:v>
      </x:c>
      <x:c r="N79" s="17" t="str"/>
      <x:c r="O79" s="17" t="str">
        <x:v>https://sts2log.com/cards</x:v>
      </x:c>
      <x:c r="P79" s="17" t="str">
        <x:v>https://slaythespire2.net/ancient/tanx</x:v>
      </x:c>
    </x:row>
    <x:row r="80" ht="25" customHeight="1">
      <x:c r="A80" s="2" t="str">
        <x:v>v0.107</x:v>
      </x:c>
      <x:c r="B80" s="2" t="str">
        <x:v>铁甲战士</x:v>
      </x:c>
      <x:c r="C80" s="2" t="str">
        <x:v>坦克斯</x:v>
      </x:c>
      <x:c r="D80" s="2" t="str">
        <x:v>坦克斯的哨子</x:v>
      </x:c>
      <x:c r="E80" s="16" t="n">
        <x:f>IF(G80=0,I80,IF(G80=1,H80,G80*H80+(1-G80)*I80))</x:f>
        <x:v>0.5756709799999999</x:v>
      </x:c>
      <x:c r="F80" s="12" t="n">
        <x:v>6243</x:v>
      </x:c>
      <x:c r="G80" s="11" t="n">
        <x:v>0.1618</x:v>
      </x:c>
      <x:c r="H80" s="11" t="n">
        <x:v>0.4802</x:v>
      </x:c>
      <x:c r="I80" s="11" t="n">
        <x:v>0.5941</x:v>
      </x:c>
      <x:c r="J80" s="13" t="n">
        <x:f>IF(OR(G80=0,G80=1),"",(H80-I80)*100)</x:f>
        <x:v>-11.389999999999995</x:v>
      </x:c>
      <x:c r="K80" s="14" t="n">
        <x:v>22.54</x:v>
      </x:c>
      <x:c r="L80" s="15" t="n">
        <x:f>F80*G80</x:f>
        <x:v>1010.1174</x:v>
      </x:c>
      <x:c r="M80" s="15" t="n">
        <x:f>F80-L80</x:f>
        <x:v>5232.8826</x:v>
      </x:c>
      <x:c r="N80" s="17" t="str"/>
      <x:c r="O80" s="17" t="str">
        <x:v>https://sts2log.com/cards</x:v>
      </x:c>
      <x:c r="P80" s="17" t="str">
        <x:v>https://slaythespire2.net/ancient/tanx</x:v>
      </x:c>
    </x:row>
    <x:row r="81" ht="25" customHeight="1">
      <x:c r="A81" s="2" t="str">
        <x:v>v0.107</x:v>
      </x:c>
      <x:c r="B81" s="2" t="str">
        <x:v>铁甲战士</x:v>
      </x:c>
      <x:c r="C81" s="2" t="str">
        <x:v>坦克斯</x:v>
      </x:c>
      <x:c r="D81" s="2" t="str">
        <x:v>带刺手甲</x:v>
      </x:c>
      <x:c r="E81" s="16" t="n">
        <x:f>IF(G81=0,I81,IF(G81=1,H81,G81*H81+(1-G81)*I81))</x:f>
        <x:v>0.5712154</x:v>
      </x:c>
      <x:c r="F81" s="12" t="n">
        <x:v>6036</x:v>
      </x:c>
      <x:c r="G81" s="11" t="n">
        <x:v>0.242</x:v>
      </x:c>
      <x:c r="H81" s="11" t="n">
        <x:v>0.5058</x:v>
      </x:c>
      <x:c r="I81" s="11" t="n">
        <x:v>0.5921</x:v>
      </x:c>
      <x:c r="J81" s="13" t="n">
        <x:f>IF(OR(G81=0,G81=1),"",(H81-I81)*100)</x:f>
        <x:v>-8.629999999999994</x:v>
      </x:c>
      <x:c r="K81" s="14" t="n">
        <x:v>25.1</x:v>
      </x:c>
      <x:c r="L81" s="15" t="n">
        <x:f>F81*G81</x:f>
        <x:v>1460.712</x:v>
      </x:c>
      <x:c r="M81" s="15" t="n">
        <x:f>F81-L81</x:f>
        <x:v>4575.2880000000005</x:v>
      </x:c>
      <x:c r="N81" s="17" t="str"/>
      <x:c r="O81" s="17" t="str">
        <x:v>https://sts2log.com/cards</x:v>
      </x:c>
      <x:c r="P81" s="17" t="str">
        <x:v>https://slaythespire2.net/ancient/tanx</x:v>
      </x:c>
    </x:row>
    <x:row r="82" ht="25" customHeight="1">
      <x:c r="A82" s="2" t="str">
        <x:v>v0.107</x:v>
      </x:c>
      <x:c r="B82" s="2" t="str">
        <x:v>铁甲战士</x:v>
      </x:c>
      <x:c r="C82" s="2" t="str">
        <x:v>瓦库</x:v>
      </x:c>
      <x:c r="D82" s="2" t="str">
        <x:v>卓越斗篷</x:v>
      </x:c>
      <x:c r="E82" s="16" t="n">
        <x:f>IF(G82=0,I82,IF(G82=1,H82,G82*H82+(1-G82)*I82))</x:f>
        <x:v>0.58491764</x:v>
      </x:c>
      <x:c r="F82" s="12" t="n">
        <x:v>6835</x:v>
      </x:c>
      <x:c r="G82" s="11" t="n">
        <x:v>0.5909</x:v>
      </x:c>
      <x:c r="H82" s="11" t="n">
        <x:v>0.6093</x:v>
      </x:c>
      <x:c r="I82" s="11" t="n">
        <x:v>0.5497</x:v>
      </x:c>
      <x:c r="J82" s="13" t="n">
        <x:f>IF(OR(G82=0,G82=1),"",(H82-I82)*100)</x:f>
        <x:v>5.959999999999999</x:v>
      </x:c>
      <x:c r="K82" s="14" t="n">
        <x:v>35.45</x:v>
      </x:c>
      <x:c r="L82" s="15" t="n">
        <x:f>F82*G82</x:f>
        <x:v>4038.8015</x:v>
      </x:c>
      <x:c r="M82" s="15" t="n">
        <x:f>F82-L82</x:f>
        <x:v>2796.1985</x:v>
      </x:c>
      <x:c r="N82" s="17" t="str"/>
      <x:c r="O82" s="17" t="str">
        <x:v>https://sts2log.com/cards</x:v>
      </x:c>
      <x:c r="P82" s="17" t="str">
        <x:v>https://slaythespire2.net/ancient/vakuu</x:v>
      </x:c>
    </x:row>
    <x:row r="83" ht="25" customHeight="1">
      <x:c r="A83" s="2" t="str">
        <x:v>v0.107</x:v>
      </x:c>
      <x:c r="B83" s="2" t="str">
        <x:v>铁甲战士</x:v>
      </x:c>
      <x:c r="C83" s="2" t="str">
        <x:v>瓦库</x:v>
      </x:c>
      <x:c r="D83" s="2" t="str">
        <x:v>宝石面具</x:v>
      </x:c>
      <x:c r="E83" s="16" t="n">
        <x:f>IF(G83=0,I83,IF(G83=1,H83,G83*H83+(1-G83)*I83))</x:f>
        <x:v>0.57384689</x:v>
      </x:c>
      <x:c r="F83" s="12" t="n">
        <x:v>5247</x:v>
      </x:c>
      <x:c r="G83" s="11" t="n">
        <x:v>0.7426999999999999</x:v>
      </x:c>
      <x:c r="H83" s="11" t="n">
        <x:v>0.5766</x:v>
      </x:c>
      <x:c r="I83" s="11" t="n">
        <x:v>0.5659000000000001</x:v>
      </x:c>
      <x:c r="J83" s="13" t="n">
        <x:f>IF(OR(G83=0,G83=1),"",(H83-I83)*100)</x:f>
        <x:v>1.0699999999999932</x:v>
      </x:c>
      <x:c r="K83" s="14" t="n">
        <x:v>32.18</x:v>
      </x:c>
      <x:c r="L83" s="15" t="n">
        <x:f>F83*G83</x:f>
        <x:v>3896.9468999999995</x:v>
      </x:c>
      <x:c r="M83" s="15" t="n">
        <x:f>F83-L83</x:f>
        <x:v>1350.0531000000005</x:v>
      </x:c>
      <x:c r="N83" s="17" t="str"/>
      <x:c r="O83" s="17" t="str">
        <x:v>https://sts2log.com/cards</x:v>
      </x:c>
      <x:c r="P83" s="17" t="str">
        <x:v>https://slaythespire2.net/ancient/vakuu</x:v>
      </x:c>
    </x:row>
    <x:row r="84" ht="25" customHeight="1">
      <x:c r="A84" s="2" t="str">
        <x:v>v0.107</x:v>
      </x:c>
      <x:c r="B84" s="2" t="str">
        <x:v>铁甲战士</x:v>
      </x:c>
      <x:c r="C84" s="2" t="str">
        <x:v>瓦库</x:v>
      </x:c>
      <x:c r="D84" s="2" t="str">
        <x:v>音乐盒</x:v>
      </x:c>
      <x:c r="E84" s="16" t="n">
        <x:f>IF(G84=0,I84,IF(G84=1,H84,G84*H84+(1-G84)*I84))</x:f>
        <x:v>0.57259968</x:v>
      </x:c>
      <x:c r="F84" s="12" t="n">
        <x:v>5138</x:v>
      </x:c>
      <x:c r="G84" s="11" t="n">
        <x:v>0.4988</x:v>
      </x:c>
      <x:c r="H84" s="11" t="n">
        <x:v>0.6145</x:v>
      </x:c>
      <x:c r="I84" s="11" t="n">
        <x:v>0.5309</x:v>
      </x:c>
      <x:c r="J84" s="13" t="n">
        <x:f>IF(OR(G84=0,G84=1),"",(H84-I84)*100)</x:f>
        <x:v>8.360000000000001</x:v>
      </x:c>
      <x:c r="K84" s="14" t="n">
        <x:v>35.97</x:v>
      </x:c>
      <x:c r="L84" s="15" t="n">
        <x:f>F84*G84</x:f>
        <x:v>2562.8344</x:v>
      </x:c>
      <x:c r="M84" s="15" t="n">
        <x:f>F84-L84</x:f>
        <x:v>2575.1656</x:v>
      </x:c>
      <x:c r="N84" s="17" t="str"/>
      <x:c r="O84" s="17" t="str">
        <x:v>https://sts2log.com/cards</x:v>
      </x:c>
      <x:c r="P84" s="17" t="str">
        <x:v>https://slaythespire2.net/ancient/vakuu</x:v>
      </x:c>
    </x:row>
    <x:row r="85" ht="25" customHeight="1">
      <x:c r="A85" s="2" t="str">
        <x:v>v0.107</x:v>
      </x:c>
      <x:c r="B85" s="2" t="str">
        <x:v>铁甲战士</x:v>
      </x:c>
      <x:c r="C85" s="2" t="str">
        <x:v>瓦库</x:v>
      </x:c>
      <x:c r="D85" s="2" t="str">
        <x:v>小提琴</x:v>
      </x:c>
      <x:c r="E85" s="16" t="n">
        <x:f>IF(G85=0,I85,IF(G85=1,H85,G85*H85+(1-G85)*I85))</x:f>
        <x:v>0.5568898000000001</x:v>
      </x:c>
      <x:c r="F85" s="12" t="n">
        <x:v>6913</x:v>
      </x:c>
      <x:c r="G85" s="11" t="n">
        <x:v>0.0508</x:v>
      </x:c>
      <x:c r="H85" s="11" t="n">
        <x:v>0.4558</x:v>
      </x:c>
      <x:c r="I85" s="11" t="n">
        <x:v>0.5623</x:v>
      </x:c>
      <x:c r="J85" s="13" t="n">
        <x:f>IF(OR(G85=0,G85=1),"",(H85-I85)*100)</x:f>
        <x:v>-10.650000000000004</x:v>
      </x:c>
      <x:c r="K85" s="14" t="n">
        <x:v>20.1</x:v>
      </x:c>
      <x:c r="L85" s="15" t="n">
        <x:f>F85*G85</x:f>
        <x:v>351.18039999999996</x:v>
      </x:c>
      <x:c r="M85" s="15" t="n">
        <x:f>F85-L85</x:f>
        <x:v>6561.8196</x:v>
      </x:c>
      <x:c r="N85" s="17" t="str"/>
      <x:c r="O85" s="17" t="str">
        <x:v>https://sts2log.com/cards</x:v>
      </x:c>
      <x:c r="P85" s="17" t="str">
        <x:v>https://slaythespire2.net/ancient/vakuu</x:v>
      </x:c>
    </x:row>
    <x:row r="86" ht="25" customHeight="1">
      <x:c r="A86" s="2" t="str">
        <x:v>v0.107</x:v>
      </x:c>
      <x:c r="B86" s="2" t="str">
        <x:v>铁甲战士</x:v>
      </x:c>
      <x:c r="C86" s="2" t="str">
        <x:v>瓦库</x:v>
      </x:c>
      <x:c r="D86" s="2" t="str">
        <x:v>血染玫瑰</x:v>
      </x:c>
      <x:c r="E86" s="16" t="n">
        <x:f>IF(G86=0,I86,IF(G86=1,H86,G86*H86+(1-G86)*I86))</x:f>
        <x:v>0.55641182</x:v>
      </x:c>
      <x:c r="F86" s="12" t="n">
        <x:v>6849</x:v>
      </x:c>
      <x:c r="G86" s="11" t="n">
        <x:v>0.09140000000000001</x:v>
      </x:c>
      <x:c r="H86" s="11" t="n">
        <x:v>0.3259</x:v>
      </x:c>
      <x:c r="I86" s="11" t="n">
        <x:v>0.5796</x:v>
      </x:c>
      <x:c r="J86" s="13" t="n">
        <x:f>IF(OR(G86=0,G86=1),"",(H86-I86)*100)</x:f>
        <x:v>-25.369999999999997</x:v>
      </x:c>
      <x:c r="K86" s="14" t="n">
        <x:v>7.11</x:v>
      </x:c>
      <x:c r="L86" s="15" t="n">
        <x:f>F86*G86</x:f>
        <x:v>625.9986</x:v>
      </x:c>
      <x:c r="M86" s="15" t="n">
        <x:f>F86-L86</x:f>
        <x:v>6223.0014</x:v>
      </x:c>
      <x:c r="N86" s="17" t="str"/>
      <x:c r="O86" s="17" t="str">
        <x:v>https://sts2log.com/cards</x:v>
      </x:c>
      <x:c r="P86" s="17" t="str">
        <x:v>https://slaythespire2.net/ancient/vakuu</x:v>
      </x:c>
    </x:row>
    <x:row r="87" ht="25" customHeight="1">
      <x:c r="A87" s="2" t="str">
        <x:v>v0.107</x:v>
      </x:c>
      <x:c r="B87" s="2" t="str">
        <x:v>铁甲战士</x:v>
      </x:c>
      <x:c r="C87" s="2" t="str">
        <x:v>瓦库</x:v>
      </x:c>
      <x:c r="D87" s="2" t="str">
        <x:v>低语耳环</x:v>
      </x:c>
      <x:c r="E87" s="16" t="n">
        <x:f>IF(G87=0,I87,IF(G87=1,H87,G87*H87+(1-G87)*I87))</x:f>
        <x:v>0.54812112</x:v>
      </x:c>
      <x:c r="F87" s="12" t="n">
        <x:v>6913</x:v>
      </x:c>
      <x:c r="G87" s="11" t="n">
        <x:v>0.0958</x:v>
      </x:c>
      <x:c r="H87" s="11" t="n">
        <x:v>0.3369</x:v>
      </x:c>
      <x:c r="I87" s="11" t="n">
        <x:v>0.5705</x:v>
      </x:c>
      <x:c r="J87" s="13" t="n">
        <x:f>IF(OR(G87=0,G87=1),"",(H87-I87)*100)</x:f>
        <x:v>-23.360000000000003</x:v>
      </x:c>
      <x:c r="K87" s="14" t="n">
        <x:v>8.21</x:v>
      </x:c>
      <x:c r="L87" s="15" t="n">
        <x:f>F87*G87</x:f>
        <x:v>662.2654</x:v>
      </x:c>
      <x:c r="M87" s="15" t="n">
        <x:f>F87-L87</x:f>
        <x:v>6250.7346</x:v>
      </x:c>
      <x:c r="N87" s="17" t="str"/>
      <x:c r="O87" s="17" t="str">
        <x:v>https://sts2log.com/cards</x:v>
      </x:c>
      <x:c r="P87" s="17" t="str">
        <x:v>https://slaythespire2.net/ancient/vakuu</x:v>
      </x:c>
    </x:row>
    <x:row r="88" ht="25" customHeight="1">
      <x:c r="A88" s="2" t="str">
        <x:v>v0.107</x:v>
      </x:c>
      <x:c r="B88" s="2" t="str">
        <x:v>铁甲战士</x:v>
      </x:c>
      <x:c r="C88" s="2" t="str">
        <x:v>瓦库</x:v>
      </x:c>
      <x:c r="D88" s="2" t="str">
        <x:v>选择悖论</x:v>
      </x:c>
      <x:c r="E88" s="16" t="n">
        <x:f>IF(G88=0,I88,IF(G88=1,H88,G88*H88+(1-G88)*I88))</x:f>
        <x:v>0.54437085</x:v>
      </x:c>
      <x:c r="F88" s="12" t="n">
        <x:v>5217</x:v>
      </x:c>
      <x:c r="G88" s="11" t="n">
        <x:v>0.4535</x:v>
      </x:c>
      <x:c r="H88" s="11" t="n">
        <x:v>0.5406</x:v>
      </x:c>
      <x:c r="I88" s="11" t="n">
        <x:v>0.5475</x:v>
      </x:c>
      <x:c r="J88" s="13" t="n">
        <x:f>IF(OR(G88=0,G88=1),"",(H88-I88)*100)</x:f>
        <x:v>-0.6900000000000017</x:v>
      </x:c>
      <x:c r="K88" s="14" t="n">
        <x:v>28.58</x:v>
      </x:c>
      <x:c r="L88" s="15" t="n">
        <x:f>F88*G88</x:f>
        <x:v>2365.9095</x:v>
      </x:c>
      <x:c r="M88" s="15" t="n">
        <x:f>F88-L88</x:f>
        <x:v>2851.0905</x:v>
      </x:c>
      <x:c r="N88" s="17" t="str"/>
      <x:c r="O88" s="17" t="str">
        <x:v>https://sts2log.com/cards</x:v>
      </x:c>
      <x:c r="P88" s="17" t="str">
        <x:v>https://slaythespire2.net/ancient/vakuu</x:v>
      </x:c>
    </x:row>
    <x:row r="89" ht="25" customHeight="1">
      <x:c r="A89" s="2" t="str">
        <x:v>v0.107</x:v>
      </x:c>
      <x:c r="B89" s="2" t="str">
        <x:v>铁甲战士</x:v>
      </x:c>
      <x:c r="C89" s="2" t="str">
        <x:v>瓦库</x:v>
      </x:c>
      <x:c r="D89" s="2" t="str">
        <x:v>腌制活雾</x:v>
      </x:c>
      <x:c r="E89" s="16" t="n">
        <x:f>IF(G89=0,I89,IF(G89=1,H89,G89*H89+(1-G89)*I89))</x:f>
        <x:v>0.54167995</x:v>
      </x:c>
      <x:c r="F89" s="12" t="n">
        <x:v>6847</x:v>
      </x:c>
      <x:c r="G89" s="11" t="n">
        <x:v>0.5243</x:v>
      </x:c>
      <x:c r="H89" s="11" t="n">
        <x:v>0.5638000000000001</x:v>
      </x:c>
      <x:c r="I89" s="11" t="n">
        <x:v>0.5173</x:v>
      </x:c>
      <x:c r="J89" s="13" t="n">
        <x:f>IF(OR(G89=0,G89=1),"",(H89-I89)*100)</x:f>
        <x:v>4.650000000000009</x:v>
      </x:c>
      <x:c r="K89" s="14" t="n">
        <x:v>30.9</x:v>
      </x:c>
      <x:c r="L89" s="15" t="n">
        <x:f>F89*G89</x:f>
        <x:v>3589.8821</x:v>
      </x:c>
      <x:c r="M89" s="15" t="n">
        <x:f>F89-L89</x:f>
        <x:v>3257.1179</x:v>
      </x:c>
      <x:c r="N89" s="17" t="str"/>
      <x:c r="O89" s="17" t="str">
        <x:v>https://sts2log.com/cards</x:v>
      </x:c>
      <x:c r="P89" s="17" t="str">
        <x:v>https://slaythespire2.net/ancient/vakuu</x:v>
      </x:c>
    </x:row>
    <x:row r="90" ht="25" customHeight="1">
      <x:c r="A90" s="2" t="str">
        <x:v>v0.107</x:v>
      </x:c>
      <x:c r="B90" s="2" t="str">
        <x:v>铁甲战士</x:v>
      </x:c>
      <x:c r="C90" s="2" t="str">
        <x:v>瓦库</x:v>
      </x:c>
      <x:c r="D90" s="2" t="str">
        <x:v>原初之爪</x:v>
      </x:c>
      <x:c r="E90" s="16" t="n">
        <x:f>IF(G90=0,I90,IF(G90=1,H90,G90*H90+(1-G90)*I90))</x:f>
        <x:v>0.53671608</x:v>
      </x:c>
      <x:c r="F90" s="12" t="n">
        <x:v>7000</x:v>
      </x:c>
      <x:c r="G90" s="11" t="n">
        <x:v>0.2316</x:v>
      </x:c>
      <x:c r="H90" s="11" t="n">
        <x:v>0.5089</x:v>
      </x:c>
      <x:c r="I90" s="11" t="n">
        <x:v>0.5451</x:v>
      </x:c>
      <x:c r="J90" s="13" t="n">
        <x:f>IF(OR(G90=0,G90=1),"",(H90-I90)*100)</x:f>
        <x:v>-3.620000000000001</x:v>
      </x:c>
      <x:c r="K90" s="14" t="n">
        <x:v>25.41</x:v>
      </x:c>
      <x:c r="L90" s="15" t="n">
        <x:f>F90*G90</x:f>
        <x:v>1621.2</x:v>
      </x:c>
      <x:c r="M90" s="15" t="n">
        <x:f>F90-L90</x:f>
        <x:v>5378.8</x:v>
      </x:c>
      <x:c r="N90" s="17" t="str"/>
      <x:c r="O90" s="17" t="str">
        <x:v>https://sts2log.com/cards</x:v>
      </x:c>
      <x:c r="P90" s="17" t="str">
        <x:v>https://slaythespire2.net/ancient/vakuu</x:v>
      </x:c>
    </x:row>
    <x:row r="91" ht="25" customHeight="1">
      <x:c r="A91" s="2" t="str">
        <x:v>v0.107</x:v>
      </x:c>
      <x:c r="B91" s="2" t="str">
        <x:v>铁甲战士</x:v>
      </x:c>
      <x:c r="C91" s="2" t="str">
        <x:v>瓦库</x:v>
      </x:c>
      <x:c r="D91" s="2" t="str">
        <x:v>领主阳伞</x:v>
      </x:c>
      <x:c r="E91" s="16" t="n">
        <x:f>IF(G91=0,I91,IF(G91=1,H91,G91*H91+(1-G91)*I91))</x:f>
        <x:v>0.52645292</x:v>
      </x:c>
      <x:c r="F91" s="12" t="n">
        <x:v>5163</x:v>
      </x:c>
      <x:c r="G91" s="11" t="n">
        <x:v>0.1747</x:v>
      </x:c>
      <x:c r="H91" s="11" t="n">
        <x:v>0.46340000000000003</x:v>
      </x:c>
      <x:c r="I91" s="11" t="n">
        <x:v>0.5398</x:v>
      </x:c>
      <x:c r="J91" s="13" t="n">
        <x:f>IF(OR(G91=0,G91=1),"",(H91-I91)*100)</x:f>
        <x:v>-7.639999999999992</x:v>
      </x:c>
      <x:c r="K91" s="14" t="n">
        <x:v>20.86</x:v>
      </x:c>
      <x:c r="L91" s="15" t="n">
        <x:f>F91*G91</x:f>
        <x:v>901.9761</x:v>
      </x:c>
      <x:c r="M91" s="15" t="n">
        <x:f>F91-L91</x:f>
        <x:v>4261.0239</x:v>
      </x:c>
      <x:c r="N91" s="17" t="str"/>
      <x:c r="O91" s="17" t="str">
        <x:v>https://sts2log.com/cards</x:v>
      </x:c>
      <x:c r="P91" s="17" t="str">
        <x:v>https://slaythespire2.net/ancient/vakuu</x:v>
      </x:c>
    </x:row>
    <x:row r="92" ht="42" customHeight="1">
      <x:c r="A92" s="2" t="str">
        <x:v>v0.107</x:v>
      </x:c>
      <x:c r="B92" s="2" t="str">
        <x:v>铁甲战士</x:v>
      </x:c>
      <x:c r="C92" s="2" t="str">
        <x:v>达弗</x:v>
      </x:c>
      <x:c r="D92" s="2" t="str">
        <x:v>贤者之石</x:v>
      </x:c>
      <x:c r="E92" s="16" t="n">
        <x:f>IF(G92=0,I92,IF(G92=1,H92,G92*H92+(1-G92)*I92))</x:f>
        <x:v>0.55459002</x:v>
      </x:c>
      <x:c r="F92" s="12" t="n">
        <x:v>696</x:v>
      </x:c>
      <x:c r="G92" s="11" t="n">
        <x:v>0.3506</x:v>
      </x:c>
      <x:c r="H92" s="11" t="n">
        <x:v>0.5492</x:v>
      </x:c>
      <x:c r="I92" s="11" t="n">
        <x:v>0.5575</x:v>
      </x:c>
      <x:c r="J92" s="13" t="n">
        <x:f>IF(OR(G92=0,G92=1),"",(H92-I92)*100)</x:f>
        <x:v>-0.8299999999999974</x:v>
      </x:c>
      <x:c r="K92" s="14" t="n">
        <x:v>29.44</x:v>
      </x:c>
      <x:c r="L92" s="15" t="n">
        <x:f>F92*G92</x:f>
        <x:v>244.01760000000002</x:v>
      </x:c>
      <x:c r="M92" s="15" t="n">
        <x:f>F92-L92</x:f>
        <x:v>451.9824</x:v>
      </x:c>
      <x:c r="N92" s="17" t="str">
        <x:v>不同幕混合，勿直接解释为纯强度</x:v>
      </x:c>
      <x:c r="O92" s="17" t="str">
        <x:v>https://sts2log.com/cards</x:v>
      </x:c>
      <x:c r="P92" s="17" t="str">
        <x:v>https://op.gg/zh-cn/slay-the-spire2/events/Darv</x:v>
      </x:c>
    </x:row>
    <x:row r="93" ht="42" customHeight="1">
      <x:c r="A93" s="2" t="str">
        <x:v>v0.107</x:v>
      </x:c>
      <x:c r="B93" s="2" t="str">
        <x:v>铁甲战士</x:v>
      </x:c>
      <x:c r="C93" s="2" t="str">
        <x:v>达弗</x:v>
      </x:c>
      <x:c r="D93" s="2" t="str">
        <x:v>天鹅绒颈圈</x:v>
      </x:c>
      <x:c r="E93" s="16" t="n">
        <x:f>IF(G93=0,I93,IF(G93=1,H93,G93*H93+(1-G93)*I93))</x:f>
        <x:v>0.5543520000000001</x:v>
      </x:c>
      <x:c r="F93" s="12" t="n">
        <x:v>662</x:v>
      </x:c>
      <x:c r="G93" s="11" t="n">
        <x:v>0.068</x:v>
      </x:c>
      <x:c r="H93" s="11" t="n">
        <x:v>0.3111</x:v>
      </x:c>
      <x:c r="I93" s="11" t="n">
        <x:v>0.5721</x:v>
      </x:c>
      <x:c r="J93" s="13" t="n">
        <x:f>IF(OR(G93=0,G93=1),"",(H93-I93)*100)</x:f>
        <x:v>-26.100000000000005</x:v>
      </x:c>
      <x:c r="K93" s="14" t="n">
        <x:v>5.63</x:v>
      </x:c>
      <x:c r="L93" s="15" t="n">
        <x:f>F93*G93</x:f>
        <x:v>45.016000000000005</x:v>
      </x:c>
      <x:c r="M93" s="15" t="n">
        <x:f>F93-L93</x:f>
        <x:v>616.984</x:v>
      </x:c>
      <x:c r="N93" s="17" t="str">
        <x:v>不同幕混合，勿直接解释为纯强度</x:v>
      </x:c>
      <x:c r="O93" s="17" t="str">
        <x:v>https://sts2log.com/cards</x:v>
      </x:c>
      <x:c r="P93" s="17" t="str">
        <x:v>https://op.gg/zh-cn/slay-the-spire2/events/Darv</x:v>
      </x:c>
    </x:row>
    <x:row r="94" ht="42" customHeight="1">
      <x:c r="A94" s="2" t="str">
        <x:v>v0.107</x:v>
      </x:c>
      <x:c r="B94" s="2" t="str">
        <x:v>铁甲战士</x:v>
      </x:c>
      <x:c r="C94" s="2" t="str">
        <x:v>达弗</x:v>
      </x:c>
      <x:c r="D94" s="2" t="str">
        <x:v>符文金字塔</x:v>
      </x:c>
      <x:c r="E94" s="16" t="n">
        <x:f>IF(G94=0,I94,IF(G94=1,H94,G94*H94+(1-G94)*I94))</x:f>
        <x:v>0.51832314</x:v>
      </x:c>
      <x:c r="F94" s="12" t="n">
        <x:v>5525</x:v>
      </x:c>
      <x:c r="G94" s="11" t="n">
        <x:v>0.6282</x:v>
      </x:c>
      <x:c r="H94" s="11" t="n">
        <x:v>0.6067</x:v>
      </x:c>
      <x:c r="I94" s="11" t="n">
        <x:v>0.369</x:v>
      </x:c>
      <x:c r="J94" s="13" t="n">
        <x:f>IF(OR(G94=0,G94=1),"",(H94-I94)*100)</x:f>
        <x:v>23.770000000000003</x:v>
      </x:c>
      <x:c r="K94" s="14" t="n">
        <x:v>35.19</x:v>
      </x:c>
      <x:c r="L94" s="15" t="n">
        <x:f>F94*G94</x:f>
        <x:v>3470.805</x:v>
      </x:c>
      <x:c r="M94" s="15" t="n">
        <x:f>F94-L94</x:f>
        <x:v>2054.195</x:v>
      </x:c>
      <x:c r="N94" s="17" t="str">
        <x:v>不同幕混合，勿直接解释为纯强度</x:v>
      </x:c>
      <x:c r="O94" s="17" t="str">
        <x:v>https://sts2log.com/cards</x:v>
      </x:c>
      <x:c r="P94" s="17" t="str">
        <x:v>https://slaythespire2.net/ancient/darv</x:v>
      </x:c>
    </x:row>
    <x:row r="95" ht="42" customHeight="1">
      <x:c r="A95" s="2" t="str">
        <x:v>v0.107</x:v>
      </x:c>
      <x:c r="B95" s="2" t="str">
        <x:v>铁甲战士</x:v>
      </x:c>
      <x:c r="C95" s="2" t="str">
        <x:v>达弗</x:v>
      </x:c>
      <x:c r="D95" s="2" t="str">
        <x:v>潘多拉魔盒</x:v>
      </x:c>
      <x:c r="E95" s="16" t="n">
        <x:f>IF(G95=0,I95,IF(G95=1,H95,G95*H95+(1-G95)*I95))</x:f>
        <x:v>0.47806108</x:v>
      </x:c>
      <x:c r="F95" s="12" t="n">
        <x:v>5340</x:v>
      </x:c>
      <x:c r="G95" s="11" t="n">
        <x:v>0.46630000000000005</x:v>
      </x:c>
      <x:c r="H95" s="11" t="n">
        <x:v>0.5056</x:v>
      </x:c>
      <x:c r="I95" s="11" t="n">
        <x:v>0.45399999999999996</x:v>
      </x:c>
      <x:c r="J95" s="13" t="n">
        <x:f>IF(OR(G95=0,G95=1),"",(H95-I95)*100)</x:f>
        <x:v>5.160000000000009</x:v>
      </x:c>
      <x:c r="K95" s="14" t="n">
        <x:v>25.08</x:v>
      </x:c>
      <x:c r="L95" s="15" t="n">
        <x:f>F95*G95</x:f>
        <x:v>2490.0420000000004</x:v>
      </x:c>
      <x:c r="M95" s="15" t="n">
        <x:f>F95-L95</x:f>
        <x:v>2849.9579999999996</x:v>
      </x:c>
      <x:c r="N95" s="17" t="str">
        <x:v>不同幕混合，勿直接解释为纯强度</x:v>
      </x:c>
      <x:c r="O95" s="17" t="str">
        <x:v>https://sts2log.com/cards</x:v>
      </x:c>
      <x:c r="P95" s="17" t="str">
        <x:v>https://slaythespire2.net/ancient/darv</x:v>
      </x:c>
    </x:row>
    <x:row r="96" ht="42" customHeight="1">
      <x:c r="A96" s="2" t="str">
        <x:v>v0.107</x:v>
      </x:c>
      <x:c r="B96" s="2" t="str">
        <x:v>铁甲战士</x:v>
      </x:c>
      <x:c r="C96" s="2" t="str">
        <x:v>达弗</x:v>
      </x:c>
      <x:c r="D96" s="2" t="str">
        <x:v>星盘</x:v>
      </x:c>
      <x:c r="E96" s="16" t="n">
        <x:f>IF(G96=0,I96,IF(G96=1,H96,G96*H96+(1-G96)*I96))</x:f>
        <x:v>0.46316082999999997</x:v>
      </x:c>
      <x:c r="F96" s="12" t="n">
        <x:v>5506</x:v>
      </x:c>
      <x:c r="G96" s="11" t="n">
        <x:v>0.6199</x:v>
      </x:c>
      <x:c r="H96" s="11" t="n">
        <x:v>0.4372</x:v>
      </x:c>
      <x:c r="I96" s="11" t="n">
        <x:v>0.5055</x:v>
      </x:c>
      <x:c r="J96" s="13" t="n">
        <x:f>IF(OR(G96=0,G96=1),"",(H96-I96)*100)</x:f>
        <x:v>-6.829999999999997</x:v>
      </x:c>
      <x:c r="K96" s="14" t="n">
        <x:v>18.24</x:v>
      </x:c>
      <x:c r="L96" s="15" t="n">
        <x:f>F96*G96</x:f>
        <x:v>3413.1694</x:v>
      </x:c>
      <x:c r="M96" s="15" t="n">
        <x:f>F96-L96</x:f>
        <x:v>2092.8306</x:v>
      </x:c>
      <x:c r="N96" s="17" t="str">
        <x:v>不同幕混合，勿直接解释为纯强度</x:v>
      </x:c>
      <x:c r="O96" s="17" t="str">
        <x:v>https://sts2log.com/cards</x:v>
      </x:c>
      <x:c r="P96" s="17" t="str">
        <x:v>https://slaythespire2.net/ancient/darv</x:v>
      </x:c>
    </x:row>
    <x:row r="97" ht="42" customHeight="1">
      <x:c r="A97" s="2" t="str">
        <x:v>v0.107</x:v>
      </x:c>
      <x:c r="B97" s="2" t="str">
        <x:v>铁甲战士</x:v>
      </x:c>
      <x:c r="C97" s="2" t="str">
        <x:v>达弗</x:v>
      </x:c>
      <x:c r="D97" s="2" t="str">
        <x:v>尘封魔典</x:v>
      </x:c>
      <x:c r="E97" s="16" t="n">
        <x:f>IF(G97=0,I97,IF(G97=1,H97,G97*H97+(1-G97)*I97))</x:f>
        <x:v>0.45234604</x:v>
      </x:c>
      <x:c r="F97" s="12" t="n">
        <x:v>8650</x:v>
      </x:c>
      <x:c r="G97" s="11" t="n">
        <x:v>0.17579999999999998</x:v>
      </x:c>
      <x:c r="H97" s="11" t="n">
        <x:v>0.38130000000000003</x:v>
      </x:c>
      <x:c r="I97" s="11" t="n">
        <x:v>0.4675</x:v>
      </x:c>
      <x:c r="J97" s="13" t="n">
        <x:f>IF(OR(G97=0,G97=1),"",(H97-I97)*100)</x:f>
        <x:v>-8.62</x:v>
      </x:c>
      <x:c r="K97" s="14" t="n">
        <x:v>12.65</x:v>
      </x:c>
      <x:c r="L97" s="15" t="n">
        <x:f>F97*G97</x:f>
        <x:v>1520.6699999999998</x:v>
      </x:c>
      <x:c r="M97" s="15" t="n">
        <x:f>F97-L97</x:f>
        <x:v>7129.33</x:v>
      </x:c>
      <x:c r="N97" s="17" t="str">
        <x:v>不同幕混合，勿直接解释为纯强度</x:v>
      </x:c>
      <x:c r="O97" s="17" t="str">
        <x:v>https://sts2log.com/cards</x:v>
      </x:c>
      <x:c r="P97" s="17" t="str">
        <x:v>https://slaythespire2.net/ancient/darv</x:v>
      </x:c>
    </x:row>
    <x:row r="98" ht="42" customHeight="1">
      <x:c r="A98" s="2" t="str">
        <x:v>v0.107</x:v>
      </x:c>
      <x:c r="B98" s="2" t="str">
        <x:v>铁甲战士</x:v>
      </x:c>
      <x:c r="C98" s="2" t="str">
        <x:v>达弗</x:v>
      </x:c>
      <x:c r="D98" s="2" t="str">
        <x:v>异蛇之眼</x:v>
      </x:c>
      <x:c r="E98" s="16" t="n">
        <x:f>IF(G98=0,I98,IF(G98=1,H98,G98*H98+(1-G98)*I98))</x:f>
        <x:v>0.45048</x:v>
      </x:c>
      <x:c r="F98" s="12" t="n">
        <x:v>5325</x:v>
      </x:c>
      <x:c r="G98" s="11" t="n">
        <x:v>0.05</x:v>
      </x:c>
      <x:c r="H98" s="11" t="n">
        <x:v>0.5489</x:v>
      </x:c>
      <x:c r="I98" s="11" t="n">
        <x:v>0.44530000000000003</x:v>
      </x:c>
      <x:c r="J98" s="13" t="n">
        <x:f>IF(OR(G98=0,G98=1),"",(H98-I98)*100)</x:f>
        <x:v>10.360000000000003</x:v>
      </x:c>
      <x:c r="K98" s="14" t="n">
        <x:v>29.41</x:v>
      </x:c>
      <x:c r="L98" s="15" t="n">
        <x:f>F98*G98</x:f>
        <x:v>266.25</x:v>
      </x:c>
      <x:c r="M98" s="15" t="n">
        <x:f>F98-L98</x:f>
        <x:v>5058.75</x:v>
      </x:c>
      <x:c r="N98" s="17" t="str">
        <x:v>不同幕混合，勿直接解释为纯强度</x:v>
      </x:c>
      <x:c r="O98" s="17" t="str">
        <x:v>https://sts2log.com/cards</x:v>
      </x:c>
      <x:c r="P98" s="17" t="str">
        <x:v>https://slaythespire2.net/ancient/darv</x:v>
      </x:c>
    </x:row>
    <x:row r="99" ht="42" customHeight="1">
      <x:c r="A99" s="2" t="str">
        <x:v>v0.107</x:v>
      </x:c>
      <x:c r="B99" s="2" t="str">
        <x:v>铁甲战士</x:v>
      </x:c>
      <x:c r="C99" s="2" t="str">
        <x:v>达弗</x:v>
      </x:c>
      <x:c r="D99" s="2" t="str">
        <x:v>空鸟笼</x:v>
      </x:c>
      <x:c r="E99" s="16" t="n">
        <x:f>IF(G99=0,I99,IF(G99=1,H99,G99*H99+(1-G99)*I99))</x:f>
        <x:v>0.44554459999999996</x:v>
      </x:c>
      <x:c r="F99" s="12" t="n">
        <x:v>5440</x:v>
      </x:c>
      <x:c r="G99" s="11" t="n">
        <x:v>0.4046</x:v>
      </x:c>
      <x:c r="H99" s="11" t="n">
        <x:v>0.38659999999999994</x:v>
      </x:c>
      <x:c r="I99" s="11" t="n">
        <x:v>0.48560000000000003</x:v>
      </x:c>
      <x:c r="J99" s="13" t="n">
        <x:f>IF(OR(G99=0,G99=1),"",(H99-I99)*100)</x:f>
        <x:v>-9.90000000000001</x:v>
      </x:c>
      <x:c r="K99" s="14" t="n">
        <x:v>13.18</x:v>
      </x:c>
      <x:c r="L99" s="15" t="n">
        <x:f>F99*G99</x:f>
        <x:v>2201.024</x:v>
      </x:c>
      <x:c r="M99" s="15" t="n">
        <x:f>F99-L99</x:f>
        <x:v>3238.976</x:v>
      </x:c>
      <x:c r="N99" s="17" t="str">
        <x:v>不同幕混合，勿直接解释为纯强度</x:v>
      </x:c>
      <x:c r="O99" s="17" t="str">
        <x:v>https://sts2log.com/cards</x:v>
      </x:c>
      <x:c r="P99" s="17" t="str">
        <x:v>https://slaythespire2.net/ancient/darv</x:v>
      </x:c>
    </x:row>
    <x:row r="100" ht="42" customHeight="1">
      <x:c r="A100" s="2" t="str">
        <x:v>v0.107</x:v>
      </x:c>
      <x:c r="B100" s="2" t="str">
        <x:v>铁甲战士</x:v>
      </x:c>
      <x:c r="C100" s="2" t="str">
        <x:v>达弗</x:v>
      </x:c>
      <x:c r="D100" s="2" t="str">
        <x:v>黑星</x:v>
      </x:c>
      <x:c r="E100" s="16" t="n">
        <x:f>IF(G100=0,I100,IF(G100=1,H100,G100*H100+(1-G100)*I100))</x:f>
        <x:v>0.44005632</x:v>
      </x:c>
      <x:c r="F100" s="12" t="n">
        <x:v>5470</x:v>
      </x:c>
      <x:c r="G100" s="11" t="n">
        <x:v>0.2548</x:v>
      </x:c>
      <x:c r="H100" s="11" t="n">
        <x:v>0.38670000000000004</x:v>
      </x:c>
      <x:c r="I100" s="11" t="n">
        <x:v>0.4583</x:v>
      </x:c>
      <x:c r="J100" s="13" t="n">
        <x:f>IF(OR(G100=0,G100=1),"",(H100-I100)*100)</x:f>
        <x:v>-7.159999999999994</x:v>
      </x:c>
      <x:c r="K100" s="14" t="n">
        <x:v>13.19</x:v>
      </x:c>
      <x:c r="L100" s="15" t="n">
        <x:f>F100*G100</x:f>
        <x:v>1393.756</x:v>
      </x:c>
      <x:c r="M100" s="15" t="n">
        <x:f>F100-L100</x:f>
        <x:v>4076.2439999999997</x:v>
      </x:c>
      <x:c r="N100" s="17" t="str">
        <x:v>不同幕混合，勿直接解释为纯强度</x:v>
      </x:c>
      <x:c r="O100" s="17" t="str">
        <x:v>https://sts2log.com/cards</x:v>
      </x:c>
      <x:c r="P100" s="17" t="str">
        <x:v>https://slaythespire2.net/ancient/darv</x:v>
      </x:c>
    </x:row>
    <x:row r="101" ht="42" customHeight="1">
      <x:c r="A101" s="2" t="str">
        <x:v>v0.107</x:v>
      </x:c>
      <x:c r="B101" s="2" t="str">
        <x:v>铁甲战士</x:v>
      </x:c>
      <x:c r="C101" s="2" t="str">
        <x:v>达弗</x:v>
      </x:c>
      <x:c r="D101" s="2" t="str">
        <x:v>召唤铃铛</x:v>
      </x:c>
      <x:c r="E101" s="16" t="n">
        <x:f>IF(G101=0,I101,IF(G101=1,H101,G101*H101+(1-G101)*I101))</x:f>
        <x:v>0.4356832</x:v>
      </x:c>
      <x:c r="F101" s="12" t="n">
        <x:v>5422</x:v>
      </x:c>
      <x:c r="G101" s="11" t="n">
        <x:v>0.336</x:v>
      </x:c>
      <x:c r="H101" s="11" t="n">
        <x:v>0.3568</x:v>
      </x:c>
      <x:c r="I101" s="11" t="n">
        <x:v>0.4756</x:v>
      </x:c>
      <x:c r="J101" s="13" t="n">
        <x:f>IF(OR(G101=0,G101=1),"",(H101-I101)*100)</x:f>
        <x:v>-11.880000000000003</x:v>
      </x:c>
      <x:c r="K101" s="14" t="n">
        <x:v>10.2</x:v>
      </x:c>
      <x:c r="L101" s="15" t="n">
        <x:f>F101*G101</x:f>
        <x:v>1821.7920000000001</x:v>
      </x:c>
      <x:c r="M101" s="15" t="n">
        <x:f>F101-L101</x:f>
        <x:v>3600.2079999999996</x:v>
      </x:c>
      <x:c r="N101" s="17" t="str">
        <x:v>不同幕混合，勿直接解释为纯强度</x:v>
      </x:c>
      <x:c r="O101" s="17" t="str">
        <x:v>https://sts2log.com/cards</x:v>
      </x:c>
      <x:c r="P101" s="17" t="str">
        <x:v>https://slaythespire2.net/ancient/darv</x:v>
      </x:c>
    </x:row>
    <x:row r="102" ht="42" customHeight="1">
      <x:c r="A102" s="2" t="str">
        <x:v>v0.107</x:v>
      </x:c>
      <x:c r="B102" s="2" t="str">
        <x:v>铁甲战士</x:v>
      </x:c>
      <x:c r="C102" s="2" t="str">
        <x:v>达弗</x:v>
      </x:c>
      <x:c r="D102" s="2" t="str">
        <x:v>添水</x:v>
      </x:c>
      <x:c r="E102" s="16" t="n">
        <x:f>IF(G102=0,I102,IF(G102=1,H102,G102*H102+(1-G102)*I102))</x:f>
        <x:v>0.41926325</x:v>
      </x:c>
      <x:c r="F102" s="12" t="n">
        <x:v>2106</x:v>
      </x:c>
      <x:c r="G102" s="11" t="n">
        <x:v>0.1225</x:v>
      </x:c>
      <x:c r="H102" s="11" t="n">
        <x:v>0.3488</x:v>
      </x:c>
      <x:c r="I102" s="11" t="n">
        <x:v>0.4291</x:v>
      </x:c>
      <x:c r="J102" s="13" t="n">
        <x:f>IF(OR(G102=0,G102=1),"",(H102-I102)*100)</x:f>
        <x:v>-8.029999999999998</x:v>
      </x:c>
      <x:c r="K102" s="14" t="n">
        <x:v>9.4</x:v>
      </x:c>
      <x:c r="L102" s="15" t="n">
        <x:f>F102*G102</x:f>
        <x:v>257.985</x:v>
      </x:c>
      <x:c r="M102" s="15" t="n">
        <x:f>F102-L102</x:f>
        <x:v>1848.0149999999999</x:v>
      </x:c>
      <x:c r="N102" s="17" t="str">
        <x:v>不同幕混合，勿直接解释为纯强度</x:v>
      </x:c>
      <x:c r="O102" s="17" t="str">
        <x:v>https://sts2log.com/cards</x:v>
      </x:c>
      <x:c r="P102" s="17" t="str">
        <x:v>https://op.gg/zh-cn/slay-the-spire2/events/Darv</x:v>
      </x:c>
    </x:row>
    <x:row r="103" ht="42" customHeight="1">
      <x:c r="A103" s="2" t="str">
        <x:v>v0.107</x:v>
      </x:c>
      <x:c r="B103" s="2" t="str">
        <x:v>铁甲战士</x:v>
      </x:c>
      <x:c r="C103" s="2" t="str">
        <x:v>达弗</x:v>
      </x:c>
      <x:c r="D103" s="2" t="str">
        <x:v>灵体外质</x:v>
      </x:c>
      <x:c r="E103" s="16" t="n">
        <x:f>IF(G103=0,I103,IF(G103=1,H103,G103*H103+(1-G103)*I103))</x:f>
        <x:v>0.40016408000000003</x:v>
      </x:c>
      <x:c r="F103" s="12" t="n">
        <x:v>2094</x:v>
      </x:c>
      <x:c r="G103" s="11" t="n">
        <x:v>0.0812</x:v>
      </x:c>
      <x:c r="H103" s="11" t="n">
        <x:v>0.39409999999999995</x:v>
      </x:c>
      <x:c r="I103" s="11" t="n">
        <x:v>0.4007</x:v>
      </x:c>
      <x:c r="J103" s="13" t="n">
        <x:f>IF(OR(G103=0,G103=1),"",(H103-I103)*100)</x:f>
        <x:v>-0.660000000000005</x:v>
      </x:c>
      <x:c r="K103" s="14" t="n">
        <x:v>13.93</x:v>
      </x:c>
      <x:c r="L103" s="15" t="n">
        <x:f>F103*G103</x:f>
        <x:v>170.03279999999998</x:v>
      </x:c>
      <x:c r="M103" s="15" t="n">
        <x:f>F103-L103</x:f>
        <x:v>1923.9672</x:v>
      </x:c>
      <x:c r="N103" s="17" t="str">
        <x:v>不同幕混合，勿直接解释为纯强度</x:v>
      </x:c>
      <x:c r="O103" s="17" t="str">
        <x:v>https://sts2log.com/cards</x:v>
      </x:c>
      <x:c r="P103" s="17" t="str">
        <x:v>https://op.gg/zh-cn/slay-the-spire2/events/Darv</x:v>
      </x:c>
    </x:row>
    <x:row r="104" ht="42" customHeight="1">
      <x:c r="A104" s="2" t="str">
        <x:v>v0.107</x:v>
      </x:c>
      <x:c r="B104" s="2" t="str">
        <x:v>静默猎手</x:v>
      </x:c>
      <x:c r="C104" s="2" t="str">
        <x:v>涅奥</x:v>
      </x:c>
      <x:c r="D104" s="2" t="str">
        <x:v>巨大卷轴</x:v>
      </x:c>
      <x:c r="E104" s="18" t="n">
        <x:f>IF(G104=0,I104,IF(G104=1,H104,G104*H104+(1-G104)*I104))</x:f>
        <x:v>0.28</x:v>
      </x:c>
      <x:c r="F104" s="19" t="n">
        <x:v>25</x:v>
      </x:c>
      <x:c r="G104" s="11" t="n">
        <x:v>0</x:v>
      </x:c>
      <x:c r="H104" s="11"/>
      <x:c r="I104" s="11" t="n">
        <x:v>0.28</x:v>
      </x:c>
      <x:c r="J104" s="13" t="str">
        <x:f>IF(OR(G104=0,G104=1),"",(H104-I104)*100)</x:f>
      </x:c>
      <x:c r="K104" s="14" t="n">
        <x:v>-24.22</x:v>
      </x:c>
      <x:c r="L104" s="15" t="n">
        <x:f>F104*G104</x:f>
        <x:v>0</x:v>
      </x:c>
      <x:c r="M104" s="15" t="n">
        <x:f>F104-L104</x:f>
        <x:v>25</x:v>
      </x:c>
      <x:c r="N104" s="17" t="str">
        <x:v>出现次数&lt;100；一组占比显示为零，其胜率及选跳差留空</x:v>
      </x:c>
      <x:c r="O104" s="17" t="str">
        <x:v>https://sts2log.com/cards</x:v>
      </x:c>
      <x:c r="P104" s="17" t="str">
        <x:v>https://slaythespire2.net/ancient/neow</x:v>
      </x:c>
    </x:row>
    <x:row r="105" ht="25" customHeight="1">
      <x:c r="A105" s="2" t="str">
        <x:v>v0.107</x:v>
      </x:c>
      <x:c r="B105" s="2" t="str">
        <x:v>静默猎手</x:v>
      </x:c>
      <x:c r="C105" s="2" t="str">
        <x:v>涅奥</x:v>
      </x:c>
      <x:c r="D105" s="2" t="str">
        <x:v>树叶药膏</x:v>
      </x:c>
      <x:c r="E105" s="16" t="n">
        <x:f>IF(G105=0,I105,IF(G105=1,H105,G105*H105+(1-G105)*I105))</x:f>
        <x:v>0.2669025</x:v>
      </x:c>
      <x:c r="F105" s="12" t="n">
        <x:v>13855</x:v>
      </x:c>
      <x:c r="G105" s="11" t="n">
        <x:v>0.6025</x:v>
      </x:c>
      <x:c r="H105" s="11" t="n">
        <x:v>0.2832</x:v>
      </x:c>
      <x:c r="I105" s="11" t="n">
        <x:v>0.2422</x:v>
      </x:c>
      <x:c r="J105" s="13" t="n">
        <x:f>IF(OR(G105=0,G105=1),"",(H105-I105)*100)</x:f>
        <x:v>4.1000000000000005</x:v>
      </x:c>
      <x:c r="K105" s="14" t="n">
        <x:v>4.1</x:v>
      </x:c>
      <x:c r="L105" s="15" t="n">
        <x:f>F105*G105</x:f>
        <x:v>8347.6375</x:v>
      </x:c>
      <x:c r="M105" s="15" t="n">
        <x:f>F105-L105</x:f>
        <x:v>5507.362499999999</x:v>
      </x:c>
      <x:c r="N105" s="17" t="str"/>
      <x:c r="O105" s="17" t="str">
        <x:v>https://sts2log.com/cards</x:v>
      </x:c>
      <x:c r="P105" s="17" t="str">
        <x:v>https://slaythespire2.net/ancient/neow</x:v>
      </x:c>
    </x:row>
    <x:row r="106" ht="25" customHeight="1">
      <x:c r="A106" s="2" t="str">
        <x:v>v0.107</x:v>
      </x:c>
      <x:c r="B106" s="2" t="str">
        <x:v>静默猎手</x:v>
      </x:c>
      <x:c r="C106" s="2" t="str">
        <x:v>涅奥</x:v>
      </x:c>
      <x:c r="D106" s="2" t="str">
        <x:v>万花筒</x:v>
      </x:c>
      <x:c r="E106" s="16" t="n">
        <x:f>IF(G106=0,I106,IF(G106=1,H106,G106*H106+(1-G106)*I106))</x:f>
        <x:v>0.2502432</x:v>
      </x:c>
      <x:c r="F106" s="12" t="n">
        <x:v>13472</x:v>
      </x:c>
      <x:c r="G106" s="11" t="n">
        <x:v>0.313</x:v>
      </x:c>
      <x:c r="H106" s="11" t="n">
        <x:v>0.2409</x:v>
      </x:c>
      <x:c r="I106" s="11" t="n">
        <x:v>0.2545</x:v>
      </x:c>
      <x:c r="J106" s="13" t="n">
        <x:f>IF(OR(G106=0,G106=1),"",(H106-I106)*100)</x:f>
        <x:v>-1.36</x:v>
      </x:c>
      <x:c r="K106" s="14" t="n">
        <x:v>-0.13</x:v>
      </x:c>
      <x:c r="L106" s="15" t="n">
        <x:f>F106*G106</x:f>
        <x:v>4216.736</x:v>
      </x:c>
      <x:c r="M106" s="15" t="n">
        <x:f>F106-L106</x:f>
        <x:v>9255.264</x:v>
      </x:c>
      <x:c r="N106" s="17" t="str"/>
      <x:c r="O106" s="17" t="str">
        <x:v>https://sts2log.com/cards</x:v>
      </x:c>
      <x:c r="P106" s="17" t="str">
        <x:v>https://slaythespire2.net/ancient/neow</x:v>
      </x:c>
    </x:row>
    <x:row r="107" ht="25" customHeight="1">
      <x:c r="A107" s="2" t="str">
        <x:v>v0.107</x:v>
      </x:c>
      <x:c r="B107" s="2" t="str">
        <x:v>静默猎手</x:v>
      </x:c>
      <x:c r="C107" s="2" t="str">
        <x:v>涅奥</x:v>
      </x:c>
      <x:c r="D107" s="2" t="str">
        <x:v>新叶</x:v>
      </x:c>
      <x:c r="E107" s="16" t="n">
        <x:f>IF(G107=0,I107,IF(G107=1,H107,G107*H107+(1-G107)*I107))</x:f>
        <x:v>0.24944719</x:v>
      </x:c>
      <x:c r="F107" s="12" t="n">
        <x:v>12797</x:v>
      </x:c>
      <x:c r="G107" s="11" t="n">
        <x:v>0.4017</x:v>
      </x:c>
      <x:c r="H107" s="11" t="n">
        <x:v>0.2379</x:v>
      </x:c>
      <x:c r="I107" s="11" t="n">
        <x:v>0.2572</x:v>
      </x:c>
      <x:c r="J107" s="13" t="n">
        <x:f>IF(OR(G107=0,G107=1),"",(H107-I107)*100)</x:f>
        <x:v>-1.9299999999999984</x:v>
      </x:c>
      <x:c r="K107" s="14" t="n">
        <x:v>-0.43</x:v>
      </x:c>
      <x:c r="L107" s="15" t="n">
        <x:f>F107*G107</x:f>
        <x:v>5140.5549</x:v>
      </x:c>
      <x:c r="M107" s="15" t="n">
        <x:f>F107-L107</x:f>
        <x:v>7656.4451</x:v>
      </x:c>
      <x:c r="N107" s="17" t="str"/>
      <x:c r="O107" s="17" t="str">
        <x:v>https://sts2log.com/cards</x:v>
      </x:c>
      <x:c r="P107" s="17" t="str">
        <x:v>https://slaythespire2.net/ancient/neow</x:v>
      </x:c>
    </x:row>
    <x:row r="108" ht="25" customHeight="1">
      <x:c r="A108" s="2" t="str">
        <x:v>v0.107</x:v>
      </x:c>
      <x:c r="B108" s="2" t="str">
        <x:v>静默猎手</x:v>
      </x:c>
      <x:c r="C108" s="2" t="str">
        <x:v>涅奥</x:v>
      </x:c>
      <x:c r="D108" s="2" t="str">
        <x:v>巨大扭蛋</x:v>
      </x:c>
      <x:c r="E108" s="16" t="n">
        <x:f>IF(G108=0,I108,IF(G108=1,H108,G108*H108+(1-G108)*I108))</x:f>
        <x:v>0.24921928</x:v>
      </x:c>
      <x:c r="F108" s="12" t="n">
        <x:v>12755</x:v>
      </x:c>
      <x:c r="G108" s="11" t="n">
        <x:v>0.2904</x:v>
      </x:c>
      <x:c r="H108" s="11" t="n">
        <x:v>0.2781</x:v>
      </x:c>
      <x:c r="I108" s="11" t="n">
        <x:v>0.23739999999999997</x:v>
      </x:c>
      <x:c r="J108" s="13" t="n">
        <x:f>IF(OR(G108=0,G108=1),"",(H108-I108)*100)</x:f>
        <x:v>4.070000000000004</x:v>
      </x:c>
      <x:c r="K108" s="14" t="n">
        <x:v>3.59</x:v>
      </x:c>
      <x:c r="L108" s="15" t="n">
        <x:f>F108*G108</x:f>
        <x:v>3704.0519999999997</x:v>
      </x:c>
      <x:c r="M108" s="15" t="n">
        <x:f>F108-L108</x:f>
        <x:v>9050.948</x:v>
      </x:c>
      <x:c r="N108" s="17" t="str"/>
      <x:c r="O108" s="17" t="str">
        <x:v>https://sts2log.com/cards</x:v>
      </x:c>
      <x:c r="P108" s="17" t="str">
        <x:v>https://slaythespire2.net/ancient/neow</x:v>
      </x:c>
    </x:row>
    <x:row r="109" ht="25" customHeight="1">
      <x:c r="A109" s="2" t="str">
        <x:v>v0.107</x:v>
      </x:c>
      <x:c r="B109" s="2" t="str">
        <x:v>静默猎手</x:v>
      </x:c>
      <x:c r="C109" s="2" t="str">
        <x:v>涅奥</x:v>
      </x:c>
      <x:c r="D109" s="2" t="str">
        <x:v>轰鸣海螺</x:v>
      </x:c>
      <x:c r="E109" s="16" t="n">
        <x:f>IF(G109=0,I109,IF(G109=1,H109,G109*H109+(1-G109)*I109))</x:f>
        <x:v>0.24583178</x:v>
      </x:c>
      <x:c r="F109" s="12" t="n">
        <x:v>14284</x:v>
      </x:c>
      <x:c r="G109" s="11" t="n">
        <x:v>0.1278</x:v>
      </x:c>
      <x:c r="H109" s="11" t="n">
        <x:v>0.3375</x:v>
      </x:c>
      <x:c r="I109" s="11" t="n">
        <x:v>0.2324</x:v>
      </x:c>
      <x:c r="J109" s="13" t="n">
        <x:f>IF(OR(G109=0,G109=1),"",(H109-I109)*100)</x:f>
        <x:v>10.510000000000003</x:v>
      </x:c>
      <x:c r="K109" s="14" t="n">
        <x:v>9.53</x:v>
      </x:c>
      <x:c r="L109" s="15" t="n">
        <x:f>F109*G109</x:f>
        <x:v>1825.4952</x:v>
      </x:c>
      <x:c r="M109" s="15" t="n">
        <x:f>F109-L109</x:f>
        <x:v>12458.5048</x:v>
      </x:c>
      <x:c r="N109" s="17" t="str"/>
      <x:c r="O109" s="17" t="str">
        <x:v>https://sts2log.com/cards</x:v>
      </x:c>
      <x:c r="P109" s="17" t="str">
        <x:v>https://slaythespire2.net/ancient/neow</x:v>
      </x:c>
    </x:row>
    <x:row r="110" ht="25" customHeight="1">
      <x:c r="A110" s="2" t="str">
        <x:v>v0.107</x:v>
      </x:c>
      <x:c r="B110" s="2" t="str">
        <x:v>静默猎手</x:v>
      </x:c>
      <x:c r="C110" s="2" t="str">
        <x:v>涅奥</x:v>
      </x:c>
      <x:c r="D110" s="2" t="str">
        <x:v>松动羊毛剪</x:v>
      </x:c>
      <x:c r="E110" s="16" t="n">
        <x:f>IF(G110=0,I110,IF(G110=1,H110,G110*H110+(1-G110)*I110))</x:f>
        <x:v>0.24522687999999998</x:v>
      </x:c>
      <x:c r="F110" s="12" t="n">
        <x:v>13529</x:v>
      </x:c>
      <x:c r="G110" s="11" t="n">
        <x:v>0.3096</x:v>
      </x:c>
      <x:c r="H110" s="11" t="n">
        <x:v>0.2299</x:v>
      </x:c>
      <x:c r="I110" s="11" t="n">
        <x:v>0.2521</x:v>
      </x:c>
      <x:c r="J110" s="13" t="n">
        <x:f>IF(OR(G110=0,G110=1),"",(H110-I110)*100)</x:f>
        <x:v>-2.2199999999999998</x:v>
      </x:c>
      <x:c r="K110" s="14" t="n">
        <x:v>-1.23</x:v>
      </x:c>
      <x:c r="L110" s="15" t="n">
        <x:f>F110*G110</x:f>
        <x:v>4188.578399999999</x:v>
      </x:c>
      <x:c r="M110" s="15" t="n">
        <x:f>F110-L110</x:f>
        <x:v>9340.421600000001</x:v>
      </x:c>
      <x:c r="N110" s="17" t="str"/>
      <x:c r="O110" s="17" t="str">
        <x:v>https://sts2log.com/cards</x:v>
      </x:c>
      <x:c r="P110" s="17" t="str">
        <x:v>https://slaythespire2.net/ancient/neow</x:v>
      </x:c>
    </x:row>
    <x:row r="111" ht="25" customHeight="1">
      <x:c r="A111" s="2" t="str">
        <x:v>v0.107</x:v>
      </x:c>
      <x:c r="B111" s="2" t="str">
        <x:v>静默猎手</x:v>
      </x:c>
      <x:c r="C111" s="2" t="str">
        <x:v>涅奥</x:v>
      </x:c>
      <x:c r="D111" s="2" t="str">
        <x:v>小型扭蛋</x:v>
      </x:c>
      <x:c r="E111" s="16" t="n">
        <x:f>IF(G111=0,I111,IF(G111=1,H111,G111*H111+(1-G111)*I111))</x:f>
        <x:v>0.24499952</x:v>
      </x:c>
      <x:c r="F111" s="12" t="n">
        <x:v>6502</x:v>
      </x:c>
      <x:c r="G111" s="11" t="n">
        <x:v>0.25920000000000004</x:v>
      </x:c>
      <x:c r="H111" s="11" t="n">
        <x:v>0.251</x:v>
      </x:c>
      <x:c r="I111" s="11" t="n">
        <x:v>0.2429</x:v>
      </x:c>
      <x:c r="J111" s="13" t="n">
        <x:f>IF(OR(G111=0,G111=1),"",(H111-I111)*100)</x:f>
        <x:v>0.8099999999999996</x:v>
      </x:c>
      <x:c r="K111" s="14" t="n">
        <x:v>0.88</x:v>
      </x:c>
      <x:c r="L111" s="15" t="n">
        <x:f>F111*G111</x:f>
        <x:v>1685.3184000000003</x:v>
      </x:c>
      <x:c r="M111" s="15" t="n">
        <x:f>F111-L111</x:f>
        <x:v>4816.6816</x:v>
      </x:c>
      <x:c r="N111" s="17" t="str"/>
      <x:c r="O111" s="17" t="str">
        <x:v>https://sts2log.com/cards</x:v>
      </x:c>
      <x:c r="P111" s="17" t="str">
        <x:v>https://slaythespire2.net/ancient/neow</x:v>
      </x:c>
    </x:row>
    <x:row r="112" ht="25" customHeight="1">
      <x:c r="A112" s="2" t="str">
        <x:v>v0.107</x:v>
      </x:c>
      <x:c r="B112" s="2" t="str">
        <x:v>静默猎手</x:v>
      </x:c>
      <x:c r="C112" s="2" t="str">
        <x:v>涅奥</x:v>
      </x:c>
      <x:c r="D112" s="2" t="str">
        <x:v>羽翼之靴</x:v>
      </x:c>
      <x:c r="E112" s="16" t="n">
        <x:f>IF(G112=0,I112,IF(G112=1,H112,G112*H112+(1-G112)*I112))</x:f>
        <x:v>0.24406793999999998</x:v>
      </x:c>
      <x:c r="F112" s="12" t="n">
        <x:v>14472</x:v>
      </x:c>
      <x:c r="G112" s="11" t="n">
        <x:v>0.2391</x:v>
      </x:c>
      <x:c r="H112" s="11" t="n">
        <x:v>0.2847</x:v>
      </x:c>
      <x:c r="I112" s="11" t="n">
        <x:v>0.23129999999999998</x:v>
      </x:c>
      <x:c r="J112" s="13" t="n">
        <x:f>IF(OR(G112=0,G112=1),"",(H112-I112)*100)</x:f>
        <x:v>5.340000000000003</x:v>
      </x:c>
      <x:c r="K112" s="14" t="n">
        <x:v>4.25</x:v>
      </x:c>
      <x:c r="L112" s="15" t="n">
        <x:f>F112*G112</x:f>
        <x:v>3460.2552</x:v>
      </x:c>
      <x:c r="M112" s="15" t="n">
        <x:f>F112-L112</x:f>
        <x:v>11011.7448</x:v>
      </x:c>
      <x:c r="N112" s="17" t="str"/>
      <x:c r="O112" s="17" t="str">
        <x:v>https://sts2log.com/cards</x:v>
      </x:c>
      <x:c r="P112" s="17" t="str">
        <x:v>https://slaythespire2.net/ancient/neow</x:v>
      </x:c>
    </x:row>
    <x:row r="113" ht="25" customHeight="1">
      <x:c r="A113" s="2" t="str">
        <x:v>v0.107</x:v>
      </x:c>
      <x:c r="B113" s="2" t="str">
        <x:v>静默猎手</x:v>
      </x:c>
      <x:c r="C113" s="2" t="str">
        <x:v>涅奥</x:v>
      </x:c>
      <x:c r="D113" s="2" t="str">
        <x:v>奥术卷轴</x:v>
      </x:c>
      <x:c r="E113" s="16" t="n">
        <x:f>IF(G113=0,I113,IF(G113=1,H113,G113*H113+(1-G113)*I113))</x:f>
        <x:v>0.24387877000000002</x:v>
      </x:c>
      <x:c r="F113" s="12" t="n">
        <x:v>12952</x:v>
      </x:c>
      <x:c r="G113" s="11" t="n">
        <x:v>0.4947</x:v>
      </x:c>
      <x:c r="H113" s="11" t="n">
        <x:v>0.203</x:v>
      </x:c>
      <x:c r="I113" s="11" t="n">
        <x:v>0.2839</x:v>
      </x:c>
      <x:c r="J113" s="13" t="n">
        <x:f>IF(OR(G113=0,G113=1),"",(H113-I113)*100)</x:f>
        <x:v>-8.089999999999996</x:v>
      </x:c>
      <x:c r="K113" s="14" t="n">
        <x:v>-3.92</x:v>
      </x:c>
      <x:c r="L113" s="15" t="n">
        <x:f>F113*G113</x:f>
        <x:v>6407.354399999999</x:v>
      </x:c>
      <x:c r="M113" s="15" t="n">
        <x:f>F113-L113</x:f>
        <x:v>6544.645600000001</x:v>
      </x:c>
      <x:c r="N113" s="17" t="str"/>
      <x:c r="O113" s="17" t="str">
        <x:v>https://sts2log.com/cards</x:v>
      </x:c>
      <x:c r="P113" s="17" t="str">
        <x:v>https://slaythespire2.net/ancient/neow</x:v>
      </x:c>
    </x:row>
    <x:row r="114" ht="25" customHeight="1">
      <x:c r="A114" s="2" t="str">
        <x:v>v0.107</x:v>
      </x:c>
      <x:c r="B114" s="2" t="str">
        <x:v>静默猎手</x:v>
      </x:c>
      <x:c r="C114" s="2" t="str">
        <x:v>涅奥</x:v>
      </x:c>
      <x:c r="D114" s="2" t="str">
        <x:v>药瓶皮套</x:v>
      </x:c>
      <x:c r="E114" s="16" t="n">
        <x:f>IF(G114=0,I114,IF(G114=1,H114,G114*H114+(1-G114)*I114))</x:f>
        <x:v>0.24337674000000004</x:v>
      </x:c>
      <x:c r="F114" s="12" t="n">
        <x:v>14436</x:v>
      </x:c>
      <x:c r="G114" s="11" t="n">
        <x:v>0.1978</x:v>
      </x:c>
      <x:c r="H114" s="11" t="n">
        <x:v>0.3102</x:v>
      </x:c>
      <x:c r="I114" s="11" t="n">
        <x:v>0.22690000000000002</x:v>
      </x:c>
      <x:c r="J114" s="13" t="n">
        <x:f>IF(OR(G114=0,G114=1),"",(H114-I114)*100)</x:f>
        <x:v>8.329999999999997</x:v>
      </x:c>
      <x:c r="K114" s="14" t="n">
        <x:v>6.8</x:v>
      </x:c>
      <x:c r="L114" s="15" t="n">
        <x:f>F114*G114</x:f>
        <x:v>2855.4408</x:v>
      </x:c>
      <x:c r="M114" s="15" t="n">
        <x:f>F114-L114</x:f>
        <x:v>11580.5592</x:v>
      </x:c>
      <x:c r="N114" s="17" t="str"/>
      <x:c r="O114" s="17" t="str">
        <x:v>https://sts2log.com/cards</x:v>
      </x:c>
      <x:c r="P114" s="17" t="str">
        <x:v>https://slaythespire2.net/ancient/neow</x:v>
      </x:c>
    </x:row>
    <x:row r="115" ht="25" customHeight="1">
      <x:c r="A115" s="2" t="str">
        <x:v>v0.107</x:v>
      </x:c>
      <x:c r="B115" s="2" t="str">
        <x:v>静默猎手</x:v>
      </x:c>
      <x:c r="C115" s="2" t="str">
        <x:v>涅奥</x:v>
      </x:c>
      <x:c r="D115" s="2" t="str">
        <x:v>华美发束</x:v>
      </x:c>
      <x:c r="E115" s="16" t="n">
        <x:f>IF(G115=0,I115,IF(G115=1,H115,G115*H115+(1-G115)*I115))</x:f>
        <x:v>0.2433494</x:v>
      </x:c>
      <x:c r="F115" s="12" t="n">
        <x:v>15071</x:v>
      </x:c>
      <x:c r="G115" s="11" t="n">
        <x:v>0.7509999999999999</x:v>
      </x:c>
      <x:c r="H115" s="11" t="n">
        <x:v>0.2432</x:v>
      </x:c>
      <x:c r="I115" s="11" t="n">
        <x:v>0.2438</x:v>
      </x:c>
      <x:c r="J115" s="13" t="n">
        <x:f>IF(OR(G115=0,G115=1),"",(H115-I115)*100)</x:f>
        <x:v>-0.05999999999999894</x:v>
      </x:c>
      <x:c r="K115" s="14" t="n">
        <x:v>0.1</x:v>
      </x:c>
      <x:c r="L115" s="15" t="n">
        <x:f>F115*G115</x:f>
        <x:v>11318.320999999998</x:v>
      </x:c>
      <x:c r="M115" s="15" t="n">
        <x:f>F115-L115</x:f>
        <x:v>3752.679000000002</x:v>
      </x:c>
      <x:c r="N115" s="17" t="str"/>
      <x:c r="O115" s="17" t="str">
        <x:v>https://sts2log.com/cards</x:v>
      </x:c>
      <x:c r="P115" s="17" t="str">
        <x:v>https://slaythespire2.net/ancient/neow</x:v>
      </x:c>
    </x:row>
    <x:row r="116" ht="25" customHeight="1">
      <x:c r="A116" s="2" t="str">
        <x:v>v0.107</x:v>
      </x:c>
      <x:c r="B116" s="2" t="str">
        <x:v>静默猎手</x:v>
      </x:c>
      <x:c r="C116" s="2" t="str">
        <x:v>涅奥</x:v>
      </x:c>
      <x:c r="D116" s="2" t="str">
        <x:v>涅奥骨骰</x:v>
      </x:c>
      <x:c r="E116" s="16" t="n">
        <x:f>IF(G116=0,I116,IF(G116=1,H116,G116*H116+(1-G116)*I116))</x:f>
        <x:v>0.2422689</x:v>
      </x:c>
      <x:c r="F116" s="12" t="n">
        <x:v>13398</x:v>
      </x:c>
      <x:c r="G116" s="11" t="n">
        <x:v>0.4595</x:v>
      </x:c>
      <x:c r="H116" s="11" t="n">
        <x:v>0.22399999999999998</x:v>
      </x:c>
      <x:c r="I116" s="11" t="n">
        <x:v>0.25780000000000003</x:v>
      </x:c>
      <x:c r="J116" s="13" t="n">
        <x:f>IF(OR(G116=0,G116=1),"",(H116-I116)*100)</x:f>
        <x:v>-3.3800000000000052</x:v>
      </x:c>
      <x:c r="K116" s="14" t="n">
        <x:v>-1.82</x:v>
      </x:c>
      <x:c r="L116" s="15" t="n">
        <x:f>F116*G116</x:f>
        <x:v>6156.381</x:v>
      </x:c>
      <x:c r="M116" s="15" t="n">
        <x:f>F116-L116</x:f>
        <x:v>7241.619</x:v>
      </x:c>
      <x:c r="N116" s="17" t="str"/>
      <x:c r="O116" s="17" t="str">
        <x:v>https://sts2log.com/cards</x:v>
      </x:c>
      <x:c r="P116" s="17" t="str">
        <x:v>https://slaythespire2.net/ancient/neow</x:v>
      </x:c>
    </x:row>
    <x:row r="117" ht="25" customHeight="1">
      <x:c r="A117" s="2" t="str">
        <x:v>v0.107</x:v>
      </x:c>
      <x:c r="B117" s="2" t="str">
        <x:v>静默猎手</x:v>
      </x:c>
      <x:c r="C117" s="2" t="str">
        <x:v>涅奥</x:v>
      </x:c>
      <x:c r="D117" s="2" t="str">
        <x:v>钓鱼竿</x:v>
      </x:c>
      <x:c r="E117" s="16" t="n">
        <x:f>IF(G117=0,I117,IF(G117=1,H117,G117*H117+(1-G117)*I117))</x:f>
        <x:v>0.24207296</x:v>
      </x:c>
      <x:c r="F117" s="12" t="n">
        <x:v>14477</x:v>
      </x:c>
      <x:c r="G117" s="11" t="n">
        <x:v>0.1784</x:v>
      </x:c>
      <x:c r="H117" s="11" t="n">
        <x:v>0.2005</x:v>
      </x:c>
      <x:c r="I117" s="11" t="n">
        <x:v>0.2511</x:v>
      </x:c>
      <x:c r="J117" s="13" t="n">
        <x:f>IF(OR(G117=0,G117=1),"",(H117-I117)*100)</x:f>
        <x:v>-5.059999999999998</x:v>
      </x:c>
      <x:c r="K117" s="14" t="n">
        <x:v>-4.17</x:v>
      </x:c>
      <x:c r="L117" s="15" t="n">
        <x:f>F117*G117</x:f>
        <x:v>2582.6968</x:v>
      </x:c>
      <x:c r="M117" s="15" t="n">
        <x:f>F117-L117</x:f>
        <x:v>11894.3032</x:v>
      </x:c>
      <x:c r="N117" s="17" t="str"/>
      <x:c r="O117" s="17" t="str">
        <x:v>https://sts2log.com/cards</x:v>
      </x:c>
      <x:c r="P117" s="17" t="str">
        <x:v>https://slaythespire2.net/ancient/neow</x:v>
      </x:c>
    </x:row>
    <x:row r="118" ht="25" customHeight="1">
      <x:c r="A118" s="2" t="str">
        <x:v>v0.107</x:v>
      </x:c>
      <x:c r="B118" s="2" t="str">
        <x:v>静默猎手</x:v>
      </x:c>
      <x:c r="C118" s="2" t="str">
        <x:v>涅奥</x:v>
      </x:c>
      <x:c r="D118" s="2" t="str">
        <x:v>石炉加湿器</x:v>
      </x:c>
      <x:c r="E118" s="16" t="n">
        <x:f>IF(G118=0,I118,IF(G118=1,H118,G118*H118+(1-G118)*I118))</x:f>
        <x:v>0.24205317000000004</x:v>
      </x:c>
      <x:c r="F118" s="12" t="n">
        <x:v>7241</x:v>
      </x:c>
      <x:c r="G118" s="11" t="n">
        <x:v>0.08990000000000001</x:v>
      </x:c>
      <x:c r="H118" s="11" t="n">
        <x:v>0.1859</x:v>
      </x:c>
      <x:c r="I118" s="11" t="n">
        <x:v>0.24760000000000001</x:v>
      </x:c>
      <x:c r="J118" s="13" t="n">
        <x:f>IF(OR(G118=0,G118=1),"",(H118-I118)*100)</x:f>
        <x:v>-6.170000000000001</x:v>
      </x:c>
      <x:c r="K118" s="14" t="n">
        <x:v>-5.63</x:v>
      </x:c>
      <x:c r="L118" s="15" t="n">
        <x:f>F118*G118</x:f>
        <x:v>650.9659</x:v>
      </x:c>
      <x:c r="M118" s="15" t="n">
        <x:f>F118-L118</x:f>
        <x:v>6590.0341</x:v>
      </x:c>
      <x:c r="N118" s="17" t="str"/>
      <x:c r="O118" s="17" t="str">
        <x:v>https://sts2log.com/cards</x:v>
      </x:c>
      <x:c r="P118" s="17" t="str">
        <x:v>https://slaythespire2.net/ancient/neow</x:v>
      </x:c>
    </x:row>
    <x:row r="119" ht="25" customHeight="1">
      <x:c r="A119" s="2" t="str">
        <x:v>v0.107</x:v>
      </x:c>
      <x:c r="B119" s="2" t="str">
        <x:v>静默猎手</x:v>
      </x:c>
      <x:c r="C119" s="2" t="str">
        <x:v>涅奥</x:v>
      </x:c>
      <x:c r="D119" s="2" t="str">
        <x:v>营养牡蛎</x:v>
      </x:c>
      <x:c r="E119" s="16" t="n">
        <x:f>IF(G119=0,I119,IF(G119=1,H119,G119*H119+(1-G119)*I119))</x:f>
        <x:v>0.24175820000000003</x:v>
      </x:c>
      <x:c r="F119" s="12" t="n">
        <x:v>7401</x:v>
      </x:c>
      <x:c r="G119" s="11" t="n">
        <x:v>0.0767</x:v>
      </x:c>
      <x:c r="H119" s="11" t="n">
        <x:v>0.19190000000000002</x:v>
      </x:c>
      <x:c r="I119" s="11" t="n">
        <x:v>0.2459</x:v>
      </x:c>
      <x:c r="J119" s="13" t="n">
        <x:f>IF(OR(G119=0,G119=1),"",(H119-I119)*100)</x:f>
        <x:v>-5.3999999999999995</x:v>
      </x:c>
      <x:c r="K119" s="14" t="n">
        <x:v>-5.03</x:v>
      </x:c>
      <x:c r="L119" s="15" t="n">
        <x:f>F119*G119</x:f>
        <x:v>567.6567</x:v>
      </x:c>
      <x:c r="M119" s="15" t="n">
        <x:f>F119-L119</x:f>
        <x:v>6833.3433</x:v>
      </x:c>
      <x:c r="N119" s="17" t="str"/>
      <x:c r="O119" s="17" t="str">
        <x:v>https://sts2log.com/cards</x:v>
      </x:c>
      <x:c r="P119" s="17" t="str">
        <x:v>https://slaythespire2.net/ancient/neow</x:v>
      </x:c>
    </x:row>
    <x:row r="120" ht="25" customHeight="1">
      <x:c r="A120" s="2" t="str">
        <x:v>v0.107</x:v>
      </x:c>
      <x:c r="B120" s="2" t="str">
        <x:v>静默猎手</x:v>
      </x:c>
      <x:c r="C120" s="2" t="str">
        <x:v>涅奥</x:v>
      </x:c>
      <x:c r="D120" s="2" t="str">
        <x:v>橙型香盒</x:v>
      </x:c>
      <x:c r="E120" s="16" t="n">
        <x:f>IF(G120=0,I120,IF(G120=1,H120,G120*H120+(1-G120)*I120))</x:f>
        <x:v>0.24166405999999999</x:v>
      </x:c>
      <x:c r="F120" s="12" t="n">
        <x:v>7381</x:v>
      </x:c>
      <x:c r="G120" s="11" t="n">
        <x:v>0.1661</x:v>
      </x:c>
      <x:c r="H120" s="11" t="n">
        <x:v>0.2455</x:v>
      </x:c>
      <x:c r="I120" s="11" t="n">
        <x:v>0.2409</x:v>
      </x:c>
      <x:c r="J120" s="13" t="n">
        <x:f>IF(OR(G120=0,G120=1),"",(H120-I120)*100)</x:f>
        <x:v>0.4599999999999993</x:v>
      </x:c>
      <x:c r="K120" s="14" t="n">
        <x:v>0.33</x:v>
      </x:c>
      <x:c r="L120" s="15" t="n">
        <x:f>F120*G120</x:f>
        <x:v>1225.9841</x:v>
      </x:c>
      <x:c r="M120" s="15" t="n">
        <x:f>F120-L120</x:f>
        <x:v>6155.0159</x:v>
      </x:c>
      <x:c r="N120" s="17" t="str"/>
      <x:c r="O120" s="17" t="str">
        <x:v>https://sts2log.com/cards</x:v>
      </x:c>
      <x:c r="P120" s="17" t="str">
        <x:v>https://slaythespire2.net/ancient/neow</x:v>
      </x:c>
    </x:row>
    <x:row r="121" ht="25" customHeight="1">
      <x:c r="A121" s="2" t="str">
        <x:v>v0.107</x:v>
      </x:c>
      <x:c r="B121" s="2" t="str">
        <x:v>静默猎手</x:v>
      </x:c>
      <x:c r="C121" s="2" t="str">
        <x:v>涅奥</x:v>
      </x:c>
      <x:c r="D121" s="2" t="str">
        <x:v>涅奥的苦痛</x:v>
      </x:c>
      <x:c r="E121" s="16" t="n">
        <x:f>IF(G121=0,I121,IF(G121=1,H121,G121*H121+(1-G121)*I121))</x:f>
        <x:v>0.24128978</x:v>
      </x:c>
      <x:c r="F121" s="12" t="n">
        <x:v>14027</x:v>
      </x:c>
      <x:c r="G121" s="11" t="n">
        <x:v>0.0673</x:v>
      </x:c>
      <x:c r="H121" s="11" t="n">
        <x:v>0.3146</x:v>
      </x:c>
      <x:c r="I121" s="11" t="n">
        <x:v>0.23600000000000002</x:v>
      </x:c>
      <x:c r="J121" s="13" t="n">
        <x:f>IF(OR(G121=0,G121=1),"",(H121-I121)*100)</x:f>
        <x:v>7.859999999999998</x:v>
      </x:c>
      <x:c r="K121" s="14" t="n">
        <x:v>7.24</x:v>
      </x:c>
      <x:c r="L121" s="15" t="n">
        <x:f>F121*G121</x:f>
        <x:v>944.0171</x:v>
      </x:c>
      <x:c r="M121" s="15" t="n">
        <x:f>F121-L121</x:f>
        <x:v>13082.982899999999</x:v>
      </x:c>
      <x:c r="N121" s="17" t="str"/>
      <x:c r="O121" s="17" t="str">
        <x:v>https://sts2log.com/cards</x:v>
      </x:c>
      <x:c r="P121" s="17" t="str">
        <x:v>https://slaythespire2.net/ancient/neow</x:v>
      </x:c>
    </x:row>
    <x:row r="122" ht="25" customHeight="1">
      <x:c r="A122" s="2" t="str">
        <x:v>v0.107</x:v>
      </x:c>
      <x:c r="B122" s="2" t="str">
        <x:v>静默猎手</x:v>
      </x:c>
      <x:c r="C122" s="2" t="str">
        <x:v>涅奥</x:v>
      </x:c>
      <x:c r="D122" s="2" t="str">
        <x:v>精准剪刀</x:v>
      </x:c>
      <x:c r="E122" s="16" t="n">
        <x:f>IF(G122=0,I122,IF(G122=1,H122,G122*H122+(1-G122)*I122))</x:f>
        <x:v>0.24114291</x:v>
      </x:c>
      <x:c r="F122" s="12" t="n">
        <x:v>12563</x:v>
      </x:c>
      <x:c r="G122" s="11" t="n">
        <x:v>0.1249</x:v>
      </x:c>
      <x:c r="H122" s="11" t="n">
        <x:v>0.1938</x:v>
      </x:c>
      <x:c r="I122" s="11" t="n">
        <x:v>0.24789999999999998</x:v>
      </x:c>
      <x:c r="J122" s="13" t="n">
        <x:f>IF(OR(G122=0,G122=1),"",(H122-I122)*100)</x:f>
        <x:v>-5.409999999999998</x:v>
      </x:c>
      <x:c r="K122" s="14" t="n">
        <x:v>-4.84</x:v>
      </x:c>
      <x:c r="L122" s="15" t="n">
        <x:f>F122*G122</x:f>
        <x:v>1569.1187</x:v>
      </x:c>
      <x:c r="M122" s="15" t="n">
        <x:f>F122-L122</x:f>
        <x:v>10993.881300000001</x:v>
      </x:c>
      <x:c r="N122" s="17" t="str"/>
      <x:c r="O122" s="17" t="str">
        <x:v>https://sts2log.com/cards</x:v>
      </x:c>
      <x:c r="P122" s="17" t="str">
        <x:v>https://slaythespire2.net/ancient/neow</x:v>
      </x:c>
    </x:row>
    <x:row r="123" ht="25" customHeight="1">
      <x:c r="A123" s="2" t="str">
        <x:v>v0.107</x:v>
      </x:c>
      <x:c r="B123" s="2" t="str">
        <x:v>静默猎手</x:v>
      </x:c>
      <x:c r="C123" s="2" t="str">
        <x:v>涅奥</x:v>
      </x:c>
      <x:c r="D123" s="2" t="str">
        <x:v>铅制镇纸</x:v>
      </x:c>
      <x:c r="E123" s="16" t="n">
        <x:f>IF(G123=0,I123,IF(G123=1,H123,G123*H123+(1-G123)*I123))</x:f>
        <x:v>0.24093483</x:v>
      </x:c>
      <x:c r="F123" s="12" t="n">
        <x:v>14712</x:v>
      </x:c>
      <x:c r="G123" s="11" t="n">
        <x:v>0.3267</x:v>
      </x:c>
      <x:c r="H123" s="11" t="n">
        <x:v>0.2577</x:v>
      </x:c>
      <x:c r="I123" s="11" t="n">
        <x:v>0.2328</x:v>
      </x:c>
      <x:c r="J123" s="13" t="n">
        <x:f>IF(OR(G123=0,G123=1),"",(H123-I123)*100)</x:f>
        <x:v>2.4899999999999975</x:v>
      </x:c>
      <x:c r="K123" s="14" t="n">
        <x:v>1.55</x:v>
      </x:c>
      <x:c r="L123" s="15" t="n">
        <x:f>F123*G123</x:f>
        <x:v>4806.4104</x:v>
      </x:c>
      <x:c r="M123" s="15" t="n">
        <x:f>F123-L123</x:f>
        <x:v>9905.5896</x:v>
      </x:c>
      <x:c r="N123" s="17" t="str"/>
      <x:c r="O123" s="17" t="str">
        <x:v>https://sts2log.com/cards</x:v>
      </x:c>
      <x:c r="P123" s="17" t="str">
        <x:v>https://slaythespire2.net/ancient/neow</x:v>
      </x:c>
    </x:row>
    <x:row r="124" ht="25" customHeight="1">
      <x:c r="A124" s="2" t="str">
        <x:v>v0.107</x:v>
      </x:c>
      <x:c r="B124" s="2" t="str">
        <x:v>静默猎手</x:v>
      </x:c>
      <x:c r="C124" s="2" t="str">
        <x:v>涅奥</x:v>
      </x:c>
      <x:c r="D124" s="2" t="str">
        <x:v>诅咒珍珠</x:v>
      </x:c>
      <x:c r="E124" s="16" t="n">
        <x:f>IF(G124=0,I124,IF(G124=1,H124,G124*H124+(1-G124)*I124))</x:f>
        <x:v>0.24078876999999999</x:v>
      </x:c>
      <x:c r="F124" s="12" t="n">
        <x:v>13812</x:v>
      </x:c>
      <x:c r="G124" s="11" t="n">
        <x:v>0.45289999999999997</x:v>
      </x:c>
      <x:c r="H124" s="11" t="n">
        <x:v>0.2415</x:v>
      </x:c>
      <x:c r="I124" s="11" t="n">
        <x:v>0.2402</x:v>
      </x:c>
      <x:c r="J124" s="13" t="n">
        <x:f>IF(OR(G124=0,G124=1),"",(H124-I124)*100)</x:f>
        <x:v>0.12999999999999956</x:v>
      </x:c>
      <x:c r="K124" s="14" t="n">
        <x:v>-0.07</x:v>
      </x:c>
      <x:c r="L124" s="15" t="n">
        <x:f>F124*G124</x:f>
        <x:v>6255.4547999999995</x:v>
      </x:c>
      <x:c r="M124" s="15" t="n">
        <x:f>F124-L124</x:f>
        <x:v>7556.5452000000005</x:v>
      </x:c>
      <x:c r="N124" s="17" t="str"/>
      <x:c r="O124" s="17" t="str">
        <x:v>https://sts2log.com/cards</x:v>
      </x:c>
      <x:c r="P124" s="17" t="str">
        <x:v>https://slaythespire2.net/ancient/neow</x:v>
      </x:c>
    </x:row>
    <x:row r="125" ht="25" customHeight="1">
      <x:c r="A125" s="2" t="str">
        <x:v>v0.107</x:v>
      </x:c>
      <x:c r="B125" s="2" t="str">
        <x:v>静默猎手</x:v>
      </x:c>
      <x:c r="C125" s="2" t="str">
        <x:v>涅奥</x:v>
      </x:c>
      <x:c r="D125" s="2" t="str">
        <x:v>失物盒</x:v>
      </x:c>
      <x:c r="E125" s="16" t="n">
        <x:f>IF(G125=0,I125,IF(G125=1,H125,G125*H125+(1-G125)*I125))</x:f>
        <x:v>0.24019100999999998</x:v>
      </x:c>
      <x:c r="F125" s="12" t="n">
        <x:v>14332</x:v>
      </x:c>
      <x:c r="G125" s="11" t="n">
        <x:v>0.2213</x:v>
      </x:c>
      <x:c r="H125" s="11" t="n">
        <x:v>0.2384</x:v>
      </x:c>
      <x:c r="I125" s="11" t="n">
        <x:v>0.2407</x:v>
      </x:c>
      <x:c r="J125" s="13" t="n">
        <x:f>IF(OR(G125=0,G125=1),"",(H125-I125)*100)</x:f>
        <x:v>-0.22999999999999965</x:v>
      </x:c>
      <x:c r="K125" s="14" t="n">
        <x:v>-0.38</x:v>
      </x:c>
      <x:c r="L125" s="15" t="n">
        <x:f>F125*G125</x:f>
        <x:v>3171.6716</x:v>
      </x:c>
      <x:c r="M125" s="15" t="n">
        <x:f>F125-L125</x:f>
        <x:v>11160.3284</x:v>
      </x:c>
      <x:c r="N125" s="17" t="str"/>
      <x:c r="O125" s="17" t="str">
        <x:v>https://sts2log.com/cards</x:v>
      </x:c>
      <x:c r="P125" s="17" t="str">
        <x:v>https://slaythespire2.net/ancient/neow</x:v>
      </x:c>
    </x:row>
    <x:row r="126" ht="25" customHeight="1">
      <x:c r="A126" s="2" t="str">
        <x:v>v0.107</x:v>
      </x:c>
      <x:c r="B126" s="2" t="str">
        <x:v>静默猎手</x:v>
      </x:c>
      <x:c r="C126" s="2" t="str">
        <x:v>涅奥</x:v>
      </x:c>
      <x:c r="D126" s="2" t="str">
        <x:v>卷轴箱</x:v>
      </x:c>
      <x:c r="E126" s="16" t="n">
        <x:f>IF(G126=0,I126,IF(G126=1,H126,G126*H126+(1-G126)*I126))</x:f>
        <x:v>0.2378444</x:v>
      </x:c>
      <x:c r="F126" s="12" t="n">
        <x:v>14667</x:v>
      </x:c>
      <x:c r="G126" s="11" t="n">
        <x:v>0.317</x:v>
      </x:c>
      <x:c r="H126" s="11" t="n">
        <x:v>0.2332</x:v>
      </x:c>
      <x:c r="I126" s="11" t="n">
        <x:v>0.24</x:v>
      </x:c>
      <x:c r="J126" s="13" t="n">
        <x:f>IF(OR(G126=0,G126=1),"",(H126-I126)*100)</x:f>
        <x:v>-0.68</x:v>
      </x:c>
      <x:c r="K126" s="14" t="n">
        <x:v>-0.9</x:v>
      </x:c>
      <x:c r="L126" s="15" t="n">
        <x:f>F126*G126</x:f>
        <x:v>4649.439</x:v>
      </x:c>
      <x:c r="M126" s="15" t="n">
        <x:f>F126-L126</x:f>
        <x:v>10017.561</x:v>
      </x:c>
      <x:c r="N126" s="17" t="str"/>
      <x:c r="O126" s="17" t="str">
        <x:v>https://sts2log.com/cards</x:v>
      </x:c>
      <x:c r="P126" s="17" t="str">
        <x:v>https://slaythespire2.net/ancient/neow</x:v>
      </x:c>
    </x:row>
    <x:row r="127" ht="25" customHeight="1">
      <x:c r="A127" s="2" t="str">
        <x:v>v0.107</x:v>
      </x:c>
      <x:c r="B127" s="2" t="str">
        <x:v>静默猎手</x:v>
      </x:c>
      <x:c r="C127" s="2" t="str">
        <x:v>涅奥</x:v>
      </x:c>
      <x:c r="D127" s="2" t="str">
        <x:v>金色珍珠</x:v>
      </x:c>
      <x:c r="E127" s="16" t="n">
        <x:f>IF(G127=0,I127,IF(G127=1,H127,G127*H127+(1-G127)*I127))</x:f>
        <x:v>0.23763700999999998</x:v>
      </x:c>
      <x:c r="F127" s="12" t="n">
        <x:v>13278</x:v>
      </x:c>
      <x:c r="G127" s="11" t="n">
        <x:v>0.3519</x:v>
      </x:c>
      <x:c r="H127" s="11" t="n">
        <x:v>0.2622</x:v>
      </x:c>
      <x:c r="I127" s="11" t="n">
        <x:v>0.2243</x:v>
      </x:c>
      <x:c r="J127" s="13" t="n">
        <x:f>IF(OR(G127=0,G127=1),"",(H127-I127)*100)</x:f>
        <x:v>3.789999999999999</x:v>
      </x:c>
      <x:c r="K127" s="14" t="n">
        <x:v>2</x:v>
      </x:c>
      <x:c r="L127" s="15" t="n">
        <x:f>F127*G127</x:f>
        <x:v>4672.5282</x:v>
      </x:c>
      <x:c r="M127" s="15" t="n">
        <x:f>F127-L127</x:f>
        <x:v>8605.4718</x:v>
      </x:c>
      <x:c r="N127" s="17" t="str"/>
      <x:c r="O127" s="17" t="str">
        <x:v>https://sts2log.com/cards</x:v>
      </x:c>
      <x:c r="P127" s="17" t="str">
        <x:v>https://slaythespire2.net/ancient/neow</x:v>
      </x:c>
    </x:row>
    <x:row r="128" ht="25" customHeight="1">
      <x:c r="A128" s="2" t="str">
        <x:v>v0.107</x:v>
      </x:c>
      <x:c r="B128" s="2" t="str">
        <x:v>静默猎手</x:v>
      </x:c>
      <x:c r="C128" s="2" t="str">
        <x:v>涅奥</x:v>
      </x:c>
      <x:c r="D128" s="2" t="str">
        <x:v>白银熔炉</x:v>
      </x:c>
      <x:c r="E128" s="16" t="n">
        <x:f>IF(G128=0,I128,IF(G128=1,H128,G128*H128+(1-G128)*I128))</x:f>
        <x:v>0.23521778000000002</x:v>
      </x:c>
      <x:c r="F128" s="12" t="n">
        <x:v>15059</x:v>
      </x:c>
      <x:c r="G128" s="11" t="n">
        <x:v>0.7123</x:v>
      </x:c>
      <x:c r="H128" s="11" t="n">
        <x:v>0.2492</x:v>
      </x:c>
      <x:c r="I128" s="11" t="n">
        <x:v>0.2006</x:v>
      </x:c>
      <x:c r="J128" s="13" t="n">
        <x:f>IF(OR(G128=0,G128=1),"",(H128-I128)*100)</x:f>
        <x:v>4.86</x:v>
      </x:c>
      <x:c r="K128" s="14" t="n">
        <x:v>0.7</x:v>
      </x:c>
      <x:c r="L128" s="15" t="n">
        <x:f>F128*G128</x:f>
        <x:v>10726.5257</x:v>
      </x:c>
      <x:c r="M128" s="15" t="n">
        <x:f>F128-L128</x:f>
        <x:v>4332.4743</x:v>
      </x:c>
      <x:c r="N128" s="17" t="str"/>
      <x:c r="O128" s="17" t="str">
        <x:v>https://sts2log.com/cards</x:v>
      </x:c>
      <x:c r="P128" s="17" t="str">
        <x:v>https://slaythespire2.net/ancient/neow</x:v>
      </x:c>
    </x:row>
    <x:row r="129" ht="25" customHeight="1">
      <x:c r="A129" s="2" t="str">
        <x:v>v0.107</x:v>
      </x:c>
      <x:c r="B129" s="2" t="str">
        <x:v>静默猎手</x:v>
      </x:c>
      <x:c r="C129" s="2" t="str">
        <x:v>涅奥</x:v>
      </x:c>
      <x:c r="D129" s="2" t="str">
        <x:v>熔岩石</x:v>
      </x:c>
      <x:c r="E129" s="16" t="n">
        <x:f>IF(G129=0,I129,IF(G129=1,H129,G129*H129+(1-G129)*I129))</x:f>
        <x:v>0.23349688000000002</x:v>
      </x:c>
      <x:c r="F129" s="12" t="n">
        <x:v>6445</x:v>
      </x:c>
      <x:c r="G129" s="11" t="n">
        <x:v>0.1012</x:v>
      </x:c>
      <x:c r="H129" s="11" t="n">
        <x:v>0.2761</x:v>
      </x:c>
      <x:c r="I129" s="11" t="n">
        <x:v>0.22870000000000001</x:v>
      </x:c>
      <x:c r="J129" s="13" t="n">
        <x:f>IF(OR(G129=0,G129=1),"",(H129-I129)*100)</x:f>
        <x:v>4.74</x:v>
      </x:c>
      <x:c r="K129" s="14" t="n">
        <x:v>3.39</x:v>
      </x:c>
      <x:c r="L129" s="15" t="n">
        <x:f>F129*G129</x:f>
        <x:v>652.234</x:v>
      </x:c>
      <x:c r="M129" s="15" t="n">
        <x:f>F129-L129</x:f>
        <x:v>5792.766</x:v>
      </x:c>
      <x:c r="N129" s="17" t="str"/>
      <x:c r="O129" s="17" t="str">
        <x:v>https://sts2log.com/cards</x:v>
      </x:c>
      <x:c r="P129" s="17" t="str">
        <x:v>https://slaythespire2.net/ancient/neow</x:v>
      </x:c>
    </x:row>
    <x:row r="130" ht="25" customHeight="1">
      <x:c r="A130" s="2" t="str">
        <x:v>v0.107</x:v>
      </x:c>
      <x:c r="B130" s="2" t="str">
        <x:v>静默猎手</x:v>
      </x:c>
      <x:c r="C130" s="2" t="str">
        <x:v>涅奥</x:v>
      </x:c>
      <x:c r="D130" s="2" t="str">
        <x:v>涅奥的护符</x:v>
      </x:c>
      <x:c r="E130" s="16" t="n">
        <x:f>IF(G130=0,I130,IF(G130=1,H130,G130*H130+(1-G130)*I130))</x:f>
        <x:v>0.23067413999999997</x:v>
      </x:c>
      <x:c r="F130" s="12" t="n">
        <x:v>7182</x:v>
      </x:c>
      <x:c r="G130" s="11" t="n">
        <x:v>0.0842</x:v>
      </x:c>
      <x:c r="H130" s="11" t="n">
        <x:v>0.2826</x:v>
      </x:c>
      <x:c r="I130" s="11" t="n">
        <x:v>0.2259</x:v>
      </x:c>
      <x:c r="J130" s="13" t="n">
        <x:f>IF(OR(G130=0,G130=1),"",(H130-I130)*100)</x:f>
        <x:v>5.670000000000003</x:v>
      </x:c>
      <x:c r="K130" s="14" t="n">
        <x:v>4.04</x:v>
      </x:c>
      <x:c r="L130" s="15" t="n">
        <x:f>F130*G130</x:f>
        <x:v>604.7244</x:v>
      </x:c>
      <x:c r="M130" s="15" t="n">
        <x:f>F130-L130</x:f>
        <x:v>6577.2756</x:v>
      </x:c>
      <x:c r="N130" s="17" t="str"/>
      <x:c r="O130" s="17" t="str">
        <x:v>https://sts2log.com/cards</x:v>
      </x:c>
      <x:c r="P130" s="17" t="str">
        <x:v>https://slaythespire2.net/ancient/neow</x:v>
      </x:c>
    </x:row>
    <x:row r="131" ht="25" customHeight="1">
      <x:c r="A131" s="2" t="str">
        <x:v>v0.107</x:v>
      </x:c>
      <x:c r="B131" s="2" t="str">
        <x:v>静默猎手</x:v>
      </x:c>
      <x:c r="C131" s="2" t="str">
        <x:v>涅奥</x:v>
      </x:c>
      <x:c r="D131" s="2" t="str">
        <x:v>沉重石板</x:v>
      </x:c>
      <x:c r="E131" s="16" t="n">
        <x:f>IF(G131=0,I131,IF(G131=1,H131,G131*H131+(1-G131)*I131))</x:f>
        <x:v>0.21933280000000002</x:v>
      </x:c>
      <x:c r="F131" s="12" t="n">
        <x:v>13559</x:v>
      </x:c>
      <x:c r="G131" s="11" t="n">
        <x:v>0.5416</x:v>
      </x:c>
      <x:c r="H131" s="11" t="n">
        <x:v>0.16570000000000001</x:v>
      </x:c>
      <x:c r="I131" s="11" t="n">
        <x:v>0.2827</x:v>
      </x:c>
      <x:c r="J131" s="13" t="n">
        <x:f>IF(OR(G131=0,G131=1),"",(H131-I131)*100)</x:f>
        <x:v>-11.7</x:v>
      </x:c>
      <x:c r="K131" s="14" t="n">
        <x:v>-7.65</x:v>
      </x:c>
      <x:c r="L131" s="15" t="n">
        <x:f>F131*G131</x:f>
        <x:v>7343.5544</x:v>
      </x:c>
      <x:c r="M131" s="15" t="n">
        <x:f>F131-L131</x:f>
        <x:v>6215.4456</x:v>
      </x:c>
      <x:c r="N131" s="17" t="str"/>
      <x:c r="O131" s="17" t="str">
        <x:v>https://sts2log.com/cards</x:v>
      </x:c>
      <x:c r="P131" s="17" t="str">
        <x:v>https://slaythespire2.net/ancient/neow</x:v>
      </x:c>
    </x:row>
    <x:row r="132" ht="25" customHeight="1">
      <x:c r="A132" s="2" t="str">
        <x:v>v0.107</x:v>
      </x:c>
      <x:c r="B132" s="2" t="str">
        <x:v>静默猎手</x:v>
      </x:c>
      <x:c r="C132" s="2" t="str">
        <x:v>欧洛巴斯</x:v>
      </x:c>
      <x:c r="D132" s="2" t="str">
        <x:v>棱彩宝石</x:v>
      </x:c>
      <x:c r="E132" s="16" t="n">
        <x:f>IF(G132=0,I132,IF(G132=1,H132,G132*H132+(1-G132)*I132))</x:f>
        <x:v>0.37288699999999997</x:v>
      </x:c>
      <x:c r="F132" s="12" t="n">
        <x:v>1861</x:v>
      </x:c>
      <x:c r="G132" s="11" t="n">
        <x:v>0.4175</x:v>
      </x:c>
      <x:c r="H132" s="11" t="n">
        <x:v>0.4337</x:v>
      </x:c>
      <x:c r="I132" s="11" t="n">
        <x:v>0.3293</x:v>
      </x:c>
      <x:c r="J132" s="13" t="n">
        <x:f>IF(OR(G132=0,G132=1),"",(H132-I132)*100)</x:f>
        <x:v>10.44</x:v>
      </x:c>
      <x:c r="K132" s="14" t="n">
        <x:v>19.15</x:v>
      </x:c>
      <x:c r="L132" s="15" t="n">
        <x:f>F132*G132</x:f>
        <x:v>776.9675</x:v>
      </x:c>
      <x:c r="M132" s="15" t="n">
        <x:f>F132-L132</x:f>
        <x:v>1084.0325</x:v>
      </x:c>
      <x:c r="N132" s="17" t="str"/>
      <x:c r="O132" s="17" t="str">
        <x:v>https://sts2log.com/cards</x:v>
      </x:c>
      <x:c r="P132" s="17" t="str">
        <x:v>https://slaythespire2.net/ancient/orobas</x:v>
      </x:c>
    </x:row>
    <x:row r="133" ht="25" customHeight="1">
      <x:c r="A133" s="2" t="str">
        <x:v>v0.107</x:v>
      </x:c>
      <x:c r="B133" s="2" t="str">
        <x:v>静默猎手</x:v>
      </x:c>
      <x:c r="C133" s="2" t="str">
        <x:v>欧洛巴斯</x:v>
      </x:c>
      <x:c r="D133" s="2" t="str">
        <x:v>沙堡</x:v>
      </x:c>
      <x:c r="E133" s="16" t="n">
        <x:f>IF(G133=0,I133,IF(G133=1,H133,G133*H133+(1-G133)*I133))</x:f>
        <x:v>0.35133101000000005</x:v>
      </x:c>
      <x:c r="F133" s="12" t="n">
        <x:v>5656</x:v>
      </x:c>
      <x:c r="G133" s="11" t="n">
        <x:v>0.3069</x:v>
      </x:c>
      <x:c r="H133" s="11" t="n">
        <x:v>0.2771</x:v>
      </x:c>
      <x:c r="I133" s="11" t="n">
        <x:v>0.38420000000000004</x:v>
      </x:c>
      <x:c r="J133" s="13" t="n">
        <x:f>IF(OR(G133=0,G133=1),"",(H133-I133)*100)</x:f>
        <x:v>-10.710000000000003</x:v>
      </x:c>
      <x:c r="K133" s="14" t="n">
        <x:v>3.49</x:v>
      </x:c>
      <x:c r="L133" s="15" t="n">
        <x:f>F133*G133</x:f>
        <x:v>1735.8264</x:v>
      </x:c>
      <x:c r="M133" s="15" t="n">
        <x:f>F133-L133</x:f>
        <x:v>3920.1736</x:v>
      </x:c>
      <x:c r="N133" s="17" t="str"/>
      <x:c r="O133" s="17" t="str">
        <x:v>https://sts2log.com/cards</x:v>
      </x:c>
      <x:c r="P133" s="17" t="str">
        <x:v>https://slaythespire2.net/ancient/orobas</x:v>
      </x:c>
    </x:row>
    <x:row r="134" ht="25" customHeight="1">
      <x:c r="A134" s="2" t="str">
        <x:v>v0.107</x:v>
      </x:c>
      <x:c r="B134" s="2" t="str">
        <x:v>静默猎手</x:v>
      </x:c>
      <x:c r="C134" s="2" t="str">
        <x:v>欧洛巴斯</x:v>
      </x:c>
      <x:c r="D134" s="2" t="str">
        <x:v>发光珍珠</x:v>
      </x:c>
      <x:c r="E134" s="16" t="n">
        <x:f>IF(G134=0,I134,IF(G134=1,H134,G134*H134+(1-G134)*I134))</x:f>
        <x:v>0.35072345000000005</x:v>
      </x:c>
      <x:c r="F134" s="12" t="n">
        <x:v>6193</x:v>
      </x:c>
      <x:c r="G134" s="11" t="n">
        <x:v>0.29969999999999997</x:v>
      </x:c>
      <x:c r="H134" s="11" t="n">
        <x:v>0.4127</x:v>
      </x:c>
      <x:c r="I134" s="11" t="n">
        <x:v>0.32420000000000004</x:v>
      </x:c>
      <x:c r="J134" s="13" t="n">
        <x:f>IF(OR(G134=0,G134=1),"",(H134-I134)*100)</x:f>
        <x:v>8.849999999999996</x:v>
      </x:c>
      <x:c r="K134" s="14" t="n">
        <x:v>17.05</x:v>
      </x:c>
      <x:c r="L134" s="15" t="n">
        <x:f>F134*G134</x:f>
        <x:v>1856.0421</x:v>
      </x:c>
      <x:c r="M134" s="15" t="n">
        <x:f>F134-L134</x:f>
        <x:v>4336.9579</x:v>
      </x:c>
      <x:c r="N134" s="17" t="str"/>
      <x:c r="O134" s="17" t="str">
        <x:v>https://sts2log.com/cards</x:v>
      </x:c>
      <x:c r="P134" s="17" t="str">
        <x:v>https://slaythespire2.net/ancient/orobas</x:v>
      </x:c>
    </x:row>
    <x:row r="135" ht="25" customHeight="1">
      <x:c r="A135" s="2" t="str">
        <x:v>v0.107</x:v>
      </x:c>
      <x:c r="B135" s="2" t="str">
        <x:v>静默猎手</x:v>
      </x:c>
      <x:c r="C135" s="2" t="str">
        <x:v>欧洛巴斯</x:v>
      </x:c>
      <x:c r="D135" s="2" t="str">
        <x:v>炼金箱</x:v>
      </x:c>
      <x:c r="E135" s="16" t="n">
        <x:f>IF(G135=0,I135,IF(G135=1,H135,G135*H135+(1-G135)*I135))</x:f>
        <x:v>0.34797432</x:v>
      </x:c>
      <x:c r="F135" s="12" t="n">
        <x:v>6296</x:v>
      </x:c>
      <x:c r="G135" s="11" t="n">
        <x:v>0.2441</x:v>
      </x:c>
      <x:c r="H135" s="11" t="n">
        <x:v>0.3897</x:v>
      </x:c>
      <x:c r="I135" s="11" t="n">
        <x:v>0.3345</x:v>
      </x:c>
      <x:c r="J135" s="13" t="n">
        <x:f>IF(OR(G135=0,G135=1),"",(H135-I135)*100)</x:f>
        <x:v>5.519999999999997</x:v>
      </x:c>
      <x:c r="K135" s="14" t="n">
        <x:v>14.75</x:v>
      </x:c>
      <x:c r="L135" s="15" t="n">
        <x:f>F135*G135</x:f>
        <x:v>1536.8536000000001</x:v>
      </x:c>
      <x:c r="M135" s="15" t="n">
        <x:f>F135-L135</x:f>
        <x:v>4759.1464</x:v>
      </x:c>
      <x:c r="N135" s="17" t="str"/>
      <x:c r="O135" s="17" t="str">
        <x:v>https://sts2log.com/cards</x:v>
      </x:c>
      <x:c r="P135" s="17" t="str">
        <x:v>https://slaythespire2.net/ancient/orobas</x:v>
      </x:c>
    </x:row>
    <x:row r="136" ht="25" customHeight="1">
      <x:c r="A136" s="2" t="str">
        <x:v>v0.107</x:v>
      </x:c>
      <x:c r="B136" s="2" t="str">
        <x:v>静默猎手</x:v>
      </x:c>
      <x:c r="C136" s="2" t="str">
        <x:v>欧洛巴斯</x:v>
      </x:c>
      <x:c r="D136" s="2" t="str">
        <x:v>古老牙齿</x:v>
      </x:c>
      <x:c r="E136" s="16" t="n">
        <x:f>IF(G136=0,I136,IF(G136=1,H136,G136*H136+(1-G136)*I136))</x:f>
        <x:v>0.34788905</x:v>
      </x:c>
      <x:c r="F136" s="12" t="n">
        <x:v>9341</x:v>
      </x:c>
      <x:c r="G136" s="11" t="n">
        <x:v>0.4929</x:v>
      </x:c>
      <x:c r="H136" s="11" t="n">
        <x:v>0.34509999999999996</x:v>
      </x:c>
      <x:c r="I136" s="11" t="n">
        <x:v>0.3506</x:v>
      </x:c>
      <x:c r="J136" s="13" t="n">
        <x:f>IF(OR(G136=0,G136=1),"",(H136-I136)*100)</x:f>
        <x:v>-0.550000000000006</x:v>
      </x:c>
      <x:c r="K136" s="14" t="n">
        <x:v>10.29</x:v>
      </x:c>
      <x:c r="L136" s="15" t="n">
        <x:f>F136*G136</x:f>
        <x:v>4604.1789</x:v>
      </x:c>
      <x:c r="M136" s="15" t="n">
        <x:f>F136-L136</x:f>
        <x:v>4736.8211</x:v>
      </x:c>
      <x:c r="N136" s="17" t="str"/>
      <x:c r="O136" s="17" t="str">
        <x:v>https://sts2log.com/cards</x:v>
      </x:c>
      <x:c r="P136" s="17" t="str">
        <x:v>https://slaythespire2.net/ancient/orobas</x:v>
      </x:c>
    </x:row>
    <x:row r="137" ht="25" customHeight="1">
      <x:c r="A137" s="2" t="str">
        <x:v>v0.107</x:v>
      </x:c>
      <x:c r="B137" s="2" t="str">
        <x:v>静默猎手</x:v>
      </x:c>
      <x:c r="C137" s="2" t="str">
        <x:v>欧洛巴斯</x:v>
      </x:c>
      <x:c r="D137" s="2" t="str">
        <x:v>放电异虾</x:v>
      </x:c>
      <x:c r="E137" s="16" t="n">
        <x:f>IF(G137=0,I137,IF(G137=1,H137,G137*H137+(1-G137)*I137))</x:f>
        <x:v>0.33665185</x:v>
      </x:c>
      <x:c r="F137" s="12" t="n">
        <x:v>5679</x:v>
      </x:c>
      <x:c r="G137" s="11" t="n">
        <x:v>0.24850000000000003</x:v>
      </x:c>
      <x:c r="H137" s="11" t="n">
        <x:v>0.3232</x:v>
      </x:c>
      <x:c r="I137" s="11" t="n">
        <x:v>0.3411</x:v>
      </x:c>
      <x:c r="J137" s="13" t="n">
        <x:f>IF(OR(G137=0,G137=1),"",(H137-I137)*100)</x:f>
        <x:v>-1.7900000000000027</x:v>
      </x:c>
      <x:c r="K137" s="14" t="n">
        <x:v>8.1</x:v>
      </x:c>
      <x:c r="L137" s="15" t="n">
        <x:f>F137*G137</x:f>
        <x:v>1411.2315</x:v>
      </x:c>
      <x:c r="M137" s="15" t="n">
        <x:f>F137-L137</x:f>
        <x:v>4267.7685</x:v>
      </x:c>
      <x:c r="N137" s="17" t="str"/>
      <x:c r="O137" s="17" t="str">
        <x:v>https://sts2log.com/cards</x:v>
      </x:c>
      <x:c r="P137" s="17" t="str">
        <x:v>https://slaythespire2.net/ancient/orobas</x:v>
      </x:c>
    </x:row>
    <x:row r="138" ht="25" customHeight="1">
      <x:c r="A138" s="2" t="str">
        <x:v>v0.107</x:v>
      </x:c>
      <x:c r="B138" s="2" t="str">
        <x:v>静默猎手</x:v>
      </x:c>
      <x:c r="C138" s="2" t="str">
        <x:v>欧洛巴斯</x:v>
      </x:c>
      <x:c r="D138" s="2" t="str">
        <x:v>欧洛巴斯之触</x:v>
      </x:c>
      <x:c r="E138" s="16" t="n">
        <x:f>IF(G138=0,I138,IF(G138=1,H138,G138*H138+(1-G138)*I138))</x:f>
        <x:v>0.33551267</x:v>
      </x:c>
      <x:c r="F138" s="12" t="n">
        <x:v>9323</x:v>
      </x:c>
      <x:c r="G138" s="11" t="n">
        <x:v>0.2621</x:v>
      </x:c>
      <x:c r="H138" s="11" t="n">
        <x:v>0.37439999999999996</x:v>
      </x:c>
      <x:c r="I138" s="11" t="n">
        <x:v>0.32170000000000004</x:v>
      </x:c>
      <x:c r="J138" s="13" t="n">
        <x:f>IF(OR(G138=0,G138=1),"",(H138-I138)*100)</x:f>
        <x:v>5.269999999999992</x:v>
      </x:c>
      <x:c r="K138" s="14" t="n">
        <x:v>13.22</x:v>
      </x:c>
      <x:c r="L138" s="15" t="n">
        <x:f>F138*G138</x:f>
        <x:v>2443.5583</x:v>
      </x:c>
      <x:c r="M138" s="15" t="n">
        <x:f>F138-L138</x:f>
        <x:v>6879.441699999999</x:v>
      </x:c>
      <x:c r="N138" s="17" t="str"/>
      <x:c r="O138" s="17" t="str">
        <x:v>https://sts2log.com/cards</x:v>
      </x:c>
      <x:c r="P138" s="17" t="str">
        <x:v>https://slaythespire2.net/ancient/orobas</x:v>
      </x:c>
    </x:row>
    <x:row r="139" ht="25" customHeight="1">
      <x:c r="A139" s="2" t="str">
        <x:v>v0.107</x:v>
      </x:c>
      <x:c r="B139" s="2" t="str">
        <x:v>静默猎手</x:v>
      </x:c>
      <x:c r="C139" s="2" t="str">
        <x:v>欧洛巴斯</x:v>
      </x:c>
      <x:c r="D139" s="2" t="str">
        <x:v>浮木</x:v>
      </x:c>
      <x:c r="E139" s="16" t="n">
        <x:f>IF(G139=0,I139,IF(G139=1,H139,G139*H139+(1-G139)*I139))</x:f>
        <x:v>0.32654957</x:v>
      </x:c>
      <x:c r="F139" s="12" t="n">
        <x:v>6180</x:v>
      </x:c>
      <x:c r="G139" s="11" t="n">
        <x:v>0.2663</x:v>
      </x:c>
      <x:c r="H139" s="11" t="n">
        <x:v>0.3074</x:v>
      </x:c>
      <x:c r="I139" s="11" t="n">
        <x:v>0.3335</x:v>
      </x:c>
      <x:c r="J139" s="13" t="n">
        <x:f>IF(OR(G139=0,G139=1),"",(H139-I139)*100)</x:f>
        <x:v>-2.610000000000001</x:v>
      </x:c>
      <x:c r="K139" s="14" t="n">
        <x:v>6.52</x:v>
      </x:c>
      <x:c r="L139" s="15" t="n">
        <x:f>F139*G139</x:f>
        <x:v>1645.734</x:v>
      </x:c>
      <x:c r="M139" s="15" t="n">
        <x:f>F139-L139</x:f>
        <x:v>4534.266</x:v>
      </x:c>
      <x:c r="N139" s="17" t="str"/>
      <x:c r="O139" s="17" t="str">
        <x:v>https://sts2log.com/cards</x:v>
      </x:c>
      <x:c r="P139" s="17" t="str">
        <x:v>https://slaythespire2.net/ancient/orobas</x:v>
      </x:c>
    </x:row>
    <x:row r="140" ht="25" customHeight="1">
      <x:c r="A140" s="2" t="str">
        <x:v>v0.107</x:v>
      </x:c>
      <x:c r="B140" s="2" t="str">
        <x:v>静默猎手</x:v>
      </x:c>
      <x:c r="C140" s="2" t="str">
        <x:v>欧洛巴斯</x:v>
      </x:c>
      <x:c r="D140" s="2" t="str">
        <x:v>玻璃眼珠</x:v>
      </x:c>
      <x:c r="E140" s="16" t="n">
        <x:f>IF(G140=0,I140,IF(G140=1,H140,G140*H140+(1-G140)*I140))</x:f>
        <x:v>0.32616876</x:v>
      </x:c>
      <x:c r="F140" s="12" t="n">
        <x:v>5466</x:v>
      </x:c>
      <x:c r="G140" s="11" t="n">
        <x:v>0.4854</x:v>
      </x:c>
      <x:c r="H140" s="11" t="n">
        <x:v>0.27440000000000003</x:v>
      </x:c>
      <x:c r="I140" s="11" t="n">
        <x:v>0.375</x:v>
      </x:c>
      <x:c r="J140" s="13" t="n">
        <x:f>IF(OR(G140=0,G140=1),"",(H140-I140)*100)</x:f>
        <x:v>-10.059999999999997</x:v>
      </x:c>
      <x:c r="K140" s="14" t="n">
        <x:v>3.22</x:v>
      </x:c>
      <x:c r="L140" s="15" t="n">
        <x:f>F140*G140</x:f>
        <x:v>2653.1964</x:v>
      </x:c>
      <x:c r="M140" s="15" t="n">
        <x:f>F140-L140</x:f>
        <x:v>2812.8036</x:v>
      </x:c>
      <x:c r="N140" s="17" t="str"/>
      <x:c r="O140" s="17" t="str">
        <x:v>https://sts2log.com/cards</x:v>
      </x:c>
      <x:c r="P140" s="17" t="str">
        <x:v>https://slaythespire2.net/ancient/orobas</x:v>
      </x:c>
    </x:row>
    <x:row r="141" ht="25" customHeight="1">
      <x:c r="A141" s="2" t="str">
        <x:v>v0.107</x:v>
      </x:c>
      <x:c r="B141" s="2" t="str">
        <x:v>静默猎手</x:v>
      </x:c>
      <x:c r="C141" s="2" t="str">
        <x:v>佩尔</x:v>
      </x:c>
      <x:c r="D141" s="2" t="str">
        <x:v>佩尔之血</x:v>
      </x:c>
      <x:c r="E141" s="16" t="n">
        <x:f>IF(G141=0,I141,IF(G141=1,H141,G141*H141+(1-G141)*I141))</x:f>
        <x:v>0.37908195999999994</x:v>
      </x:c>
      <x:c r="F141" s="12" t="n">
        <x:v>7602</x:v>
      </x:c>
      <x:c r="G141" s="11" t="n">
        <x:v>0.4849</x:v>
      </x:c>
      <x:c r="H141" s="11" t="n">
        <x:v>0.4411</x:v>
      </x:c>
      <x:c r="I141" s="11" t="n">
        <x:v>0.3207</x:v>
      </x:c>
      <x:c r="J141" s="13" t="n">
        <x:f>IF(OR(G141=0,G141=1),"",(H141-I141)*100)</x:f>
        <x:v>12.040000000000001</x:v>
      </x:c>
      <x:c r="K141" s="14" t="n">
        <x:v>19.89</x:v>
      </x:c>
      <x:c r="L141" s="15" t="n">
        <x:f>F141*G141</x:f>
        <x:v>3686.2098</x:v>
      </x:c>
      <x:c r="M141" s="15" t="n">
        <x:f>F141-L141</x:f>
        <x:v>3915.7902</x:v>
      </x:c>
      <x:c r="N141" s="17" t="str"/>
      <x:c r="O141" s="17" t="str">
        <x:v>https://sts2log.com/cards</x:v>
      </x:c>
      <x:c r="P141" s="17" t="str">
        <x:v>https://slaythespire2.net/ancient/pael</x:v>
      </x:c>
    </x:row>
    <x:row r="142" ht="25" customHeight="1">
      <x:c r="A142" s="2" t="str">
        <x:v>v0.107</x:v>
      </x:c>
      <x:c r="B142" s="2" t="str">
        <x:v>静默猎手</x:v>
      </x:c>
      <x:c r="C142" s="2" t="str">
        <x:v>佩尔</x:v>
      </x:c>
      <x:c r="D142" s="2" t="str">
        <x:v>佩尔的士兵</x:v>
      </x:c>
      <x:c r="E142" s="16" t="n">
        <x:f>IF(G142=0,I142,IF(G142=1,H142,G142*H142+(1-G142)*I142))</x:f>
        <x:v>0.36748266</x:v>
      </x:c>
      <x:c r="F142" s="12" t="n">
        <x:v>7603</x:v>
      </x:c>
      <x:c r="G142" s="11" t="n">
        <x:v>0.47740000000000005</x:v>
      </x:c>
      <x:c r="H142" s="11" t="n">
        <x:v>0.41759999999999997</x:v>
      </x:c>
      <x:c r="I142" s="11" t="n">
        <x:v>0.32170000000000004</x:v>
      </x:c>
      <x:c r="J142" s="13" t="n">
        <x:f>IF(OR(G142=0,G142=1),"",(H142-I142)*100)</x:f>
        <x:v>9.589999999999993</x:v>
      </x:c>
      <x:c r="K142" s="14" t="n">
        <x:v>17.54</x:v>
      </x:c>
      <x:c r="L142" s="15" t="n">
        <x:f>F142*G142</x:f>
        <x:v>3629.6722000000004</x:v>
      </x:c>
      <x:c r="M142" s="15" t="n">
        <x:f>F142-L142</x:f>
        <x:v>3973.3277999999996</x:v>
      </x:c>
      <x:c r="N142" s="17" t="str"/>
      <x:c r="O142" s="17" t="str">
        <x:v>https://sts2log.com/cards</x:v>
      </x:c>
      <x:c r="P142" s="17" t="str">
        <x:v>https://slaythespire2.net/ancient/pael</x:v>
      </x:c>
    </x:row>
    <x:row r="143" ht="25" customHeight="1">
      <x:c r="A143" s="2" t="str">
        <x:v>v0.107</x:v>
      </x:c>
      <x:c r="B143" s="2" t="str">
        <x:v>静默猎手</x:v>
      </x:c>
      <x:c r="C143" s="2" t="str">
        <x:v>佩尔</x:v>
      </x:c>
      <x:c r="D143" s="2" t="str">
        <x:v>佩尔之爪</x:v>
      </x:c>
      <x:c r="E143" s="16" t="n">
        <x:f>IF(G143=0,I143,IF(G143=1,H143,G143*H143+(1-G143)*I143))</x:f>
        <x:v>0.366819</x:v>
      </x:c>
      <x:c r="F143" s="12" t="n">
        <x:v>6573</x:v>
      </x:c>
      <x:c r="G143" s="11" t="n">
        <x:v>0.2527</x:v>
      </x:c>
      <x:c r="H143" s="11" t="n">
        <x:v>0.3444</x:v>
      </x:c>
      <x:c r="I143" s="11" t="n">
        <x:v>0.37439999999999996</x:v>
      </x:c>
      <x:c r="J143" s="13" t="n">
        <x:f>IF(OR(G143=0,G143=1),"",(H143-I143)*100)</x:f>
        <x:v>-2.9999999999999973</x:v>
      </x:c>
      <x:c r="K143" s="14" t="n">
        <x:v>10.22</x:v>
      </x:c>
      <x:c r="L143" s="15" t="n">
        <x:f>F143*G143</x:f>
        <x:v>1660.9970999999998</x:v>
      </x:c>
      <x:c r="M143" s="15" t="n">
        <x:f>F143-L143</x:f>
        <x:v>4912.0029</x:v>
      </x:c>
      <x:c r="N143" s="17" t="str"/>
      <x:c r="O143" s="17" t="str">
        <x:v>https://sts2log.com/cards</x:v>
      </x:c>
      <x:c r="P143" s="17" t="str">
        <x:v>https://slaythespire2.net/ancient/pael</x:v>
      </x:c>
    </x:row>
    <x:row r="144" ht="25" customHeight="1">
      <x:c r="A144" s="2" t="str">
        <x:v>v0.107</x:v>
      </x:c>
      <x:c r="B144" s="2" t="str">
        <x:v>静默猎手</x:v>
      </x:c>
      <x:c r="C144" s="2" t="str">
        <x:v>佩尔</x:v>
      </x:c>
      <x:c r="D144" s="2" t="str">
        <x:v>佩尔之肉</x:v>
      </x:c>
      <x:c r="E144" s="16" t="n">
        <x:f>IF(G144=0,I144,IF(G144=1,H144,G144*H144+(1-G144)*I144))</x:f>
        <x:v>0.36273816</x:v>
      </x:c>
      <x:c r="F144" s="12" t="n">
        <x:v>7460</x:v>
      </x:c>
      <x:c r="G144" s="11" t="n">
        <x:v>0.4783</x:v>
      </x:c>
      <x:c r="H144" s="11" t="n">
        <x:v>0.34979999999999994</x:v>
      </x:c>
      <x:c r="I144" s="11" t="n">
        <x:v>0.3746</x:v>
      </x:c>
      <x:c r="J144" s="13" t="n">
        <x:f>IF(OR(G144=0,G144=1),"",(H144-I144)*100)</x:f>
        <x:v>-2.4800000000000044</x:v>
      </x:c>
      <x:c r="K144" s="14" t="n">
        <x:v>10.76</x:v>
      </x:c>
      <x:c r="L144" s="15" t="n">
        <x:f>F144*G144</x:f>
        <x:v>3568.118</x:v>
      </x:c>
      <x:c r="M144" s="15" t="n">
        <x:f>F144-L144</x:f>
        <x:v>3891.882</x:v>
      </x:c>
      <x:c r="N144" s="17" t="str"/>
      <x:c r="O144" s="17" t="str">
        <x:v>https://sts2log.com/cards</x:v>
      </x:c>
      <x:c r="P144" s="17" t="str">
        <x:v>https://slaythespire2.net/ancient/pael</x:v>
      </x:c>
    </x:row>
    <x:row r="145" ht="25" customHeight="1">
      <x:c r="A145" s="2" t="str">
        <x:v>v0.107</x:v>
      </x:c>
      <x:c r="B145" s="2" t="str">
        <x:v>静默猎手</x:v>
      </x:c>
      <x:c r="C145" s="2" t="str">
        <x:v>佩尔</x:v>
      </x:c>
      <x:c r="D145" s="2" t="str">
        <x:v>佩尔的增生组织</x:v>
      </x:c>
      <x:c r="E145" s="16" t="n">
        <x:f>IF(G145=0,I145,IF(G145=1,H145,G145*H145+(1-G145)*I145))</x:f>
        <x:v>0.36263904</x:v>
      </x:c>
      <x:c r="F145" s="12" t="n">
        <x:v>3295</x:v>
      </x:c>
      <x:c r="G145" s="11" t="n">
        <x:v>0.24280000000000002</x:v>
      </x:c>
      <x:c r="H145" s="11" t="n">
        <x:v>0.3375</x:v>
      </x:c>
      <x:c r="I145" s="11" t="n">
        <x:v>0.37070000000000003</x:v>
      </x:c>
      <x:c r="J145" s="13" t="n">
        <x:f>IF(OR(G145=0,G145=1),"",(H145-I145)*100)</x:f>
        <x:v>-3.3200000000000007</x:v>
      </x:c>
      <x:c r="K145" s="14" t="n">
        <x:v>9.53</x:v>
      </x:c>
      <x:c r="L145" s="15" t="n">
        <x:f>F145*G145</x:f>
        <x:v>800.0260000000001</x:v>
      </x:c>
      <x:c r="M145" s="15" t="n">
        <x:f>F145-L145</x:f>
        <x:v>2494.974</x:v>
      </x:c>
      <x:c r="N145" s="17" t="str"/>
      <x:c r="O145" s="17" t="str">
        <x:v>https://sts2log.com/cards</x:v>
      </x:c>
      <x:c r="P145" s="17" t="str">
        <x:v>https://slaythespire2.net/ancient/pael</x:v>
      </x:c>
    </x:row>
    <x:row r="146" ht="25" customHeight="1">
      <x:c r="A146" s="2" t="str">
        <x:v>v0.107</x:v>
      </x:c>
      <x:c r="B146" s="2" t="str">
        <x:v>静默猎手</x:v>
      </x:c>
      <x:c r="C146" s="2" t="str">
        <x:v>佩尔</x:v>
      </x:c>
      <x:c r="D146" s="2" t="str">
        <x:v>佩尔之牙</x:v>
      </x:c>
      <x:c r="E146" s="16" t="n">
        <x:f>IF(G146=0,I146,IF(G146=1,H146,G146*H146+(1-G146)*I146))</x:f>
        <x:v>0.35521311999999994</x:v>
      </x:c>
      <x:c r="F146" s="12" t="n">
        <x:v>6404</x:v>
      </x:c>
      <x:c r="G146" s="11" t="n">
        <x:v>0.17379999999999998</x:v>
      </x:c>
      <x:c r="H146" s="11" t="n">
        <x:v>0.29109999999999997</x:v>
      </x:c>
      <x:c r="I146" s="11" t="n">
        <x:v>0.36869999999999997</x:v>
      </x:c>
      <x:c r="J146" s="13" t="n">
        <x:f>IF(OR(G146=0,G146=1),"",(H146-I146)*100)</x:f>
        <x:v>-7.76</x:v>
      </x:c>
      <x:c r="K146" s="14" t="n">
        <x:v>4.89</x:v>
      </x:c>
      <x:c r="L146" s="15" t="n">
        <x:f>F146*G146</x:f>
        <x:v>1113.0151999999998</x:v>
      </x:c>
      <x:c r="M146" s="15" t="n">
        <x:f>F146-L146</x:f>
        <x:v>5290.9848</x:v>
      </x:c>
      <x:c r="N146" s="17" t="str"/>
      <x:c r="O146" s="17" t="str">
        <x:v>https://sts2log.com/cards</x:v>
      </x:c>
      <x:c r="P146" s="17" t="str">
        <x:v>https://slaythespire2.net/ancient/pael</x:v>
      </x:c>
    </x:row>
    <x:row r="147" ht="25" customHeight="1">
      <x:c r="A147" s="2" t="str">
        <x:v>v0.107</x:v>
      </x:c>
      <x:c r="B147" s="2" t="str">
        <x:v>静默猎手</x:v>
      </x:c>
      <x:c r="C147" s="2" t="str">
        <x:v>佩尔</x:v>
      </x:c>
      <x:c r="D147" s="2" t="str">
        <x:v>佩尔之角</x:v>
      </x:c>
      <x:c r="E147" s="16" t="n">
        <x:f>IF(G147=0,I147,IF(G147=1,H147,G147*H147+(1-G147)*I147))</x:f>
        <x:v>0.35132515</x:v>
      </x:c>
      <x:c r="F147" s="12" t="n">
        <x:v>7477</x:v>
      </x:c>
      <x:c r="G147" s="11" t="n">
        <x:v>0.0837</x:v>
      </x:c>
      <x:c r="H147" s="11" t="n">
        <x:v>0.26839999999999997</x:v>
      </x:c>
      <x:c r="I147" s="11" t="n">
        <x:v>0.3589</x:v>
      </x:c>
      <x:c r="J147" s="13" t="n">
        <x:f>IF(OR(G147=0,G147=1),"",(H147-I147)*100)</x:f>
        <x:v>-9.050000000000002</x:v>
      </x:c>
      <x:c r="K147" s="14" t="n">
        <x:v>2.62</x:v>
      </x:c>
      <x:c r="L147" s="15" t="n">
        <x:f>F147*G147</x:f>
        <x:v>625.8249</x:v>
      </x:c>
      <x:c r="M147" s="15" t="n">
        <x:f>F147-L147</x:f>
        <x:v>6851.1751</x:v>
      </x:c>
      <x:c r="N147" s="17" t="str"/>
      <x:c r="O147" s="17" t="str">
        <x:v>https://sts2log.com/cards</x:v>
      </x:c>
      <x:c r="P147" s="17" t="str">
        <x:v>https://slaythespire2.net/ancient/pael</x:v>
      </x:c>
    </x:row>
    <x:row r="148" ht="25" customHeight="1">
      <x:c r="A148" s="2" t="str">
        <x:v>v0.107</x:v>
      </x:c>
      <x:c r="B148" s="2" t="str">
        <x:v>静默猎手</x:v>
      </x:c>
      <x:c r="C148" s="2" t="str">
        <x:v>佩尔</x:v>
      </x:c>
      <x:c r="D148" s="2" t="str">
        <x:v>佩尔之泪</x:v>
      </x:c>
      <x:c r="E148" s="16" t="n">
        <x:f>IF(G148=0,I148,IF(G148=1,H148,G148*H148+(1-G148)*I148))</x:f>
        <x:v>0.34546292</x:v>
      </x:c>
      <x:c r="F148" s="12" t="n">
        <x:v>7685</x:v>
      </x:c>
      <x:c r="G148" s="11" t="n">
        <x:v>0.4083</x:v>
      </x:c>
      <x:c r="H148" s="11" t="n">
        <x:v>0.3528</x:v>
      </x:c>
      <x:c r="I148" s="11" t="n">
        <x:v>0.3404</x:v>
      </x:c>
      <x:c r="J148" s="13" t="n">
        <x:f>IF(OR(G148=0,G148=1),"",(H148-I148)*100)</x:f>
        <x:v>1.2400000000000022</x:v>
      </x:c>
      <x:c r="K148" s="14" t="n">
        <x:v>11.06</x:v>
      </x:c>
      <x:c r="L148" s="15" t="n">
        <x:f>F148*G148</x:f>
        <x:v>3137.7855</x:v>
      </x:c>
      <x:c r="M148" s="15" t="n">
        <x:f>F148-L148</x:f>
        <x:v>4547.2145</x:v>
      </x:c>
      <x:c r="N148" s="17" t="str"/>
      <x:c r="O148" s="17" t="str">
        <x:v>https://sts2log.com/cards</x:v>
      </x:c>
      <x:c r="P148" s="17" t="str">
        <x:v>https://slaythespire2.net/ancient/pael</x:v>
      </x:c>
    </x:row>
    <x:row r="149" ht="25" customHeight="1">
      <x:c r="A149" s="2" t="str">
        <x:v>v0.107</x:v>
      </x:c>
      <x:c r="B149" s="2" t="str">
        <x:v>静默猎手</x:v>
      </x:c>
      <x:c r="C149" s="2" t="str">
        <x:v>佩尔</x:v>
      </x:c>
      <x:c r="D149" s="2" t="str">
        <x:v>佩尔之翼</x:v>
      </x:c>
      <x:c r="E149" s="16" t="n">
        <x:f>IF(G149=0,I149,IF(G149=1,H149,G149*H149+(1-G149)*I149))</x:f>
        <x:v>0.33270192</x:v>
      </x:c>
      <x:c r="F149" s="12" t="n">
        <x:v>6402</x:v>
      </x:c>
      <x:c r="G149" s="11" t="n">
        <x:v>0.40880000000000005</x:v>
      </x:c>
      <x:c r="H149" s="11" t="n">
        <x:v>0.25489999999999996</x:v>
      </x:c>
      <x:c r="I149" s="11" t="n">
        <x:v>0.3865</x:v>
      </x:c>
      <x:c r="J149" s="13" t="n">
        <x:f>IF(OR(G149=0,G149=1),"",(H149-I149)*100)</x:f>
        <x:v>-13.160000000000005</x:v>
      </x:c>
      <x:c r="K149" s="14" t="n">
        <x:v>1.27</x:v>
      </x:c>
      <x:c r="L149" s="15" t="n">
        <x:f>F149*G149</x:f>
        <x:v>2617.1376000000005</x:v>
      </x:c>
      <x:c r="M149" s="15" t="n">
        <x:f>F149-L149</x:f>
        <x:v>3784.8623999999995</x:v>
      </x:c>
      <x:c r="N149" s="17" t="str"/>
      <x:c r="O149" s="17" t="str">
        <x:v>https://sts2log.com/cards</x:v>
      </x:c>
      <x:c r="P149" s="17" t="str">
        <x:v>https://slaythespire2.net/ancient/pael</x:v>
      </x:c>
    </x:row>
    <x:row r="150" ht="25" customHeight="1">
      <x:c r="A150" s="2" t="str">
        <x:v>v0.107</x:v>
      </x:c>
      <x:c r="B150" s="2" t="str">
        <x:v>静默猎手</x:v>
      </x:c>
      <x:c r="C150" s="2" t="str">
        <x:v>佩尔</x:v>
      </x:c>
      <x:c r="D150" s="2" t="str">
        <x:v>佩尔之眼</x:v>
      </x:c>
      <x:c r="E150" s="16" t="n">
        <x:f>IF(G150=0,I150,IF(G150=1,H150,G150*H150+(1-G150)*I150))</x:f>
        <x:v>0.31175244</x:v>
      </x:c>
      <x:c r="F150" s="12" t="n">
        <x:v>7420</x:v>
      </x:c>
      <x:c r="G150" s="11" t="n">
        <x:v>0.22870000000000001</x:v>
      </x:c>
      <x:c r="H150" s="11" t="n">
        <x:v>0.2664</x:v>
      </x:c>
      <x:c r="I150" s="11" t="n">
        <x:v>0.32520000000000004</x:v>
      </x:c>
      <x:c r="J150" s="13" t="n">
        <x:f>IF(OR(G150=0,G150=1),"",(H150-I150)*100)</x:f>
        <x:v>-5.880000000000002</x:v>
      </x:c>
      <x:c r="K150" s="14" t="n">
        <x:v>2.42</x:v>
      </x:c>
      <x:c r="L150" s="15" t="n">
        <x:f>F150*G150</x:f>
        <x:v>1696.9540000000002</x:v>
      </x:c>
      <x:c r="M150" s="15" t="n">
        <x:f>F150-L150</x:f>
        <x:v>5723.046</x:v>
      </x:c>
      <x:c r="N150" s="17" t="str"/>
      <x:c r="O150" s="17" t="str">
        <x:v>https://sts2log.com/cards</x:v>
      </x:c>
      <x:c r="P150" s="17" t="str">
        <x:v>https://slaythespire2.net/ancient/pael</x:v>
      </x:c>
    </x:row>
    <x:row r="151" ht="25" customHeight="1">
      <x:c r="A151" s="2" t="str">
        <x:v>v0.107</x:v>
      </x:c>
      <x:c r="B151" s="2" t="str">
        <x:v>静默猎手</x:v>
      </x:c>
      <x:c r="C151" s="2" t="str">
        <x:v>特兹卡塔拉</x:v>
      </x:c>
      <x:c r="D151" s="2" t="str">
        <x:v>故事书</x:v>
      </x:c>
      <x:c r="E151" s="16" t="n">
        <x:f>IF(G151=0,I151,IF(G151=1,H151,G151*H151+(1-G151)*I151))</x:f>
        <x:v>0.39083855</x:v>
      </x:c>
      <x:c r="F151" s="12" t="n">
        <x:v>7829</x:v>
      </x:c>
      <x:c r="G151" s="11" t="n">
        <x:v>0.6255</x:v>
      </x:c>
      <x:c r="H151" s="11" t="n">
        <x:v>0.44780000000000003</x:v>
      </x:c>
      <x:c r="I151" s="11" t="n">
        <x:v>0.2957</x:v>
      </x:c>
      <x:c r="J151" s="13" t="n">
        <x:f>IF(OR(G151=0,G151=1),"",(H151-I151)*100)</x:f>
        <x:v>15.21</x:v>
      </x:c>
      <x:c r="K151" s="14" t="n">
        <x:v>20.56</x:v>
      </x:c>
      <x:c r="L151" s="15" t="n">
        <x:f>F151*G151</x:f>
        <x:v>4897.0395</x:v>
      </x:c>
      <x:c r="M151" s="15" t="n">
        <x:f>F151-L151</x:f>
        <x:v>2931.9605</x:v>
      </x:c>
      <x:c r="N151" s="17" t="str"/>
      <x:c r="O151" s="17" t="str">
        <x:v>https://sts2log.com/cards</x:v>
      </x:c>
      <x:c r="P151" s="17" t="str">
        <x:v>https://slaythespire2.net/ancient/tezcatara</x:v>
      </x:c>
    </x:row>
    <x:row r="152" ht="25" customHeight="1">
      <x:c r="A152" s="2" t="str">
        <x:v>v0.107</x:v>
      </x:c>
      <x:c r="B152" s="2" t="str">
        <x:v>静默猎手</x:v>
      </x:c>
      <x:c r="C152" s="2" t="str">
        <x:v>特兹卡塔拉</x:v>
      </x:c>
      <x:c r="D152" s="2" t="str">
        <x:v>黄金罗盘</x:v>
      </x:c>
      <x:c r="E152" s="16" t="n">
        <x:f>IF(G152=0,I152,IF(G152=1,H152,G152*H152+(1-G152)*I152))</x:f>
        <x:v>0.38528444999999995</x:v>
      </x:c>
      <x:c r="F152" s="12" t="n">
        <x:v>6174</x:v>
      </x:c>
      <x:c r="G152" s="11" t="n">
        <x:v>0.27449999999999997</x:v>
      </x:c>
      <x:c r="H152" s="11" t="n">
        <x:v>0.37520000000000003</x:v>
      </x:c>
      <x:c r="I152" s="11" t="n">
        <x:v>0.38909999999999995</x:v>
      </x:c>
      <x:c r="J152" s="13" t="n">
        <x:f>IF(OR(G152=0,G152=1),"",(H152-I152)*100)</x:f>
        <x:v>-1.3899999999999912</x:v>
      </x:c>
      <x:c r="K152" s="14" t="n">
        <x:v>13.3</x:v>
      </x:c>
      <x:c r="L152" s="15" t="n">
        <x:f>F152*G152</x:f>
        <x:v>1694.7629999999997</x:v>
      </x:c>
      <x:c r="M152" s="15" t="n">
        <x:f>F152-L152</x:f>
        <x:v>4479.237</x:v>
      </x:c>
      <x:c r="N152" s="17" t="str"/>
      <x:c r="O152" s="17" t="str">
        <x:v>https://sts2log.com/cards</x:v>
      </x:c>
      <x:c r="P152" s="17" t="str">
        <x:v>https://slaythespire2.net/ancient/tezcatara</x:v>
      </x:c>
    </x:row>
    <x:row r="153" ht="25" customHeight="1">
      <x:c r="A153" s="2" t="str">
        <x:v>v0.107</x:v>
      </x:c>
      <x:c r="B153" s="2" t="str">
        <x:v>静默猎手</x:v>
      </x:c>
      <x:c r="C153" s="2" t="str">
        <x:v>特兹卡塔拉</x:v>
      </x:c>
      <x:c r="D153" s="2" t="str">
        <x:v>烫嘴可可</x:v>
      </x:c>
      <x:c r="E153" s="16" t="n">
        <x:f>IF(G153=0,I153,IF(G153=1,H153,G153*H153+(1-G153)*I153))</x:f>
        <x:v>0.3769016</x:v>
      </x:c>
      <x:c r="F153" s="12" t="n">
        <x:v>7575</x:v>
      </x:c>
      <x:c r="G153" s="11" t="n">
        <x:v>0.5871999999999999</x:v>
      </x:c>
      <x:c r="H153" s="11" t="n">
        <x:v>0.3575</x:v>
      </x:c>
      <x:c r="I153" s="11" t="n">
        <x:v>0.4045</x:v>
      </x:c>
      <x:c r="J153" s="13" t="n">
        <x:f>IF(OR(G153=0,G153=1),"",(H153-I153)*100)</x:f>
        <x:v>-4.700000000000005</x:v>
      </x:c>
      <x:c r="K153" s="14" t="n">
        <x:v>11.53</x:v>
      </x:c>
      <x:c r="L153" s="15" t="n">
        <x:f>F153*G153</x:f>
        <x:v>4448.04</x:v>
      </x:c>
      <x:c r="M153" s="15" t="n">
        <x:f>F153-L153</x:f>
        <x:v>3126.96</x:v>
      </x:c>
      <x:c r="N153" s="17" t="str"/>
      <x:c r="O153" s="17" t="str">
        <x:v>https://sts2log.com/cards</x:v>
      </x:c>
      <x:c r="P153" s="17" t="str">
        <x:v>https://slaythespire2.net/ancient/tezcatara</x:v>
      </x:c>
    </x:row>
    <x:row r="154" ht="25" customHeight="1">
      <x:c r="A154" s="2" t="str">
        <x:v>v0.107</x:v>
      </x:c>
      <x:c r="B154" s="2" t="str">
        <x:v>静默猎手</x:v>
      </x:c>
      <x:c r="C154" s="2" t="str">
        <x:v>特兹卡塔拉</x:v>
      </x:c>
      <x:c r="D154" s="2" t="str">
        <x:v>营养汤</x:v>
      </x:c>
      <x:c r="E154" s="16" t="n">
        <x:f>IF(G154=0,I154,IF(G154=1,H154,G154*H154+(1-G154)*I154))</x:f>
        <x:v>0.3718932</x:v>
      </x:c>
      <x:c r="F154" s="12" t="n">
        <x:v>7852</x:v>
      </x:c>
      <x:c r="G154" s="11" t="n">
        <x:v>0.3502</x:v>
      </x:c>
      <x:c r="H154" s="11" t="n">
        <x:v>0.34979999999999994</x:v>
      </x:c>
      <x:c r="I154" s="11" t="n">
        <x:v>0.38380000000000003</x:v>
      </x:c>
      <x:c r="J154" s="13" t="n">
        <x:f>IF(OR(G154=0,G154=1),"",(H154-I154)*100)</x:f>
        <x:v>-3.4000000000000083</x:v>
      </x:c>
      <x:c r="K154" s="14" t="n">
        <x:v>10.76</x:v>
      </x:c>
      <x:c r="L154" s="15" t="n">
        <x:f>F154*G154</x:f>
        <x:v>2749.7704</x:v>
      </x:c>
      <x:c r="M154" s="15" t="n">
        <x:f>F154-L154</x:f>
        <x:v>5102.229600000001</x:v>
      </x:c>
      <x:c r="N154" s="17" t="str"/>
      <x:c r="O154" s="17" t="str">
        <x:v>https://sts2log.com/cards</x:v>
      </x:c>
      <x:c r="P154" s="17" t="str">
        <x:v>https://slaythespire2.net/ancient/tezcatara</x:v>
      </x:c>
    </x:row>
    <x:row r="155" ht="25" customHeight="1">
      <x:c r="A155" s="2" t="str">
        <x:v>v0.107</x:v>
      </x:c>
      <x:c r="B155" s="2" t="str">
        <x:v>静默猎手</x:v>
      </x:c>
      <x:c r="C155" s="2" t="str">
        <x:v>特兹卡塔拉</x:v>
      </x:c>
      <x:c r="D155" s="2" t="str">
        <x:v>烘焙手套</x:v>
      </x:c>
      <x:c r="E155" s="16" t="n">
        <x:f>IF(G155=0,I155,IF(G155=1,H155,G155*H155+(1-G155)*I155))</x:f>
        <x:v>0.36664839999999993</x:v>
      </x:c>
      <x:c r="F155" s="12" t="n">
        <x:v>7822</x:v>
      </x:c>
      <x:c r="G155" s="11" t="n">
        <x:v>0.039</x:v>
      </x:c>
      <x:c r="H155" s="11" t="n">
        <x:v>0.4393</x:v>
      </x:c>
      <x:c r="I155" s="11" t="n">
        <x:v>0.36369999999999997</x:v>
      </x:c>
      <x:c r="J155" s="13" t="n">
        <x:f>IF(OR(G155=0,G155=1),"",(H155-I155)*100)</x:f>
        <x:v>7.560000000000006</x:v>
      </x:c>
      <x:c r="K155" s="14" t="n">
        <x:v>19.71</x:v>
      </x:c>
      <x:c r="L155" s="15" t="n">
        <x:f>F155*G155</x:f>
        <x:v>305.058</x:v>
      </x:c>
      <x:c r="M155" s="15" t="n">
        <x:f>F155-L155</x:f>
        <x:v>7516.942</x:v>
      </x:c>
      <x:c r="N155" s="17" t="str"/>
      <x:c r="O155" s="17" t="str">
        <x:v>https://sts2log.com/cards</x:v>
      </x:c>
      <x:c r="P155" s="17" t="str">
        <x:v>https://slaythespire2.net/ancient/tezcatara</x:v>
      </x:c>
    </x:row>
    <x:row r="156" ht="25" customHeight="1">
      <x:c r="A156" s="2" t="str">
        <x:v>v0.107</x:v>
      </x:c>
      <x:c r="B156" s="2" t="str">
        <x:v>静默猎手</x:v>
      </x:c>
      <x:c r="C156" s="2" t="str">
        <x:v>特兹卡塔拉</x:v>
      </x:c>
      <x:c r="D156" s="2" t="str">
        <x:v>玩具盒</x:v>
      </x:c>
      <x:c r="E156" s="16" t="n">
        <x:f>IF(G156=0,I156,IF(G156=1,H156,G156*H156+(1-G156)*I156))</x:f>
        <x:v>0.36573237</x:v>
      </x:c>
      <x:c r="F156" s="12" t="n">
        <x:v>5682</x:v>
      </x:c>
      <x:c r="G156" s="11" t="n">
        <x:v>0.2193</x:v>
      </x:c>
      <x:c r="H156" s="11" t="n">
        <x:v>0.3274</x:v>
      </x:c>
      <x:c r="I156" s="11" t="n">
        <x:v>0.3765</x:v>
      </x:c>
      <x:c r="J156" s="13" t="n">
        <x:f>IF(OR(G156=0,G156=1),"",(H156-I156)*100)</x:f>
        <x:v>-4.9099999999999975</x:v>
      </x:c>
      <x:c r="K156" s="14" t="n">
        <x:v>8.52</x:v>
      </x:c>
      <x:c r="L156" s="15" t="n">
        <x:f>F156*G156</x:f>
        <x:v>1246.0626</x:v>
      </x:c>
      <x:c r="M156" s="15" t="n">
        <x:f>F156-L156</x:f>
        <x:v>4435.9374</x:v>
      </x:c>
      <x:c r="N156" s="17" t="str"/>
      <x:c r="O156" s="17" t="str">
        <x:v>https://sts2log.com/cards</x:v>
      </x:c>
      <x:c r="P156" s="17" t="str">
        <x:v>https://slaythespire2.net/ancient/tezcatara</x:v>
      </x:c>
    </x:row>
    <x:row r="157" ht="25" customHeight="1">
      <x:c r="A157" s="2" t="str">
        <x:v>v0.107</x:v>
      </x:c>
      <x:c r="B157" s="2" t="str">
        <x:v>静默猎手</x:v>
      </x:c>
      <x:c r="C157" s="2" t="str">
        <x:v>特兹卡塔拉</x:v>
      </x:c>
      <x:c r="D157" s="2" t="str">
        <x:v>黄金印</x:v>
      </x:c>
      <x:c r="E157" s="16" t="n">
        <x:f>IF(G157=0,I157,IF(G157=1,H157,G157*H157+(1-G157)*I157))</x:f>
        <x:v>0.36416368000000005</x:v>
      </x:c>
      <x:c r="F157" s="12" t="n">
        <x:v>5805</x:v>
      </x:c>
      <x:c r="G157" s="11" t="n">
        <x:v>0.15039999999999998</x:v>
      </x:c>
      <x:c r="H157" s="11" t="n">
        <x:v>0.3826</x:v>
      </x:c>
      <x:c r="I157" s="11" t="n">
        <x:v>0.36090000000000005</x:v>
      </x:c>
      <x:c r="J157" s="13" t="n">
        <x:f>IF(OR(G157=0,G157=1),"",(H157-I157)*100)</x:f>
        <x:v>2.169999999999994</x:v>
      </x:c>
      <x:c r="K157" s="14" t="n">
        <x:v>14.04</x:v>
      </x:c>
      <x:c r="L157" s="15" t="n">
        <x:f>F157*G157</x:f>
        <x:v>873.0719999999999</x:v>
      </x:c>
      <x:c r="M157" s="15" t="n">
        <x:f>F157-L157</x:f>
        <x:v>4931.928</x:v>
      </x:c>
      <x:c r="N157" s="17" t="str"/>
      <x:c r="O157" s="17" t="str">
        <x:v>https://sts2log.com/cards</x:v>
      </x:c>
      <x:c r="P157" s="17" t="str">
        <x:v>https://slaythespire2.net/ancient/tezcatara</x:v>
      </x:c>
    </x:row>
    <x:row r="158" ht="25" customHeight="1">
      <x:c r="A158" s="2" t="str">
        <x:v>v0.107</x:v>
      </x:c>
      <x:c r="B158" s="2" t="str">
        <x:v>静默猎手</x:v>
      </x:c>
      <x:c r="C158" s="2" t="str">
        <x:v>特兹卡塔拉</x:v>
      </x:c>
      <x:c r="D158" s="2" t="str">
        <x:v>南瓜蜡烛</x:v>
      </x:c>
      <x:c r="E158" s="16" t="n">
        <x:f>IF(G158=0,I158,IF(G158=1,H158,G158*H158+(1-G158)*I158))</x:f>
        <x:v>0.362885</x:v>
      </x:c>
      <x:c r="F158" s="12" t="n">
        <x:v>5817</x:v>
      </x:c>
      <x:c r="G158" s="11" t="n">
        <x:v>0.33299999999999996</x:v>
      </x:c>
      <x:c r="H158" s="11" t="n">
        <x:v>0.39289999999999997</x:v>
      </x:c>
      <x:c r="I158" s="11" t="n">
        <x:v>0.3479</x:v>
      </x:c>
      <x:c r="J158" s="13" t="n">
        <x:f>IF(OR(G158=0,G158=1),"",(H158-I158)*100)</x:f>
        <x:v>4.499999999999998</x:v>
      </x:c>
      <x:c r="K158" s="14" t="n">
        <x:v>15.07</x:v>
      </x:c>
      <x:c r="L158" s="15" t="n">
        <x:f>F158*G158</x:f>
        <x:v>1937.0609999999997</x:v>
      </x:c>
      <x:c r="M158" s="15" t="n">
        <x:f>F158-L158</x:f>
        <x:v>3879.9390000000003</x:v>
      </x:c>
      <x:c r="N158" s="17" t="str"/>
      <x:c r="O158" s="17" t="str">
        <x:v>https://sts2log.com/cards</x:v>
      </x:c>
      <x:c r="P158" s="17" t="str">
        <x:v>https://slaythespire2.net/ancient/tezcatara</x:v>
      </x:c>
    </x:row>
    <x:row r="159" ht="25" customHeight="1">
      <x:c r="A159" s="2" t="str">
        <x:v>v0.107</x:v>
      </x:c>
      <x:c r="B159" s="2" t="str">
        <x:v>静默猎手</x:v>
      </x:c>
      <x:c r="C159" s="2" t="str">
        <x:v>特兹卡塔拉</x:v>
      </x:c>
      <x:c r="D159" s="2" t="str">
        <x:v>美味饼干</x:v>
      </x:c>
      <x:c r="E159" s="16" t="n">
        <x:f>IF(G159=0,I159,IF(G159=1,H159,G159*H159+(1-G159)*I159))</x:f>
        <x:v>0.36161940000000004</x:v>
      </x:c>
      <x:c r="F159" s="12" t="n">
        <x:v>8003</x:v>
      </x:c>
      <x:c r="G159" s="11" t="n">
        <x:v>0.573</x:v>
      </x:c>
      <x:c r="H159" s="11" t="n">
        <x:v>0.3009</x:v>
      </x:c>
      <x:c r="I159" s="11" t="n">
        <x:v>0.44310000000000005</x:v>
      </x:c>
      <x:c r="J159" s="13" t="n">
        <x:f>IF(OR(G159=0,G159=1),"",(H159-I159)*100)</x:f>
        <x:v>-14.220000000000004</x:v>
      </x:c>
      <x:c r="K159" s="14" t="n">
        <x:v>5.87</x:v>
      </x:c>
      <x:c r="L159" s="15" t="n">
        <x:f>F159*G159</x:f>
        <x:v>4585.719</x:v>
      </x:c>
      <x:c r="M159" s="15" t="n">
        <x:f>F159-L159</x:f>
        <x:v>3417.281</x:v>
      </x:c>
      <x:c r="N159" s="17" t="str"/>
      <x:c r="O159" s="17" t="str">
        <x:v>https://sts2log.com/cards</x:v>
      </x:c>
      <x:c r="P159" s="17" t="str">
        <x:v>https://slaythespire2.net/ancient/tezcatara</x:v>
      </x:c>
    </x:row>
    <x:row r="160" ht="25" customHeight="1">
      <x:c r="A160" s="2" t="str">
        <x:v>v0.107</x:v>
      </x:c>
      <x:c r="B160" s="2" t="str">
        <x:v>静默猎手</x:v>
      </x:c>
      <x:c r="C160" s="2" t="str">
        <x:v>特兹卡塔拉</x:v>
      </x:c>
      <x:c r="D160" s="2" t="str">
        <x:v>大～抱抱</x:v>
      </x:c>
      <x:c r="E160" s="16" t="n">
        <x:f>IF(G160=0,I160,IF(G160=1,H160,G160*H160+(1-G160)*I160))</x:f>
        <x:v>0.35310835999999995</x:v>
      </x:c>
      <x:c r="F160" s="12" t="n">
        <x:v>7768</x:v>
      </x:c>
      <x:c r="G160" s="11" t="n">
        <x:v>0.0803</x:v>
      </x:c>
      <x:c r="H160" s="11" t="n">
        <x:v>0.391</x:v>
      </x:c>
      <x:c r="I160" s="11" t="n">
        <x:v>0.34979999999999994</x:v>
      </x:c>
      <x:c r="J160" s="13" t="n">
        <x:f>IF(OR(G160=0,G160=1),"",(H160-I160)*100)</x:f>
        <x:v>4.120000000000007</x:v>
      </x:c>
      <x:c r="K160" s="14" t="n">
        <x:v>14.88</x:v>
      </x:c>
      <x:c r="L160" s="15" t="n">
        <x:f>F160*G160</x:f>
        <x:v>623.7704</x:v>
      </x:c>
      <x:c r="M160" s="15" t="n">
        <x:f>F160-L160</x:f>
        <x:v>7144.2296</x:v>
      </x:c>
      <x:c r="N160" s="17" t="str"/>
      <x:c r="O160" s="17" t="str">
        <x:v>https://sts2log.com/cards</x:v>
      </x:c>
      <x:c r="P160" s="17" t="str">
        <x:v>https://slaythespire2.net/ancient/tezcatara</x:v>
      </x:c>
    </x:row>
    <x:row r="161" ht="25" customHeight="1">
      <x:c r="A161" s="2" t="str">
        <x:v>v0.107</x:v>
      </x:c>
      <x:c r="B161" s="2" t="str">
        <x:v>静默猎手</x:v>
      </x:c>
      <x:c r="C161" s="2" t="str">
        <x:v>诺奴佩普</x:v>
      </x:c>
      <x:c r="D161" s="2" t="str">
        <x:v>珠宝盒</x:v>
      </x:c>
      <x:c r="E161" s="16" t="n">
        <x:f>IF(G161=0,I161,IF(G161=1,H161,G161*H161+(1-G161)*I161))</x:f>
        <x:v>0.6059634599999999</x:v>
      </x:c>
      <x:c r="F161" s="12" t="n">
        <x:v>4520</x:v>
      </x:c>
      <x:c r="G161" s="11" t="n">
        <x:v>0.3383</x:v>
      </x:c>
      <x:c r="H161" s="11" t="n">
        <x:v>0.6233</x:v>
      </x:c>
      <x:c r="I161" s="11" t="n">
        <x:v>0.5971</x:v>
      </x:c>
      <x:c r="J161" s="13" t="n">
        <x:f>IF(OR(G161=0,G161=1),"",(H161-I161)*100)</x:f>
        <x:v>2.62</x:v>
      </x:c>
      <x:c r="K161" s="14" t="n">
        <x:v>38.11</x:v>
      </x:c>
      <x:c r="L161" s="15" t="n">
        <x:f>F161*G161</x:f>
        <x:v>1529.116</x:v>
      </x:c>
      <x:c r="M161" s="15" t="n">
        <x:f>F161-L161</x:f>
        <x:v>2990.884</x:v>
      </x:c>
      <x:c r="N161" s="17" t="str"/>
      <x:c r="O161" s="17" t="str">
        <x:v>https://sts2log.com/cards</x:v>
      </x:c>
      <x:c r="P161" s="17" t="str">
        <x:v>https://slaythespire2.net/ancient/nonupeipe</x:v>
      </x:c>
    </x:row>
    <x:row r="162" ht="25" customHeight="1">
      <x:c r="A162" s="2" t="str">
        <x:v>v0.107</x:v>
      </x:c>
      <x:c r="B162" s="2" t="str">
        <x:v>静默猎手</x:v>
      </x:c>
      <x:c r="C162" s="2" t="str">
        <x:v>诺奴佩普</x:v>
      </x:c>
      <x:c r="D162" s="2" t="str">
        <x:v>娇嫩蕨草</x:v>
      </x:c>
      <x:c r="E162" s="16" t="n">
        <x:f>IF(G162=0,I162,IF(G162=1,H162,G162*H162+(1-G162)*I162))</x:f>
        <x:v>0.6002394400000001</x:v>
      </x:c>
      <x:c r="F162" s="12" t="n">
        <x:v>4425</x:v>
      </x:c>
      <x:c r="G162" s="11" t="n">
        <x:v>0.17059999999999997</x:v>
      </x:c>
      <x:c r="H162" s="11" t="n">
        <x:v>0.6437</x:v>
      </x:c>
      <x:c r="I162" s="11" t="n">
        <x:v>0.5913</x:v>
      </x:c>
      <x:c r="J162" s="13" t="n">
        <x:f>IF(OR(G162=0,G162=1),"",(H162-I162)*100)</x:f>
        <x:v>5.24</x:v>
      </x:c>
      <x:c r="K162" s="14" t="n">
        <x:v>40.15</x:v>
      </x:c>
      <x:c r="L162" s="15" t="n">
        <x:f>F162*G162</x:f>
        <x:v>754.9049999999999</x:v>
      </x:c>
      <x:c r="M162" s="15" t="n">
        <x:f>F162-L162</x:f>
        <x:v>3670.0950000000003</x:v>
      </x:c>
      <x:c r="N162" s="17" t="str"/>
      <x:c r="O162" s="17" t="str">
        <x:v>https://sts2log.com/cards</x:v>
      </x:c>
      <x:c r="P162" s="17" t="str">
        <x:v>https://slaythespire2.net/ancient/nonupeipe</x:v>
      </x:c>
    </x:row>
    <x:row r="163" ht="25" customHeight="1">
      <x:c r="A163" s="2" t="str">
        <x:v>v0.107</x:v>
      </x:c>
      <x:c r="B163" s="2" t="str">
        <x:v>静默猎手</x:v>
      </x:c>
      <x:c r="C163" s="2" t="str">
        <x:v>诺奴佩普</x:v>
      </x:c>
      <x:c r="D163" s="2" t="str">
        <x:v>华美手镯</x:v>
      </x:c>
      <x:c r="E163" s="16" t="n">
        <x:f>IF(G163=0,I163,IF(G163=1,H163,G163*H163+(1-G163)*I163))</x:f>
        <x:v>0.59916163</x:v>
      </x:c>
      <x:c r="F163" s="12" t="n">
        <x:v>4406</x:v>
      </x:c>
      <x:c r="G163" s="11" t="n">
        <x:v>0.36810000000000004</x:v>
      </x:c>
      <x:c r="H163" s="11" t="n">
        <x:v>0.6954</x:v>
      </x:c>
      <x:c r="I163" s="11" t="n">
        <x:v>0.5431</x:v>
      </x:c>
      <x:c r="J163" s="13" t="n">
        <x:f>IF(OR(G163=0,G163=1),"",(H163-I163)*100)</x:f>
        <x:v>15.229999999999999</x:v>
      </x:c>
      <x:c r="K163" s="14" t="n">
        <x:v>45.32</x:v>
      </x:c>
      <x:c r="L163" s="15" t="n">
        <x:f>F163*G163</x:f>
        <x:v>1621.8486000000003</x:v>
      </x:c>
      <x:c r="M163" s="15" t="n">
        <x:f>F163-L163</x:f>
        <x:v>2784.1513999999997</x:v>
      </x:c>
      <x:c r="N163" s="17" t="str"/>
      <x:c r="O163" s="17" t="str">
        <x:v>https://sts2log.com/cards</x:v>
      </x:c>
      <x:c r="P163" s="17" t="str">
        <x:v>https://slaythespire2.net/ancient/nonupeipe</x:v>
      </x:c>
    </x:row>
    <x:row r="164" ht="25" customHeight="1">
      <x:c r="A164" s="2" t="str">
        <x:v>v0.107</x:v>
      </x:c>
      <x:c r="B164" s="2" t="str">
        <x:v>静默猎手</x:v>
      </x:c>
      <x:c r="C164" s="2" t="str">
        <x:v>诺奴佩普</x:v>
      </x:c>
      <x:c r="D164" s="2" t="str">
        <x:v>图章戒指</x:v>
      </x:c>
      <x:c r="E164" s="16" t="n">
        <x:f>IF(G164=0,I164,IF(G164=1,H164,G164*H164+(1-G164)*I164))</x:f>
        <x:v>0.59764551</x:v>
      </x:c>
      <x:c r="F164" s="12" t="n">
        <x:v>4501</x:v>
      </x:c>
      <x:c r="G164" s="11" t="n">
        <x:v>0.5357</x:v>
      </x:c>
      <x:c r="H164" s="11" t="n">
        <x:v>0.6275</x:v>
      </x:c>
      <x:c r="I164" s="11" t="n">
        <x:v>0.5632</x:v>
      </x:c>
      <x:c r="J164" s="13" t="n">
        <x:f>IF(OR(G164=0,G164=1),"",(H164-I164)*100)</x:f>
        <x:v>6.429999999999991</x:v>
      </x:c>
      <x:c r="K164" s="14" t="n">
        <x:v>38.53</x:v>
      </x:c>
      <x:c r="L164" s="15" t="n">
        <x:f>F164*G164</x:f>
        <x:v>2411.1857</x:v>
      </x:c>
      <x:c r="M164" s="15" t="n">
        <x:f>F164-L164</x:f>
        <x:v>2089.8143</x:v>
      </x:c>
      <x:c r="N164" s="17" t="str"/>
      <x:c r="O164" s="17" t="str">
        <x:v>https://sts2log.com/cards</x:v>
      </x:c>
      <x:c r="P164" s="17" t="str">
        <x:v>https://slaythespire2.net/ancient/nonupeipe</x:v>
      </x:c>
    </x:row>
    <x:row r="165" ht="25" customHeight="1">
      <x:c r="A165" s="2" t="str">
        <x:v>v0.107</x:v>
      </x:c>
      <x:c r="B165" s="2" t="str">
        <x:v>静默猎手</x:v>
      </x:c>
      <x:c r="C165" s="2" t="str">
        <x:v>诺奴佩普</x:v>
      </x:c>
      <x:c r="D165" s="2" t="str">
        <x:v>艳丽围巾</x:v>
      </x:c>
      <x:c r="E165" s="16" t="n">
        <x:f>IF(G165=0,I165,IF(G165=1,H165,G165*H165+(1-G165)*I165))</x:f>
        <x:v>0.57970096</x:v>
      </x:c>
      <x:c r="F165" s="12" t="n">
        <x:v>4537</x:v>
      </x:c>
      <x:c r="G165" s="11" t="n">
        <x:v>0.42340000000000005</x:v>
      </x:c>
      <x:c r="H165" s="11" t="n">
        <x:v>0.6225999999999999</x:v>
      </x:c>
      <x:c r="I165" s="11" t="n">
        <x:v>0.5482</x:v>
      </x:c>
      <x:c r="J165" s="13" t="n">
        <x:f>IF(OR(G165=0,G165=1),"",(H165-I165)*100)</x:f>
        <x:v>7.439999999999991</x:v>
      </x:c>
      <x:c r="K165" s="14" t="n">
        <x:v>38.04</x:v>
      </x:c>
      <x:c r="L165" s="15" t="n">
        <x:f>F165*G165</x:f>
        <x:v>1920.9658000000002</x:v>
      </x:c>
      <x:c r="M165" s="15" t="n">
        <x:f>F165-L165</x:f>
        <x:v>2616.0342</x:v>
      </x:c>
      <x:c r="N165" s="17" t="str"/>
      <x:c r="O165" s="17" t="str">
        <x:v>https://sts2log.com/cards</x:v>
      </x:c>
      <x:c r="P165" s="17" t="str">
        <x:v>https://slaythespire2.net/ancient/nonupeipe</x:v>
      </x:c>
    </x:row>
    <x:row r="166" ht="25" customHeight="1">
      <x:c r="A166" s="2" t="str">
        <x:v>v0.107</x:v>
      </x:c>
      <x:c r="B166" s="2" t="str">
        <x:v>静默猎手</x:v>
      </x:c>
      <x:c r="C166" s="2" t="str">
        <x:v>诺奴佩普</x:v>
      </x:c>
      <x:c r="D166" s="2" t="str">
        <x:v>亮片</x:v>
      </x:c>
      <x:c r="E166" s="16" t="n">
        <x:f>IF(G166=0,I166,IF(G166=1,H166,G166*H166+(1-G166)*I166))</x:f>
        <x:v>0.5776165200000001</x:v>
      </x:c>
      <x:c r="F166" s="12" t="n">
        <x:v>4529</x:v>
      </x:c>
      <x:c r="G166" s="11" t="n">
        <x:v>0.46520000000000006</x:v>
      </x:c>
      <x:c r="H166" s="11" t="n">
        <x:v>0.5643</x:v>
      </x:c>
      <x:c r="I166" s="11" t="n">
        <x:v>0.5892000000000001</x:v>
      </x:c>
      <x:c r="J166" s="13" t="n">
        <x:f>IF(OR(G166=0,G166=1),"",(H166-I166)*100)</x:f>
        <x:v>-2.4900000000000033</x:v>
      </x:c>
      <x:c r="K166" s="14" t="n">
        <x:v>32.21</x:v>
      </x:c>
      <x:c r="L166" s="15" t="n">
        <x:f>F166*G166</x:f>
        <x:v>2106.8908</x:v>
      </x:c>
      <x:c r="M166" s="15" t="n">
        <x:f>F166-L166</x:f>
        <x:v>2422.1092</x:v>
      </x:c>
      <x:c r="N166" s="17" t="str"/>
      <x:c r="O166" s="17" t="str">
        <x:v>https://sts2log.com/cards</x:v>
      </x:c>
      <x:c r="P166" s="17" t="str">
        <x:v>https://slaythespire2.net/ancient/nonupeipe</x:v>
      </x:c>
    </x:row>
    <x:row r="167" ht="25" customHeight="1">
      <x:c r="A167" s="2" t="str">
        <x:v>v0.107</x:v>
      </x:c>
      <x:c r="B167" s="2" t="str">
        <x:v>静默猎手</x:v>
      </x:c>
      <x:c r="C167" s="2" t="str">
        <x:v>诺奴佩普</x:v>
      </x:c>
      <x:c r="D167" s="2" t="str">
        <x:v>布质果实</x:v>
      </x:c>
      <x:c r="E167" s="16" t="n">
        <x:f>IF(G167=0,I167,IF(G167=1,H167,G167*H167+(1-G167)*I167))</x:f>
        <x:v>0.5705681499999999</x:v>
      </x:c>
      <x:c r="F167" s="12" t="n">
        <x:v>4592</x:v>
      </x:c>
      <x:c r="G167" s="11" t="n">
        <x:v>0.2415</x:v>
      </x:c>
      <x:c r="H167" s="11" t="n">
        <x:v>0.5221</x:v>
      </x:c>
      <x:c r="I167" s="11" t="n">
        <x:v>0.586</x:v>
      </x:c>
      <x:c r="J167" s="13" t="n">
        <x:f>IF(OR(G167=0,G167=1),"",(H167-I167)*100)</x:f>
        <x:v>-6.389999999999995</x:v>
      </x:c>
      <x:c r="K167" s="14" t="n">
        <x:v>27.99</x:v>
      </x:c>
      <x:c r="L167" s="15" t="n">
        <x:f>F167*G167</x:f>
        <x:v>1108.968</x:v>
      </x:c>
      <x:c r="M167" s="15" t="n">
        <x:f>F167-L167</x:f>
        <x:v>3483.032</x:v>
      </x:c>
      <x:c r="N167" s="17" t="str"/>
      <x:c r="O167" s="17" t="str">
        <x:v>https://sts2log.com/cards</x:v>
      </x:c>
      <x:c r="P167" s="17" t="str">
        <x:v>https://slaythespire2.net/ancient/nonupeipe</x:v>
      </x:c>
    </x:row>
    <x:row r="168" ht="25" customHeight="1">
      <x:c r="A168" s="2" t="str">
        <x:v>v0.107</x:v>
      </x:c>
      <x:c r="B168" s="2" t="str">
        <x:v>静默猎手</x:v>
      </x:c>
      <x:c r="C168" s="2" t="str">
        <x:v>诺奴佩普</x:v>
      </x:c>
      <x:c r="D168" s="2" t="str">
        <x:v>钻石头冠</x:v>
      </x:c>
      <x:c r="E168" s="16" t="n">
        <x:f>IF(G168=0,I168,IF(G168=1,H168,G168*H168+(1-G168)*I168))</x:f>
        <x:v>0.56788228</x:v>
      </x:c>
      <x:c r="F168" s="12" t="n">
        <x:v>4494</x:v>
      </x:c>
      <x:c r="G168" s="11" t="n">
        <x:v>0.1838</x:v>
      </x:c>
      <x:c r="H168" s="11" t="n">
        <x:v>0.5194</x:v>
      </x:c>
      <x:c r="I168" s="11" t="n">
        <x:v>0.5788</x:v>
      </x:c>
      <x:c r="J168" s="13" t="n">
        <x:f>IF(OR(G168=0,G168=1),"",(H168-I168)*100)</x:f>
        <x:v>-5.940000000000001</x:v>
      </x:c>
      <x:c r="K168" s="14" t="n">
        <x:v>27.72</x:v>
      </x:c>
      <x:c r="L168" s="15" t="n">
        <x:f>F168*G168</x:f>
        <x:v>825.9971999999999</x:v>
      </x:c>
      <x:c r="M168" s="15" t="n">
        <x:f>F168-L168</x:f>
        <x:v>3668.0028</x:v>
      </x:c>
      <x:c r="N168" s="17" t="str"/>
      <x:c r="O168" s="17" t="str">
        <x:v>https://sts2log.com/cards</x:v>
      </x:c>
      <x:c r="P168" s="17" t="str">
        <x:v>https://slaythespire2.net/ancient/nonupeipe</x:v>
      </x:c>
    </x:row>
    <x:row r="169" ht="25" customHeight="1">
      <x:c r="A169" s="2" t="str">
        <x:v>v0.107</x:v>
      </x:c>
      <x:c r="B169" s="2" t="str">
        <x:v>静默猎手</x:v>
      </x:c>
      <x:c r="C169" s="2" t="str">
        <x:v>诺奴佩普</x:v>
      </x:c>
      <x:c r="D169" s="2" t="str">
        <x:v>赐福鹿角</x:v>
      </x:c>
      <x:c r="E169" s="16" t="n">
        <x:f>IF(G169=0,I169,IF(G169=1,H169,G169*H169+(1-G169)*I169))</x:f>
        <x:v>0.5617474299999999</x:v>
      </x:c>
      <x:c r="F169" s="12" t="n">
        <x:v>4491</x:v>
      </x:c>
      <x:c r="G169" s="11" t="n">
        <x:v>0.3017</x:v>
      </x:c>
      <x:c r="H169" s="11" t="n">
        <x:v>0.5114</x:v>
      </x:c>
      <x:c r="I169" s="11" t="n">
        <x:v>0.5835</x:v>
      </x:c>
      <x:c r="J169" s="13" t="n">
        <x:f>IF(OR(G169=0,G169=1),"",(H169-I169)*100)</x:f>
        <x:v>-7.210000000000005</x:v>
      </x:c>
      <x:c r="K169" s="14" t="n">
        <x:v>26.92</x:v>
      </x:c>
      <x:c r="L169" s="15" t="n">
        <x:f>F169*G169</x:f>
        <x:v>1354.9347</x:v>
      </x:c>
      <x:c r="M169" s="15" t="n">
        <x:f>F169-L169</x:f>
        <x:v>3136.0653</x:v>
      </x:c>
      <x:c r="N169" s="17" t="str"/>
      <x:c r="O169" s="17" t="str">
        <x:v>https://sts2log.com/cards</x:v>
      </x:c>
      <x:c r="P169" s="17" t="str">
        <x:v>https://slaythespire2.net/ancient/nonupeipe</x:v>
      </x:c>
    </x:row>
    <x:row r="170" ht="25" customHeight="1">
      <x:c r="A170" s="2" t="str">
        <x:v>v0.107</x:v>
      </x:c>
      <x:c r="B170" s="2" t="str">
        <x:v>静默猎手</x:v>
      </x:c>
      <x:c r="C170" s="2" t="str">
        <x:v>诺奴佩普</x:v>
      </x:c>
      <x:c r="D170" s="2" t="str">
        <x:v>皮草大衣</x:v>
      </x:c>
      <x:c r="E170" s="16" t="n">
        <x:f>IF(G170=0,I170,IF(G170=1,H170,G170*H170+(1-G170)*I170))</x:f>
        <x:v>0.55661456</x:v>
      </x:c>
      <x:c r="F170" s="12" t="n">
        <x:v>4452</x:v>
      </x:c>
      <x:c r="G170" s="11" t="n">
        <x:v>0.2904</x:v>
      </x:c>
      <x:c r="H170" s="11" t="n">
        <x:v>0.3944</x:v>
      </x:c>
      <x:c r="I170" s="11" t="n">
        <x:v>0.623</x:v>
      </x:c>
      <x:c r="J170" s="13" t="n">
        <x:f>IF(OR(G170=0,G170=1),"",(H170-I170)*100)</x:f>
        <x:v>-22.860000000000003</x:v>
      </x:c>
      <x:c r="K170" s="14" t="n">
        <x:v>15.22</x:v>
      </x:c>
      <x:c r="L170" s="15" t="n">
        <x:f>F170*G170</x:f>
        <x:v>1292.8608</x:v>
      </x:c>
      <x:c r="M170" s="15" t="n">
        <x:f>F170-L170</x:f>
        <x:v>3159.1392</x:v>
      </x:c>
      <x:c r="N170" s="17" t="str"/>
      <x:c r="O170" s="17" t="str">
        <x:v>https://sts2log.com/cards</x:v>
      </x:c>
      <x:c r="P170" s="17" t="str">
        <x:v>https://slaythespire2.net/ancient/nonupeipe</x:v>
      </x:c>
    </x:row>
    <x:row r="171" ht="25" customHeight="1">
      <x:c r="A171" s="2" t="str">
        <x:v>v0.107</x:v>
      </x:c>
      <x:c r="B171" s="2" t="str">
        <x:v>静默猎手</x:v>
      </x:c>
      <x:c r="C171" s="2" t="str">
        <x:v>坦克斯</x:v>
      </x:c>
      <x:c r="D171" s="2" t="str">
        <x:v>铁棒</x:v>
      </x:c>
      <x:c r="E171" s="16" t="n">
        <x:f>IF(G171=0,I171,IF(G171=1,H171,G171*H171+(1-G171)*I171))</x:f>
        <x:v>0.63822946</x:v>
      </x:c>
      <x:c r="F171" s="12" t="n">
        <x:v>4652</x:v>
      </x:c>
      <x:c r="G171" s="11" t="n">
        <x:v>0.6294</x:v>
      </x:c>
      <x:c r="H171" s="11" t="n">
        <x:v>0.6923</x:v>
      </x:c>
      <x:c r="I171" s="11" t="n">
        <x:v>0.5464</x:v>
      </x:c>
      <x:c r="J171" s="13" t="n">
        <x:f>IF(OR(G171=0,G171=1),"",(H171-I171)*100)</x:f>
        <x:v>14.590000000000003</x:v>
      </x:c>
      <x:c r="K171" s="14" t="n">
        <x:v>45.01</x:v>
      </x:c>
      <x:c r="L171" s="15" t="n">
        <x:f>F171*G171</x:f>
        <x:v>2927.9687999999996</x:v>
      </x:c>
      <x:c r="M171" s="15" t="n">
        <x:f>F171-L171</x:f>
        <x:v>1724.0312000000004</x:v>
      </x:c>
      <x:c r="N171" s="17" t="str"/>
      <x:c r="O171" s="17" t="str">
        <x:v>https://sts2log.com/cards</x:v>
      </x:c>
      <x:c r="P171" s="17" t="str">
        <x:v>https://slaythespire2.net/ancient/tanx</x:v>
      </x:c>
    </x:row>
    <x:row r="172" ht="25" customHeight="1">
      <x:c r="A172" s="2" t="str">
        <x:v>v0.107</x:v>
      </x:c>
      <x:c r="B172" s="2" t="str">
        <x:v>静默猎手</x:v>
      </x:c>
      <x:c r="C172" s="2" t="str">
        <x:v>坦克斯</x:v>
      </x:c>
      <x:c r="D172" s="2" t="str">
        <x:v>钗</x:v>
      </x:c>
      <x:c r="E172" s="16" t="n">
        <x:f>IF(G172=0,I172,IF(G172=1,H172,G172*H172+(1-G172)*I172))</x:f>
        <x:v>0.6237154599999999</x:v>
      </x:c>
      <x:c r="F172" s="12" t="n">
        <x:v>4523</x:v>
      </x:c>
      <x:c r="G172" s="11" t="n">
        <x:v>0.5019</x:v>
      </x:c>
      <x:c r="H172" s="11" t="n">
        <x:v>0.6801999999999999</x:v>
      </x:c>
      <x:c r="I172" s="11" t="n">
        <x:v>0.5668</x:v>
      </x:c>
      <x:c r="J172" s="13" t="n">
        <x:f>IF(OR(G172=0,G172=1),"",(H172-I172)*100)</x:f>
        <x:v>11.339999999999995</x:v>
      </x:c>
      <x:c r="K172" s="14" t="n">
        <x:v>43.8</x:v>
      </x:c>
      <x:c r="L172" s="15" t="n">
        <x:f>F172*G172</x:f>
        <x:v>2270.0937</x:v>
      </x:c>
      <x:c r="M172" s="15" t="n">
        <x:f>F172-L172</x:f>
        <x:v>2252.9063</x:v>
      </x:c>
      <x:c r="N172" s="17" t="str"/>
      <x:c r="O172" s="17" t="str">
        <x:v>https://sts2log.com/cards</x:v>
      </x:c>
      <x:c r="P172" s="17" t="str">
        <x:v>https://slaythespire2.net/ancient/tanx</x:v>
      </x:c>
    </x:row>
    <x:row r="173" ht="25" customHeight="1">
      <x:c r="A173" s="2" t="str">
        <x:v>v0.107</x:v>
      </x:c>
      <x:c r="B173" s="2" t="str">
        <x:v>静默猎手</x:v>
      </x:c>
      <x:c r="C173" s="2" t="str">
        <x:v>坦克斯</x:v>
      </x:c>
      <x:c r="D173" s="2" t="str">
        <x:v>切肉刀</x:v>
      </x:c>
      <x:c r="E173" s="16" t="n">
        <x:f>IF(G173=0,I173,IF(G173=1,H173,G173*H173+(1-G173)*I173))</x:f>
        <x:v>0.58810882</x:v>
      </x:c>
      <x:c r="F173" s="12" t="n">
        <x:v>4640</x:v>
      </x:c>
      <x:c r="G173" s="11" t="n">
        <x:v>0.6053999999999999</x:v>
      </x:c>
      <x:c r="H173" s="11" t="n">
        <x:v>0.5756</x:v>
      </x:c>
      <x:c r="I173" s="11" t="n">
        <x:v>0.6073</x:v>
      </x:c>
      <x:c r="J173" s="13" t="n">
        <x:f>IF(OR(G173=0,G173=1),"",(H173-I173)*100)</x:f>
        <x:v>-3.169999999999995</x:v>
      </x:c>
      <x:c r="K173" s="14" t="n">
        <x:v>33.34</x:v>
      </x:c>
      <x:c r="L173" s="15" t="n">
        <x:f>F173*G173</x:f>
        <x:v>2809.0559999999996</x:v>
      </x:c>
      <x:c r="M173" s="15" t="n">
        <x:f>F173-L173</x:f>
        <x:v>1830.9440000000004</x:v>
      </x:c>
      <x:c r="N173" s="17" t="str"/>
      <x:c r="O173" s="17" t="str">
        <x:v>https://sts2log.com/cards</x:v>
      </x:c>
      <x:c r="P173" s="17" t="str">
        <x:v>https://slaythespire2.net/ancient/tanx</x:v>
      </x:c>
    </x:row>
    <x:row r="174" ht="25" customHeight="1">
      <x:c r="A174" s="2" t="str">
        <x:v>v0.107</x:v>
      </x:c>
      <x:c r="B174" s="2" t="str">
        <x:v>静默猎手</x:v>
      </x:c>
      <x:c r="C174" s="2" t="str">
        <x:v>坦克斯</x:v>
      </x:c>
      <x:c r="D174" s="2" t="str">
        <x:v>投斧</x:v>
      </x:c>
      <x:c r="E174" s="16" t="n">
        <x:f>IF(G174=0,I174,IF(G174=1,H174,G174*H174+(1-G174)*I174))</x:f>
        <x:v>0.5808724999999999</x:v>
      </x:c>
      <x:c r="F174" s="12" t="n">
        <x:v>4550</x:v>
      </x:c>
      <x:c r="G174" s="11" t="n">
        <x:v>0.5222</x:v>
      </x:c>
      <x:c r="H174" s="11" t="n">
        <x:v>0.5749</x:v>
      </x:c>
      <x:c r="I174" s="11" t="n">
        <x:v>0.5874</x:v>
      </x:c>
      <x:c r="J174" s="13" t="n">
        <x:f>IF(OR(G174=0,G174=1),"",(H174-I174)*100)</x:f>
        <x:v>-1.2500000000000067</x:v>
      </x:c>
      <x:c r="K174" s="14" t="n">
        <x:v>33.27</x:v>
      </x:c>
      <x:c r="L174" s="15" t="n">
        <x:f>F174*G174</x:f>
        <x:v>2376.0099999999998</x:v>
      </x:c>
      <x:c r="M174" s="15" t="n">
        <x:f>F174-L174</x:f>
        <x:v>2173.9900000000002</x:v>
      </x:c>
      <x:c r="N174" s="17" t="str"/>
      <x:c r="O174" s="17" t="str">
        <x:v>https://sts2log.com/cards</x:v>
      </x:c>
      <x:c r="P174" s="17" t="str">
        <x:v>https://slaythespire2.net/ancient/tanx</x:v>
      </x:c>
    </x:row>
    <x:row r="175" ht="25" customHeight="1">
      <x:c r="A175" s="2" t="str">
        <x:v>v0.107</x:v>
      </x:c>
      <x:c r="B175" s="2" t="str">
        <x:v>静默猎手</x:v>
      </x:c>
      <x:c r="C175" s="2" t="str">
        <x:v>坦克斯</x:v>
      </x:c>
      <x:c r="D175" s="2" t="str">
        <x:v>十字弓</x:v>
      </x:c>
      <x:c r="E175" s="16" t="n">
        <x:f>IF(G175=0,I175,IF(G175=1,H175,G175*H175+(1-G175)*I175))</x:f>
        <x:v>0.5790240000000001</x:v>
      </x:c>
      <x:c r="F175" s="12" t="n">
        <x:v>4492</x:v>
      </x:c>
      <x:c r="G175" s="11" t="n">
        <x:v>0.13</x:v>
      </x:c>
      <x:c r="H175" s="11" t="n">
        <x:v>0.5223</x:v>
      </x:c>
      <x:c r="I175" s="11" t="n">
        <x:v>0.5875</x:v>
      </x:c>
      <x:c r="J175" s="13" t="n">
        <x:f>IF(OR(G175=0,G175=1),"",(H175-I175)*100)</x:f>
        <x:v>-6.520000000000003</x:v>
      </x:c>
      <x:c r="K175" s="14" t="n">
        <x:v>28.01</x:v>
      </x:c>
      <x:c r="L175" s="15" t="n">
        <x:f>F175*G175</x:f>
        <x:v>583.96</x:v>
      </x:c>
      <x:c r="M175" s="15" t="n">
        <x:f>F175-L175</x:f>
        <x:v>3908.04</x:v>
      </x:c>
      <x:c r="N175" s="17" t="str"/>
      <x:c r="O175" s="17" t="str">
        <x:v>https://sts2log.com/cards</x:v>
      </x:c>
      <x:c r="P175" s="17" t="str">
        <x:v>https://slaythespire2.net/ancient/tanx</x:v>
      </x:c>
    </x:row>
    <x:row r="176" ht="25" customHeight="1">
      <x:c r="A176" s="2" t="str">
        <x:v>v0.107</x:v>
      </x:c>
      <x:c r="B176" s="2" t="str">
        <x:v>静默猎手</x:v>
      </x:c>
      <x:c r="C176" s="2" t="str">
        <x:v>坦克斯</x:v>
      </x:c>
      <x:c r="D176" s="2" t="str">
        <x:v>三刃回旋镖</x:v>
      </x:c>
      <x:c r="E176" s="16" t="n">
        <x:f>IF(G176=0,I176,IF(G176=1,H176,G176*H176+(1-G176)*I176))</x:f>
        <x:v>0.57221696</x:v>
      </x:c>
      <x:c r="F176" s="12" t="n">
        <x:v>4369</x:v>
      </x:c>
      <x:c r="G176" s="11" t="n">
        <x:v>0.1744</x:v>
      </x:c>
      <x:c r="H176" s="11" t="n">
        <x:v>0.542</x:v>
      </x:c>
      <x:c r="I176" s="11" t="n">
        <x:v>0.5786</x:v>
      </x:c>
      <x:c r="J176" s="13" t="n">
        <x:f>IF(OR(G176=0,G176=1),"",(H176-I176)*100)</x:f>
        <x:v>-3.6599999999999966</x:v>
      </x:c>
      <x:c r="K176" s="14" t="n">
        <x:v>29.98</x:v>
      </x:c>
      <x:c r="L176" s="15" t="n">
        <x:f>F176*G176</x:f>
        <x:v>761.9536</x:v>
      </x:c>
      <x:c r="M176" s="15" t="n">
        <x:f>F176-L176</x:f>
        <x:v>3607.0464</x:v>
      </x:c>
      <x:c r="N176" s="17" t="str"/>
      <x:c r="O176" s="17" t="str">
        <x:v>https://sts2log.com/cards</x:v>
      </x:c>
      <x:c r="P176" s="17" t="str">
        <x:v>https://slaythespire2.net/ancient/tanx</x:v>
      </x:c>
    </x:row>
    <x:row r="177" ht="25" customHeight="1">
      <x:c r="A177" s="2" t="str">
        <x:v>v0.107</x:v>
      </x:c>
      <x:c r="B177" s="2" t="str">
        <x:v>静默猎手</x:v>
      </x:c>
      <x:c r="C177" s="2" t="str">
        <x:v>坦克斯</x:v>
      </x:c>
      <x:c r="D177" s="2" t="str">
        <x:v>利爪</x:v>
      </x:c>
      <x:c r="E177" s="16" t="n">
        <x:f>IF(G177=0,I177,IF(G177=1,H177,G177*H177+(1-G177)*I177))</x:f>
        <x:v>0.5720485999999999</x:v>
      </x:c>
      <x:c r="F177" s="12" t="n">
        <x:v>4496</x:v>
      </x:c>
      <x:c r="G177" s="11" t="n">
        <x:v>0.1588</x:v>
      </x:c>
      <x:c r="H177" s="11" t="n">
        <x:v>0.4118</x:v>
      </x:c>
      <x:c r="I177" s="11" t="n">
        <x:v>0.6023</x:v>
      </x:c>
      <x:c r="J177" s="13" t="n">
        <x:f>IF(OR(G177=0,G177=1),"",(H177-I177)*100)</x:f>
        <x:v>-19.049999999999994</x:v>
      </x:c>
      <x:c r="K177" s="14" t="n">
        <x:v>16.96</x:v>
      </x:c>
      <x:c r="L177" s="15" t="n">
        <x:f>F177*G177</x:f>
        <x:v>713.9648</x:v>
      </x:c>
      <x:c r="M177" s="15" t="n">
        <x:f>F177-L177</x:f>
        <x:v>3782.0352000000003</x:v>
      </x:c>
      <x:c r="N177" s="17" t="str"/>
      <x:c r="O177" s="17" t="str">
        <x:v>https://sts2log.com/cards</x:v>
      </x:c>
      <x:c r="P177" s="17" t="str">
        <x:v>https://slaythespire2.net/ancient/tanx</x:v>
      </x:c>
    </x:row>
    <x:row r="178" ht="25" customHeight="1">
      <x:c r="A178" s="2" t="str">
        <x:v>v0.107</x:v>
      </x:c>
      <x:c r="B178" s="2" t="str">
        <x:v>静默猎手</x:v>
      </x:c>
      <x:c r="C178" s="2" t="str">
        <x:v>坦克斯</x:v>
      </x:c>
      <x:c r="D178" s="2" t="str">
        <x:v>坦克斯的哨子</x:v>
      </x:c>
      <x:c r="E178" s="16" t="n">
        <x:f>IF(G178=0,I178,IF(G178=1,H178,G178*H178+(1-G178)*I178))</x:f>
        <x:v>0.5658989</x:v>
      </x:c>
      <x:c r="F178" s="12" t="n">
        <x:v>4566</x:v>
      </x:c>
      <x:c r="G178" s="11" t="n">
        <x:v>0.17350000000000002</x:v>
      </x:c>
      <x:c r="H178" s="11" t="n">
        <x:v>0.48109999999999997</x:v>
      </x:c>
      <x:c r="I178" s="11" t="n">
        <x:v>0.5837</x:v>
      </x:c>
      <x:c r="J178" s="13" t="n">
        <x:f>IF(OR(G178=0,G178=1),"",(H178-I178)*100)</x:f>
        <x:v>-10.260000000000002</x:v>
      </x:c>
      <x:c r="K178" s="14" t="n">
        <x:v>23.89</x:v>
      </x:c>
      <x:c r="L178" s="15" t="n">
        <x:f>F178*G178</x:f>
        <x:v>792.201</x:v>
      </x:c>
      <x:c r="M178" s="15" t="n">
        <x:f>F178-L178</x:f>
        <x:v>3773.799</x:v>
      </x:c>
      <x:c r="N178" s="17" t="str"/>
      <x:c r="O178" s="17" t="str">
        <x:v>https://sts2log.com/cards</x:v>
      </x:c>
      <x:c r="P178" s="17" t="str">
        <x:v>https://slaythespire2.net/ancient/tanx</x:v>
      </x:c>
    </x:row>
    <x:row r="179" ht="25" customHeight="1">
      <x:c r="A179" s="2" t="str">
        <x:v>v0.107</x:v>
      </x:c>
      <x:c r="B179" s="2" t="str">
        <x:v>静默猎手</x:v>
      </x:c>
      <x:c r="C179" s="2" t="str">
        <x:v>坦克斯</x:v>
      </x:c>
      <x:c r="D179" s="2" t="str">
        <x:v>战锤</x:v>
      </x:c>
      <x:c r="E179" s="16" t="n">
        <x:f>IF(G179=0,I179,IF(G179=1,H179,G179*H179+(1-G179)*I179))</x:f>
        <x:v>0.55126558</x:v>
      </x:c>
      <x:c r="F179" s="12" t="n">
        <x:v>4566</x:v>
      </x:c>
      <x:c r="G179" s="11" t="n">
        <x:v>0.2554</x:v>
      </x:c>
      <x:c r="H179" s="11" t="n">
        <x:v>0.5085999999999999</x:v>
      </x:c>
      <x:c r="I179" s="11" t="n">
        <x:v>0.5659000000000001</x:v>
      </x:c>
      <x:c r="J179" s="13" t="n">
        <x:f>IF(OR(G179=0,G179=1),"",(H179-I179)*100)</x:f>
        <x:v>-5.730000000000013</x:v>
      </x:c>
      <x:c r="K179" s="14" t="n">
        <x:v>26.64</x:v>
      </x:c>
      <x:c r="L179" s="15" t="n">
        <x:f>F179*G179</x:f>
        <x:v>1166.1564</x:v>
      </x:c>
      <x:c r="M179" s="15" t="n">
        <x:f>F179-L179</x:f>
        <x:v>3399.8436</x:v>
      </x:c>
      <x:c r="N179" s="17" t="str"/>
      <x:c r="O179" s="17" t="str">
        <x:v>https://sts2log.com/cards</x:v>
      </x:c>
      <x:c r="P179" s="17" t="str">
        <x:v>https://slaythespire2.net/ancient/tanx</x:v>
      </x:c>
    </x:row>
    <x:row r="180" ht="25" customHeight="1">
      <x:c r="A180" s="2" t="str">
        <x:v>v0.107</x:v>
      </x:c>
      <x:c r="B180" s="2" t="str">
        <x:v>静默猎手</x:v>
      </x:c>
      <x:c r="C180" s="2" t="str">
        <x:v>坦克斯</x:v>
      </x:c>
      <x:c r="D180" s="2" t="str">
        <x:v>带刺手甲</x:v>
      </x:c>
      <x:c r="E180" s="16" t="n">
        <x:f>IF(G180=0,I180,IF(G180=1,H180,G180*H180+(1-G180)*I180))</x:f>
        <x:v>0.55066267</x:v>
      </x:c>
      <x:c r="F180" s="12" t="n">
        <x:v>4444</x:v>
      </x:c>
      <x:c r="G180" s="11" t="n">
        <x:v>0.1503</x:v>
      </x:c>
      <x:c r="H180" s="11" t="n">
        <x:v>0.3458</x:v>
      </x:c>
      <x:c r="I180" s="11" t="n">
        <x:v>0.5869</x:v>
      </x:c>
      <x:c r="J180" s="13" t="n">
        <x:f>IF(OR(G180=0,G180=1),"",(H180-I180)*100)</x:f>
        <x:v>-24.11</x:v>
      </x:c>
      <x:c r="K180" s="14" t="n">
        <x:v>10.36</x:v>
      </x:c>
      <x:c r="L180" s="15" t="n">
        <x:f>F180*G180</x:f>
        <x:v>667.9331999999999</x:v>
      </x:c>
      <x:c r="M180" s="15" t="n">
        <x:f>F180-L180</x:f>
        <x:v>3776.0668</x:v>
      </x:c>
      <x:c r="N180" s="17" t="str"/>
      <x:c r="O180" s="17" t="str">
        <x:v>https://sts2log.com/cards</x:v>
      </x:c>
      <x:c r="P180" s="17" t="str">
        <x:v>https://slaythespire2.net/ancient/tanx</x:v>
      </x:c>
    </x:row>
    <x:row r="181" ht="25" customHeight="1">
      <x:c r="A181" s="2" t="str">
        <x:v>v0.107</x:v>
      </x:c>
      <x:c r="B181" s="2" t="str">
        <x:v>静默猎手</x:v>
      </x:c>
      <x:c r="C181" s="2" t="str">
        <x:v>瓦库</x:v>
      </x:c>
      <x:c r="D181" s="2" t="str">
        <x:v>宝石面具</x:v>
      </x:c>
      <x:c r="E181" s="16" t="n">
        <x:f>IF(G181=0,I181,IF(G181=1,H181,G181*H181+(1-G181)*I181))</x:f>
        <x:v>0.5368063700000001</x:v>
      </x:c>
      <x:c r="F181" s="12" t="n">
        <x:v>3707</x:v>
      </x:c>
      <x:c r="G181" s="11" t="n">
        <x:v>0.7141</x:v>
      </x:c>
      <x:c r="H181" s="11" t="n">
        <x:v>0.527</x:v>
      </x:c>
      <x:c r="I181" s="11" t="n">
        <x:v>0.5613</x:v>
      </x:c>
      <x:c r="J181" s="13" t="n">
        <x:f>IF(OR(G181=0,G181=1),"",(H181-I181)*100)</x:f>
        <x:v>-3.4299999999999997</x:v>
      </x:c>
      <x:c r="K181" s="14" t="n">
        <x:v>28.48</x:v>
      </x:c>
      <x:c r="L181" s="15" t="n">
        <x:f>F181*G181</x:f>
        <x:v>2647.1686999999997</x:v>
      </x:c>
      <x:c r="M181" s="15" t="n">
        <x:f>F181-L181</x:f>
        <x:v>1059.8313000000003</x:v>
      </x:c>
      <x:c r="N181" s="17" t="str"/>
      <x:c r="O181" s="17" t="str">
        <x:v>https://sts2log.com/cards</x:v>
      </x:c>
      <x:c r="P181" s="17" t="str">
        <x:v>https://slaythespire2.net/ancient/vakuu</x:v>
      </x:c>
    </x:row>
    <x:row r="182" ht="25" customHeight="1">
      <x:c r="A182" s="2" t="str">
        <x:v>v0.107</x:v>
      </x:c>
      <x:c r="B182" s="2" t="str">
        <x:v>静默猎手</x:v>
      </x:c>
      <x:c r="C182" s="2" t="str">
        <x:v>瓦库</x:v>
      </x:c>
      <x:c r="D182" s="2" t="str">
        <x:v>音乐盒</x:v>
      </x:c>
      <x:c r="E182" s="16" t="n">
        <x:f>IF(G182=0,I182,IF(G182=1,H182,G182*H182+(1-G182)*I182))</x:f>
        <x:v>0.5319786</x:v>
      </x:c>
      <x:c r="F182" s="12" t="n">
        <x:v>3703</x:v>
      </x:c>
      <x:c r="G182" s="11" t="n">
        <x:v>0.3457</x:v>
      </x:c>
      <x:c r="H182" s="11" t="n">
        <x:v>0.5961</x:v>
      </x:c>
      <x:c r="I182" s="11" t="n">
        <x:v>0.49810000000000004</x:v>
      </x:c>
      <x:c r="J182" s="13" t="n">
        <x:f>IF(OR(G182=0,G182=1),"",(H182-I182)*100)</x:f>
        <x:v>9.799999999999992</x:v>
      </x:c>
      <x:c r="K182" s="14" t="n">
        <x:v>35.39</x:v>
      </x:c>
      <x:c r="L182" s="15" t="n">
        <x:f>F182*G182</x:f>
        <x:v>1280.1271</x:v>
      </x:c>
      <x:c r="M182" s="15" t="n">
        <x:f>F182-L182</x:f>
        <x:v>2422.8729000000003</x:v>
      </x:c>
      <x:c r="N182" s="17" t="str"/>
      <x:c r="O182" s="17" t="str">
        <x:v>https://sts2log.com/cards</x:v>
      </x:c>
      <x:c r="P182" s="17" t="str">
        <x:v>https://slaythespire2.net/ancient/vakuu</x:v>
      </x:c>
    </x:row>
    <x:row r="183" ht="25" customHeight="1">
      <x:c r="A183" s="2" t="str">
        <x:v>v0.107</x:v>
      </x:c>
      <x:c r="B183" s="2" t="str">
        <x:v>静默猎手</x:v>
      </x:c>
      <x:c r="C183" s="2" t="str">
        <x:v>瓦库</x:v>
      </x:c>
      <x:c r="D183" s="2" t="str">
        <x:v>小提琴</x:v>
      </x:c>
      <x:c r="E183" s="16" t="n">
        <x:f>IF(G183=0,I183,IF(G183=1,H183,G183*H183+(1-G183)*I183))</x:f>
        <x:v>0.52960376</x:v>
      </x:c>
      <x:c r="F183" s="12" t="n">
        <x:v>4975</x:v>
      </x:c>
      <x:c r="G183" s="11" t="n">
        <x:v>0.1174</x:v>
      </x:c>
      <x:c r="H183" s="11" t="n">
        <x:v>0.5582</x:v>
      </x:c>
      <x:c r="I183" s="11" t="n">
        <x:v>0.5257999999999999</x:v>
      </x:c>
      <x:c r="J183" s="13" t="n">
        <x:f>IF(OR(G183=0,G183=1),"",(H183-I183)*100)</x:f>
        <x:v>3.2400000000000095</x:v>
      </x:c>
      <x:c r="K183" s="14" t="n">
        <x:v>31.6</x:v>
      </x:c>
      <x:c r="L183" s="15" t="n">
        <x:f>F183*G183</x:f>
        <x:v>584.065</x:v>
      </x:c>
      <x:c r="M183" s="15" t="n">
        <x:f>F183-L183</x:f>
        <x:v>4390.9349999999995</x:v>
      </x:c>
      <x:c r="N183" s="17" t="str"/>
      <x:c r="O183" s="17" t="str">
        <x:v>https://sts2log.com/cards</x:v>
      </x:c>
      <x:c r="P183" s="17" t="str">
        <x:v>https://slaythespire2.net/ancient/vakuu</x:v>
      </x:c>
    </x:row>
    <x:row r="184" ht="25" customHeight="1">
      <x:c r="A184" s="2" t="str">
        <x:v>v0.107</x:v>
      </x:c>
      <x:c r="B184" s="2" t="str">
        <x:v>静默猎手</x:v>
      </x:c>
      <x:c r="C184" s="2" t="str">
        <x:v>瓦库</x:v>
      </x:c>
      <x:c r="D184" s="2" t="str">
        <x:v>卓越斗篷</x:v>
      </x:c>
      <x:c r="E184" s="16" t="n">
        <x:f>IF(G184=0,I184,IF(G184=1,H184,G184*H184+(1-G184)*I184))</x:f>
        <x:v>0.52315858</x:v>
      </x:c>
      <x:c r="F184" s="12" t="n">
        <x:v>5002</x:v>
      </x:c>
      <x:c r="G184" s="11" t="n">
        <x:v>0.5722</x:v>
      </x:c>
      <x:c r="H184" s="11" t="n">
        <x:v>0.5398</x:v>
      </x:c>
      <x:c r="I184" s="11" t="n">
        <x:v>0.5009</x:v>
      </x:c>
      <x:c r="J184" s="13" t="n">
        <x:f>IF(OR(G184=0,G184=1),"",(H184-I184)*100)</x:f>
        <x:v>3.8899999999999935</x:v>
      </x:c>
      <x:c r="K184" s="14" t="n">
        <x:v>29.76</x:v>
      </x:c>
      <x:c r="L184" s="15" t="n">
        <x:f>F184*G184</x:f>
        <x:v>2862.1444</x:v>
      </x:c>
      <x:c r="M184" s="15" t="n">
        <x:f>F184-L184</x:f>
        <x:v>2139.8556</x:v>
      </x:c>
      <x:c r="N184" s="17" t="str"/>
      <x:c r="O184" s="17" t="str">
        <x:v>https://sts2log.com/cards</x:v>
      </x:c>
      <x:c r="P184" s="17" t="str">
        <x:v>https://slaythespire2.net/ancient/vakuu</x:v>
      </x:c>
    </x:row>
    <x:row r="185" ht="25" customHeight="1">
      <x:c r="A185" s="2" t="str">
        <x:v>v0.107</x:v>
      </x:c>
      <x:c r="B185" s="2" t="str">
        <x:v>静默猎手</x:v>
      </x:c>
      <x:c r="C185" s="2" t="str">
        <x:v>瓦库</x:v>
      </x:c>
      <x:c r="D185" s="2" t="str">
        <x:v>腌制活雾</x:v>
      </x:c>
      <x:c r="E185" s="16" t="n">
        <x:f>IF(G185=0,I185,IF(G185=1,H185,G185*H185+(1-G185)*I185))</x:f>
        <x:v>0.52256201</x:v>
      </x:c>
      <x:c r="F185" s="12" t="n">
        <x:v>4962</x:v>
      </x:c>
      <x:c r="G185" s="11" t="n">
        <x:v>0.6453</x:v>
      </x:c>
      <x:c r="H185" s="11" t="n">
        <x:v>0.5409</x:v>
      </x:c>
      <x:c r="I185" s="11" t="n">
        <x:v>0.4892</x:v>
      </x:c>
      <x:c r="J185" s="13" t="n">
        <x:f>IF(OR(G185=0,G185=1),"",(H185-I185)*100)</x:f>
        <x:v>5.170000000000003</x:v>
      </x:c>
      <x:c r="K185" s="14" t="n">
        <x:v>29.87</x:v>
      </x:c>
      <x:c r="L185" s="15" t="n">
        <x:f>F185*G185</x:f>
        <x:v>3201.9786</x:v>
      </x:c>
      <x:c r="M185" s="15" t="n">
        <x:f>F185-L185</x:f>
        <x:v>1760.0214</x:v>
      </x:c>
      <x:c r="N185" s="17" t="str"/>
      <x:c r="O185" s="17" t="str">
        <x:v>https://sts2log.com/cards</x:v>
      </x:c>
      <x:c r="P185" s="17" t="str">
        <x:v>https://slaythespire2.net/ancient/vakuu</x:v>
      </x:c>
    </x:row>
    <x:row r="186" ht="25" customHeight="1">
      <x:c r="A186" s="2" t="str">
        <x:v>v0.107</x:v>
      </x:c>
      <x:c r="B186" s="2" t="str">
        <x:v>静默猎手</x:v>
      </x:c>
      <x:c r="C186" s="2" t="str">
        <x:v>瓦库</x:v>
      </x:c>
      <x:c r="D186" s="2" t="str">
        <x:v>血染玫瑰</x:v>
      </x:c>
      <x:c r="E186" s="16" t="n">
        <x:f>IF(G186=0,I186,IF(G186=1,H186,G186*H186+(1-G186)*I186))</x:f>
        <x:v>0.51524919</x:v>
      </x:c>
      <x:c r="F186" s="12" t="n">
        <x:v>4961</x:v>
      </x:c>
      <x:c r="G186" s="11" t="n">
        <x:v>0.17129999999999998</x:v>
      </x:c>
      <x:c r="H186" s="11" t="n">
        <x:v>0.4376</x:v>
      </x:c>
      <x:c r="I186" s="11" t="n">
        <x:v>0.5313</x:v>
      </x:c>
      <x:c r="J186" s="13" t="n">
        <x:f>IF(OR(G186=0,G186=1),"",(H186-I186)*100)</x:f>
        <x:v>-9.370000000000001</x:v>
      </x:c>
      <x:c r="K186" s="14" t="n">
        <x:v>19.54</x:v>
      </x:c>
      <x:c r="L186" s="15" t="n">
        <x:f>F186*G186</x:f>
        <x:v>849.8192999999999</x:v>
      </x:c>
      <x:c r="M186" s="15" t="n">
        <x:f>F186-L186</x:f>
        <x:v>4111.1807</x:v>
      </x:c>
      <x:c r="N186" s="17" t="str"/>
      <x:c r="O186" s="17" t="str">
        <x:v>https://sts2log.com/cards</x:v>
      </x:c>
      <x:c r="P186" s="17" t="str">
        <x:v>https://slaythespire2.net/ancient/vakuu</x:v>
      </x:c>
    </x:row>
    <x:row r="187" ht="25" customHeight="1">
      <x:c r="A187" s="2" t="str">
        <x:v>v0.107</x:v>
      </x:c>
      <x:c r="B187" s="2" t="str">
        <x:v>静默猎手</x:v>
      </x:c>
      <x:c r="C187" s="2" t="str">
        <x:v>瓦库</x:v>
      </x:c>
      <x:c r="D187" s="2" t="str">
        <x:v>选择悖论</x:v>
      </x:c>
      <x:c r="E187" s="16" t="n">
        <x:f>IF(G187=0,I187,IF(G187=1,H187,G187*H187+(1-G187)*I187))</x:f>
        <x:v>0.50368819</x:v>
      </x:c>
      <x:c r="F187" s="12" t="n">
        <x:v>3814</x:v>
      </x:c>
      <x:c r="G187" s="11" t="n">
        <x:v>0.4169</x:v>
      </x:c>
      <x:c r="H187" s="11" t="n">
        <x:v>0.495</x:v>
      </x:c>
      <x:c r="I187" s="11" t="n">
        <x:v>0.5099</x:v>
      </x:c>
      <x:c r="J187" s="13" t="n">
        <x:f>IF(OR(G187=0,G187=1),"",(H187-I187)*100)</x:f>
        <x:v>-1.4900000000000024</x:v>
      </x:c>
      <x:c r="K187" s="14" t="n">
        <x:v>25.28</x:v>
      </x:c>
      <x:c r="L187" s="15" t="n">
        <x:f>F187*G187</x:f>
        <x:v>1590.0566</x:v>
      </x:c>
      <x:c r="M187" s="15" t="n">
        <x:f>F187-L187</x:f>
        <x:v>2223.9434</x:v>
      </x:c>
      <x:c r="N187" s="17" t="str"/>
      <x:c r="O187" s="17" t="str">
        <x:v>https://sts2log.com/cards</x:v>
      </x:c>
      <x:c r="P187" s="17" t="str">
        <x:v>https://slaythespire2.net/ancient/vakuu</x:v>
      </x:c>
    </x:row>
    <x:row r="188" ht="25" customHeight="1">
      <x:c r="A188" s="2" t="str">
        <x:v>v0.107</x:v>
      </x:c>
      <x:c r="B188" s="2" t="str">
        <x:v>静默猎手</x:v>
      </x:c>
      <x:c r="C188" s="2" t="str">
        <x:v>瓦库</x:v>
      </x:c>
      <x:c r="D188" s="2" t="str">
        <x:v>低语耳环</x:v>
      </x:c>
      <x:c r="E188" s="16" t="n">
        <x:f>IF(G188=0,I188,IF(G188=1,H188,G188*H188+(1-G188)*I188))</x:f>
        <x:v>0.49779668000000005</x:v>
      </x:c>
      <x:c r="F188" s="12" t="n">
        <x:v>5024</x:v>
      </x:c>
      <x:c r="G188" s="11" t="n">
        <x:v>0.11539999999999999</x:v>
      </x:c>
      <x:c r="H188" s="11" t="n">
        <x:v>0.3069</x:v>
      </x:c>
      <x:c r="I188" s="11" t="n">
        <x:v>0.5227</x:v>
      </x:c>
      <x:c r="J188" s="13" t="n">
        <x:f>IF(OR(G188=0,G188=1),"",(H188-I188)*100)</x:f>
        <x:v>-21.580000000000005</x:v>
      </x:c>
      <x:c r="K188" s="14" t="n">
        <x:v>6.47</x:v>
      </x:c>
      <x:c r="L188" s="15" t="n">
        <x:f>F188*G188</x:f>
        <x:v>579.7696</x:v>
      </x:c>
      <x:c r="M188" s="15" t="n">
        <x:f>F188-L188</x:f>
        <x:v>4444.2304</x:v>
      </x:c>
      <x:c r="N188" s="17" t="str"/>
      <x:c r="O188" s="17" t="str">
        <x:v>https://sts2log.com/cards</x:v>
      </x:c>
      <x:c r="P188" s="17" t="str">
        <x:v>https://slaythespire2.net/ancient/vakuu</x:v>
      </x:c>
    </x:row>
    <x:row r="189" ht="25" customHeight="1">
      <x:c r="A189" s="2" t="str">
        <x:v>v0.107</x:v>
      </x:c>
      <x:c r="B189" s="2" t="str">
        <x:v>静默猎手</x:v>
      </x:c>
      <x:c r="C189" s="2" t="str">
        <x:v>瓦库</x:v>
      </x:c>
      <x:c r="D189" s="2" t="str">
        <x:v>原初之爪</x:v>
      </x:c>
      <x:c r="E189" s="16" t="n">
        <x:f>IF(G189=0,I189,IF(G189=1,H189,G189*H189+(1-G189)*I189))</x:f>
        <x:v>0.49652355000000004</x:v>
      </x:c>
      <x:c r="F189" s="12" t="n">
        <x:v>4991</x:v>
      </x:c>
      <x:c r="G189" s="11" t="n">
        <x:v>0.1505</x:v>
      </x:c>
      <x:c r="H189" s="11" t="n">
        <x:v>0.4261</x:v>
      </x:c>
      <x:c r="I189" s="11" t="n">
        <x:v>0.509</x:v>
      </x:c>
      <x:c r="J189" s="13" t="n">
        <x:f>IF(OR(G189=0,G189=1),"",(H189-I189)*100)</x:f>
        <x:v>-8.290000000000003</x:v>
      </x:c>
      <x:c r="K189" s="14" t="n">
        <x:v>18.39</x:v>
      </x:c>
      <x:c r="L189" s="15" t="n">
        <x:f>F189*G189</x:f>
        <x:v>751.1455</x:v>
      </x:c>
      <x:c r="M189" s="15" t="n">
        <x:f>F189-L189</x:f>
        <x:v>4239.8545</x:v>
      </x:c>
      <x:c r="N189" s="17" t="str"/>
      <x:c r="O189" s="17" t="str">
        <x:v>https://sts2log.com/cards</x:v>
      </x:c>
      <x:c r="P189" s="17" t="str">
        <x:v>https://slaythespire2.net/ancient/vakuu</x:v>
      </x:c>
    </x:row>
    <x:row r="190" ht="25" customHeight="1">
      <x:c r="A190" s="2" t="str">
        <x:v>v0.107</x:v>
      </x:c>
      <x:c r="B190" s="2" t="str">
        <x:v>静默猎手</x:v>
      </x:c>
      <x:c r="C190" s="2" t="str">
        <x:v>瓦库</x:v>
      </x:c>
      <x:c r="D190" s="2" t="str">
        <x:v>领主阳伞</x:v>
      </x:c>
      <x:c r="E190" s="16" t="n">
        <x:f>IF(G190=0,I190,IF(G190=1,H190,G190*H190+(1-G190)*I190))</x:f>
        <x:v>0.48773247999999997</x:v>
      </x:c>
      <x:c r="F190" s="12" t="n">
        <x:v>3764</x:v>
      </x:c>
      <x:c r="G190" s="11" t="n">
        <x:v>0.15039999999999998</x:v>
      </x:c>
      <x:c r="H190" s="11" t="n">
        <x:v>0.4399</x:v>
      </x:c>
      <x:c r="I190" s="11" t="n">
        <x:v>0.4962</x:v>
      </x:c>
      <x:c r="J190" s="13" t="n">
        <x:f>IF(OR(G190=0,G190=1),"",(H190-I190)*100)</x:f>
        <x:v>-5.629999999999996</x:v>
      </x:c>
      <x:c r="K190" s="14" t="n">
        <x:v>19.77</x:v>
      </x:c>
      <x:c r="L190" s="15" t="n">
        <x:f>F190*G190</x:f>
        <x:v>566.1055999999999</x:v>
      </x:c>
      <x:c r="M190" s="15" t="n">
        <x:f>F190-L190</x:f>
        <x:v>3197.8944</x:v>
      </x:c>
      <x:c r="N190" s="17" t="str"/>
      <x:c r="O190" s="17" t="str">
        <x:v>https://sts2log.com/cards</x:v>
      </x:c>
      <x:c r="P190" s="17" t="str">
        <x:v>https://slaythespire2.net/ancient/vakuu</x:v>
      </x:c>
    </x:row>
    <x:row r="191" ht="42" customHeight="1">
      <x:c r="A191" s="2" t="str">
        <x:v>v0.107</x:v>
      </x:c>
      <x:c r="B191" s="2" t="str">
        <x:v>静默猎手</x:v>
      </x:c>
      <x:c r="C191" s="2" t="str">
        <x:v>达弗</x:v>
      </x:c>
      <x:c r="D191" s="2" t="str">
        <x:v>贤者之石</x:v>
      </x:c>
      <x:c r="E191" s="16" t="n">
        <x:f>IF(G191=0,I191,IF(G191=1,H191,G191*H191+(1-G191)*I191))</x:f>
        <x:v>0.53278048</x:v>
      </x:c>
      <x:c r="F191" s="12" t="n">
        <x:v>503</x:v>
      </x:c>
      <x:c r="G191" s="11" t="n">
        <x:v>0.4056</x:v>
      </x:c>
      <x:c r="H191" s="11" t="n">
        <x:v>0.5392</x:v>
      </x:c>
      <x:c r="I191" s="11" t="n">
        <x:v>0.5284</x:v>
      </x:c>
      <x:c r="J191" s="13" t="n">
        <x:f>IF(OR(G191=0,G191=1),"",(H191-I191)*100)</x:f>
        <x:v>1.0800000000000032</x:v>
      </x:c>
      <x:c r="K191" s="14" t="n">
        <x:v>29.7</x:v>
      </x:c>
      <x:c r="L191" s="15" t="n">
        <x:f>F191*G191</x:f>
        <x:v>204.01680000000002</x:v>
      </x:c>
      <x:c r="M191" s="15" t="n">
        <x:f>F191-L191</x:f>
        <x:v>298.9832</x:v>
      </x:c>
      <x:c r="N191" s="17" t="str">
        <x:v>不同幕混合，勿直接解释为纯强度</x:v>
      </x:c>
      <x:c r="O191" s="17" t="str">
        <x:v>https://sts2log.com/cards</x:v>
      </x:c>
      <x:c r="P191" s="17" t="str">
        <x:v>https://op.gg/zh-cn/slay-the-spire2/events/Darv</x:v>
      </x:c>
    </x:row>
    <x:row r="192" ht="42" customHeight="1">
      <x:c r="A192" s="2" t="str">
        <x:v>v0.107</x:v>
      </x:c>
      <x:c r="B192" s="2" t="str">
        <x:v>静默猎手</x:v>
      </x:c>
      <x:c r="C192" s="2" t="str">
        <x:v>达弗</x:v>
      </x:c>
      <x:c r="D192" s="2" t="str">
        <x:v>天鹅绒颈圈</x:v>
      </x:c>
      <x:c r="E192" s="16" t="n">
        <x:f>IF(G192=0,I192,IF(G192=1,H192,G192*H192+(1-G192)*I192))</x:f>
        <x:v>0.52963225</x:v>
      </x:c>
      <x:c r="F192" s="12" t="n">
        <x:v>506</x:v>
      </x:c>
      <x:c r="G192" s="11" t="n">
        <x:v>0.0455</x:v>
      </x:c>
      <x:c r="H192" s="11" t="n">
        <x:v>0.3478</x:v>
      </x:c>
      <x:c r="I192" s="11" t="n">
        <x:v>0.5383</x:v>
      </x:c>
      <x:c r="J192" s="13" t="n">
        <x:f>IF(OR(G192=0,G192=1),"",(H192-I192)*100)</x:f>
        <x:v>-19.05</x:v>
      </x:c>
      <x:c r="K192" s="14" t="n">
        <x:v>10.56</x:v>
      </x:c>
      <x:c r="L192" s="15" t="n">
        <x:f>F192*G192</x:f>
        <x:v>23.023</x:v>
      </x:c>
      <x:c r="M192" s="15" t="n">
        <x:f>F192-L192</x:f>
        <x:v>482.977</x:v>
      </x:c>
      <x:c r="N192" s="17" t="str">
        <x:v>不同幕混合，勿直接解释为纯强度</x:v>
      </x:c>
      <x:c r="O192" s="17" t="str">
        <x:v>https://sts2log.com/cards</x:v>
      </x:c>
      <x:c r="P192" s="17" t="str">
        <x:v>https://op.gg/zh-cn/slay-the-spire2/events/Darv</x:v>
      </x:c>
    </x:row>
    <x:row r="193" ht="42" customHeight="1">
      <x:c r="A193" s="2" t="str">
        <x:v>v0.107</x:v>
      </x:c>
      <x:c r="B193" s="2" t="str">
        <x:v>静默猎手</x:v>
      </x:c>
      <x:c r="C193" s="2" t="str">
        <x:v>达弗</x:v>
      </x:c>
      <x:c r="D193" s="2" t="str">
        <x:v>星盘</x:v>
      </x:c>
      <x:c r="E193" s="16" t="n">
        <x:f>IF(G193=0,I193,IF(G193=1,H193,G193*H193+(1-G193)*I193))</x:f>
        <x:v>0.44555510000000004</x:v>
      </x:c>
      <x:c r="F193" s="12" t="n">
        <x:v>3993</x:v>
      </x:c>
      <x:c r="G193" s="11" t="n">
        <x:v>0.7015</x:v>
      </x:c>
      <x:c r="H193" s="11" t="n">
        <x:v>0.44060000000000005</x:v>
      </x:c>
      <x:c r="I193" s="11" t="n">
        <x:v>0.4572</x:v>
      </x:c>
      <x:c r="J193" s="13" t="n">
        <x:f>IF(OR(G193=0,G193=1),"",(H193-I193)*100)</x:f>
        <x:v>-1.6599999999999948</x:v>
      </x:c>
      <x:c r="K193" s="14" t="n">
        <x:v>19.84</x:v>
      </x:c>
      <x:c r="L193" s="15" t="n">
        <x:f>F193*G193</x:f>
        <x:v>2801.0895</x:v>
      </x:c>
      <x:c r="M193" s="15" t="n">
        <x:f>F193-L193</x:f>
        <x:v>1191.9105</x:v>
      </x:c>
      <x:c r="N193" s="17" t="str">
        <x:v>不同幕混合，勿直接解释为纯强度</x:v>
      </x:c>
      <x:c r="O193" s="17" t="str">
        <x:v>https://sts2log.com/cards</x:v>
      </x:c>
      <x:c r="P193" s="17" t="str">
        <x:v>https://slaythespire2.net/ancient/darv</x:v>
      </x:c>
    </x:row>
    <x:row r="194" ht="42" customHeight="1">
      <x:c r="A194" s="2" t="str">
        <x:v>v0.107</x:v>
      </x:c>
      <x:c r="B194" s="2" t="str">
        <x:v>静默猎手</x:v>
      </x:c>
      <x:c r="C194" s="2" t="str">
        <x:v>达弗</x:v>
      </x:c>
      <x:c r="D194" s="2" t="str">
        <x:v>符文金字塔</x:v>
      </x:c>
      <x:c r="E194" s="16" t="n">
        <x:f>IF(G194=0,I194,IF(G194=1,H194,G194*H194+(1-G194)*I194))</x:f>
        <x:v>0.44256101999999997</x:v>
      </x:c>
      <x:c r="F194" s="12" t="n">
        <x:v>4022</x:v>
      </x:c>
      <x:c r="G194" s="11" t="n">
        <x:v>0.46869999999999995</x:v>
      </x:c>
      <x:c r="H194" s="11" t="n">
        <x:v>0.5246999999999999</x:v>
      </x:c>
      <x:c r="I194" s="11" t="n">
        <x:v>0.3701</x:v>
      </x:c>
      <x:c r="J194" s="13" t="n">
        <x:f>IF(OR(G194=0,G194=1),"",(H194-I194)*100)</x:f>
        <x:v>15.459999999999996</x:v>
      </x:c>
      <x:c r="K194" s="14" t="n">
        <x:v>28.25</x:v>
      </x:c>
      <x:c r="L194" s="15" t="n">
        <x:f>F194*G194</x:f>
        <x:v>1885.1113999999998</x:v>
      </x:c>
      <x:c r="M194" s="15" t="n">
        <x:f>F194-L194</x:f>
        <x:v>2136.8886</x:v>
      </x:c>
      <x:c r="N194" s="17" t="str">
        <x:v>不同幕混合，勿直接解释为纯强度</x:v>
      </x:c>
      <x:c r="O194" s="17" t="str">
        <x:v>https://sts2log.com/cards</x:v>
      </x:c>
      <x:c r="P194" s="17" t="str">
        <x:v>https://slaythespire2.net/ancient/darv</x:v>
      </x:c>
    </x:row>
    <x:row r="195" ht="42" customHeight="1">
      <x:c r="A195" s="2" t="str">
        <x:v>v0.107</x:v>
      </x:c>
      <x:c r="B195" s="2" t="str">
        <x:v>静默猎手</x:v>
      </x:c>
      <x:c r="C195" s="2" t="str">
        <x:v>达弗</x:v>
      </x:c>
      <x:c r="D195" s="2" t="str">
        <x:v>潘多拉魔盒</x:v>
      </x:c>
      <x:c r="E195" s="16" t="n">
        <x:f>IF(G195=0,I195,IF(G195=1,H195,G195*H195+(1-G195)*I195))</x:f>
        <x:v>0.43827383000000003</x:v>
      </x:c>
      <x:c r="F195" s="12" t="n">
        <x:v>3929</x:v>
      </x:c>
      <x:c r="G195" s="11" t="n">
        <x:v>0.5029</x:v>
      </x:c>
      <x:c r="H195" s="11" t="n">
        <x:v>0.4595</x:v>
      </x:c>
      <x:c r="I195" s="11" t="n">
        <x:v>0.4168</x:v>
      </x:c>
      <x:c r="J195" s="13" t="n">
        <x:f>IF(OR(G195=0,G195=1),"",(H195-I195)*100)</x:f>
        <x:v>4.270000000000001</x:v>
      </x:c>
      <x:c r="K195" s="14" t="n">
        <x:v>21.73</x:v>
      </x:c>
      <x:c r="L195" s="15" t="n">
        <x:f>F195*G195</x:f>
        <x:v>1975.8941</x:v>
      </x:c>
      <x:c r="M195" s="15" t="n">
        <x:f>F195-L195</x:f>
        <x:v>1953.1059</x:v>
      </x:c>
      <x:c r="N195" s="17" t="str">
        <x:v>不同幕混合，勿直接解释为纯强度</x:v>
      </x:c>
      <x:c r="O195" s="17" t="str">
        <x:v>https://sts2log.com/cards</x:v>
      </x:c>
      <x:c r="P195" s="17" t="str">
        <x:v>https://slaythespire2.net/ancient/darv</x:v>
      </x:c>
    </x:row>
    <x:row r="196" ht="42" customHeight="1">
      <x:c r="A196" s="2" t="str">
        <x:v>v0.107</x:v>
      </x:c>
      <x:c r="B196" s="2" t="str">
        <x:v>静默猎手</x:v>
      </x:c>
      <x:c r="C196" s="2" t="str">
        <x:v>达弗</x:v>
      </x:c>
      <x:c r="D196" s="2" t="str">
        <x:v>空鸟笼</x:v>
      </x:c>
      <x:c r="E196" s="16" t="n">
        <x:f>IF(G196=0,I196,IF(G196=1,H196,G196*H196+(1-G196)*I196))</x:f>
        <x:v>0.41753262</x:v>
      </x:c>
      <x:c r="F196" s="12" t="n">
        <x:v>4024</x:v>
      </x:c>
      <x:c r="G196" s="11" t="n">
        <x:v>0.5002</x:v>
      </x:c>
      <x:c r="H196" s="11" t="n">
        <x:v>0.3741</x:v>
      </x:c>
      <x:c r="I196" s="11" t="n">
        <x:v>0.461</x:v>
      </x:c>
      <x:c r="J196" s="13" t="n">
        <x:f>IF(OR(G196=0,G196=1),"",(H196-I196)*100)</x:f>
        <x:v>-8.690000000000003</x:v>
      </x:c>
      <x:c r="K196" s="14" t="n">
        <x:v>13.19</x:v>
      </x:c>
      <x:c r="L196" s="15" t="n">
        <x:f>F196*G196</x:f>
        <x:v>2012.8048</x:v>
      </x:c>
      <x:c r="M196" s="15" t="n">
        <x:f>F196-L196</x:f>
        <x:v>2011.1952</x:v>
      </x:c>
      <x:c r="N196" s="17" t="str">
        <x:v>不同幕混合，勿直接解释为纯强度</x:v>
      </x:c>
      <x:c r="O196" s="17" t="str">
        <x:v>https://sts2log.com/cards</x:v>
      </x:c>
      <x:c r="P196" s="17" t="str">
        <x:v>https://slaythespire2.net/ancient/darv</x:v>
      </x:c>
    </x:row>
    <x:row r="197" ht="42" customHeight="1">
      <x:c r="A197" s="2" t="str">
        <x:v>v0.107</x:v>
      </x:c>
      <x:c r="B197" s="2" t="str">
        <x:v>静默猎手</x:v>
      </x:c>
      <x:c r="C197" s="2" t="str">
        <x:v>达弗</x:v>
      </x:c>
      <x:c r="D197" s="2" t="str">
        <x:v>召唤铃铛</x:v>
      </x:c>
      <x:c r="E197" s="16" t="n">
        <x:f>IF(G197=0,I197,IF(G197=1,H197,G197*H197+(1-G197)*I197))</x:f>
        <x:v>0.41270370999999995</x:v>
      </x:c>
      <x:c r="F197" s="12" t="n">
        <x:v>3964</x:v>
      </x:c>
      <x:c r="G197" s="11" t="n">
        <x:v>0.3643</x:v>
      </x:c>
      <x:c r="H197" s="11" t="n">
        <x:v>0.3553</x:v>
      </x:c>
      <x:c r="I197" s="11" t="n">
        <x:v>0.4456</x:v>
      </x:c>
      <x:c r="J197" s="13" t="n">
        <x:f>IF(OR(G197=0,G197=1),"",(H197-I197)*100)</x:f>
        <x:v>-9.03</x:v>
      </x:c>
      <x:c r="K197" s="14" t="n">
        <x:v>11.31</x:v>
      </x:c>
      <x:c r="L197" s="15" t="n">
        <x:f>F197*G197</x:f>
        <x:v>1444.0852</x:v>
      </x:c>
      <x:c r="M197" s="15" t="n">
        <x:f>F197-L197</x:f>
        <x:v>2519.9148</x:v>
      </x:c>
      <x:c r="N197" s="17" t="str">
        <x:v>不同幕混合，勿直接解释为纯强度</x:v>
      </x:c>
      <x:c r="O197" s="17" t="str">
        <x:v>https://sts2log.com/cards</x:v>
      </x:c>
      <x:c r="P197" s="17" t="str">
        <x:v>https://slaythespire2.net/ancient/darv</x:v>
      </x:c>
    </x:row>
    <x:row r="198" ht="42" customHeight="1">
      <x:c r="A198" s="2" t="str">
        <x:v>v0.107</x:v>
      </x:c>
      <x:c r="B198" s="2" t="str">
        <x:v>静默猎手</x:v>
      </x:c>
      <x:c r="C198" s="2" t="str">
        <x:v>达弗</x:v>
      </x:c>
      <x:c r="D198" s="2" t="str">
        <x:v>异蛇之眼</x:v>
      </x:c>
      <x:c r="E198" s="16" t="n">
        <x:f>IF(G198=0,I198,IF(G198=1,H198,G198*H198+(1-G198)*I198))</x:f>
        <x:v>0.41107952000000003</x:v>
      </x:c>
      <x:c r="F198" s="12" t="n">
        <x:v>4089</x:v>
      </x:c>
      <x:c r="G198" s="11" t="n">
        <x:v>0.0196</x:v>
      </x:c>
      <x:c r="H198" s="11" t="n">
        <x:v>0.275</x:v>
      </x:c>
      <x:c r="I198" s="11" t="n">
        <x:v>0.4138</x:v>
      </x:c>
      <x:c r="J198" s="13" t="n">
        <x:f>IF(OR(G198=0,G198=1),"",(H198-I198)*100)</x:f>
        <x:v>-13.879999999999997</x:v>
      </x:c>
      <x:c r="K198" s="14" t="n">
        <x:v>3.28</x:v>
      </x:c>
      <x:c r="L198" s="15" t="n">
        <x:f>F198*G198</x:f>
        <x:v>80.14439999999999</x:v>
      </x:c>
      <x:c r="M198" s="15" t="n">
        <x:f>F198-L198</x:f>
        <x:v>4008.8556</x:v>
      </x:c>
      <x:c r="N198" s="17" t="str">
        <x:v>不同幕混合，勿直接解释为纯强度</x:v>
      </x:c>
      <x:c r="O198" s="17" t="str">
        <x:v>https://sts2log.com/cards</x:v>
      </x:c>
      <x:c r="P198" s="17" t="str">
        <x:v>https://slaythespire2.net/ancient/darv</x:v>
      </x:c>
    </x:row>
    <x:row r="199" ht="42" customHeight="1">
      <x:c r="A199" s="2" t="str">
        <x:v>v0.107</x:v>
      </x:c>
      <x:c r="B199" s="2" t="str">
        <x:v>静默猎手</x:v>
      </x:c>
      <x:c r="C199" s="2" t="str">
        <x:v>达弗</x:v>
      </x:c>
      <x:c r="D199" s="2" t="str">
        <x:v>尘封魔典</x:v>
      </x:c>
      <x:c r="E199" s="16" t="n">
        <x:f>IF(G199=0,I199,IF(G199=1,H199,G199*H199+(1-G199)*I199))</x:f>
        <x:v>0.40912930000000003</x:v>
      </x:c>
      <x:c r="F199" s="12" t="n">
        <x:v>6291</x:v>
      </x:c>
      <x:c r="G199" s="11" t="n">
        <x:v>0.1195</x:v>
      </x:c>
      <x:c r="H199" s="11" t="n">
        <x:v>0.33640000000000003</x:v>
      </x:c>
      <x:c r="I199" s="11" t="n">
        <x:v>0.419</x:v>
      </x:c>
      <x:c r="J199" s="13" t="n">
        <x:f>IF(OR(G199=0,G199=1),"",(H199-I199)*100)</x:f>
        <x:v>-8.259999999999994</x:v>
      </x:c>
      <x:c r="K199" s="14" t="n">
        <x:v>9.42</x:v>
      </x:c>
      <x:c r="L199" s="15" t="n">
        <x:f>F199*G199</x:f>
        <x:v>751.7745</x:v>
      </x:c>
      <x:c r="M199" s="15" t="n">
        <x:f>F199-L199</x:f>
        <x:v>5539.2255000000005</x:v>
      </x:c>
      <x:c r="N199" s="17" t="str">
        <x:v>不同幕混合，勿直接解释为纯强度</x:v>
      </x:c>
      <x:c r="O199" s="17" t="str">
        <x:v>https://sts2log.com/cards</x:v>
      </x:c>
      <x:c r="P199" s="17" t="str">
        <x:v>https://slaythespire2.net/ancient/darv</x:v>
      </x:c>
    </x:row>
    <x:row r="200" ht="42" customHeight="1">
      <x:c r="A200" s="2" t="str">
        <x:v>v0.107</x:v>
      </x:c>
      <x:c r="B200" s="2" t="str">
        <x:v>静默猎手</x:v>
      </x:c>
      <x:c r="C200" s="2" t="str">
        <x:v>达弗</x:v>
      </x:c>
      <x:c r="D200" s="2" t="str">
        <x:v>黑星</x:v>
      </x:c>
      <x:c r="E200" s="16" t="n">
        <x:f>IF(G200=0,I200,IF(G200=1,H200,G200*H200+(1-G200)*I200))</x:f>
        <x:v>0.39334314</x:v>
      </x:c>
      <x:c r="F200" s="12" t="n">
        <x:v>4045</x:v>
      </x:c>
      <x:c r="G200" s="11" t="n">
        <x:v>0.27140000000000003</x:v>
      </x:c>
      <x:c r="H200" s="11" t="n">
        <x:v>0.3497</x:v>
      </x:c>
      <x:c r="I200" s="11" t="n">
        <x:v>0.4096</x:v>
      </x:c>
      <x:c r="J200" s="13" t="n">
        <x:f>IF(OR(G200=0,G200=1),"",(H200-I200)*100)</x:f>
        <x:v>-5.990000000000001</x:v>
      </x:c>
      <x:c r="K200" s="14" t="n">
        <x:v>10.75</x:v>
      </x:c>
      <x:c r="L200" s="15" t="n">
        <x:f>F200*G200</x:f>
        <x:v>1097.813</x:v>
      </x:c>
      <x:c r="M200" s="15" t="n">
        <x:f>F200-L200</x:f>
        <x:v>2947.187</x:v>
      </x:c>
      <x:c r="N200" s="17" t="str">
        <x:v>不同幕混合，勿直接解释为纯强度</x:v>
      </x:c>
      <x:c r="O200" s="17" t="str">
        <x:v>https://sts2log.com/cards</x:v>
      </x:c>
      <x:c r="P200" s="17" t="str">
        <x:v>https://slaythespire2.net/ancient/darv</x:v>
      </x:c>
    </x:row>
    <x:row r="201" ht="42" customHeight="1">
      <x:c r="A201" s="2" t="str">
        <x:v>v0.107</x:v>
      </x:c>
      <x:c r="B201" s="2" t="str">
        <x:v>静默猎手</x:v>
      </x:c>
      <x:c r="C201" s="2" t="str">
        <x:v>达弗</x:v>
      </x:c>
      <x:c r="D201" s="2" t="str">
        <x:v>添水</x:v>
      </x:c>
      <x:c r="E201" s="16" t="n">
        <x:f>IF(G201=0,I201,IF(G201=1,H201,G201*H201+(1-G201)*I201))</x:f>
        <x:v>0.38267596</x:v>
      </x:c>
      <x:c r="F201" s="12" t="n">
        <x:v>1492</x:v>
      </x:c>
      <x:c r="G201" s="11" t="n">
        <x:v>0.2004</x:v>
      </x:c>
      <x:c r="H201" s="11" t="n">
        <x:v>0.3746</x:v>
      </x:c>
      <x:c r="I201" s="11" t="n">
        <x:v>0.3847</x:v>
      </x:c>
      <x:c r="J201" s="13" t="n">
        <x:f>IF(OR(G201=0,G201=1),"",(H201-I201)*100)</x:f>
        <x:v>-1.0099999999999998</x:v>
      </x:c>
      <x:c r="K201" s="14" t="n">
        <x:v>13.24</x:v>
      </x:c>
      <x:c r="L201" s="15" t="n">
        <x:f>F201*G201</x:f>
        <x:v>298.9968</x:v>
      </x:c>
      <x:c r="M201" s="15" t="n">
        <x:f>F201-L201</x:f>
        <x:v>1193.0032</x:v>
      </x:c>
      <x:c r="N201" s="17" t="str">
        <x:v>不同幕混合，勿直接解释为纯强度</x:v>
      </x:c>
      <x:c r="O201" s="17" t="str">
        <x:v>https://sts2log.com/cards</x:v>
      </x:c>
      <x:c r="P201" s="17" t="str">
        <x:v>https://op.gg/zh-cn/slay-the-spire2/events/Darv</x:v>
      </x:c>
    </x:row>
    <x:row r="202" ht="42" customHeight="1">
      <x:c r="A202" s="2" t="str">
        <x:v>v0.107</x:v>
      </x:c>
      <x:c r="B202" s="2" t="str">
        <x:v>静默猎手</x:v>
      </x:c>
      <x:c r="C202" s="2" t="str">
        <x:v>达弗</x:v>
      </x:c>
      <x:c r="D202" s="2" t="str">
        <x:v>灵体外质</x:v>
      </x:c>
      <x:c r="E202" s="16" t="n">
        <x:f>IF(G202=0,I202,IF(G202=1,H202,G202*H202+(1-G202)*I202))</x:f>
        <x:v>0.37421994000000003</x:v>
      </x:c>
      <x:c r="F202" s="12" t="n">
        <x:v>1550</x:v>
      </x:c>
      <x:c r="G202" s="11" t="n">
        <x:v>0.1058</x:v>
      </x:c>
      <x:c r="H202" s="11" t="n">
        <x:v>0.311</x:v>
      </x:c>
      <x:c r="I202" s="11" t="n">
        <x:v>0.38170000000000004</x:v>
      </x:c>
      <x:c r="J202" s="13" t="n">
        <x:f>IF(OR(G202=0,G202=1),"",(H202-I202)*100)</x:f>
        <x:v>-7.070000000000004</x:v>
      </x:c>
      <x:c r="K202" s="14" t="n">
        <x:v>6.88</x:v>
      </x:c>
      <x:c r="L202" s="15" t="n">
        <x:f>F202*G202</x:f>
        <x:v>163.99</x:v>
      </x:c>
      <x:c r="M202" s="15" t="n">
        <x:f>F202-L202</x:f>
        <x:v>1386.01</x:v>
      </x:c>
      <x:c r="N202" s="17" t="str">
        <x:v>不同幕混合，勿直接解释为纯强度</x:v>
      </x:c>
      <x:c r="O202" s="17" t="str">
        <x:v>https://sts2log.com/cards</x:v>
      </x:c>
      <x:c r="P202" s="17" t="str">
        <x:v>https://op.gg/zh-cn/slay-the-spire2/events/Darv</x:v>
      </x:c>
    </x:row>
    <x:row r="203" ht="25" customHeight="1">
      <x:c r="A203" s="2" t="str">
        <x:v>v0.107</x:v>
      </x:c>
      <x:c r="B203" s="2" t="str">
        <x:v>故障机器人</x:v>
      </x:c>
      <x:c r="C203" s="2" t="str">
        <x:v>涅奥</x:v>
      </x:c>
      <x:c r="D203" s="2" t="str">
        <x:v>树叶药膏</x:v>
      </x:c>
      <x:c r="E203" s="16" t="n">
        <x:f>IF(G203=0,I203,IF(G203=1,H203,G203*H203+(1-G203)*I203))</x:f>
        <x:v>0.19228958000000002</x:v>
      </x:c>
      <x:c r="F203" s="12" t="n">
        <x:v>7810</x:v>
      </x:c>
      <x:c r="G203" s="11" t="n">
        <x:v>0.6049</x:v>
      </x:c>
      <x:c r="H203" s="11" t="n">
        <x:v>0.1979</x:v>
      </x:c>
      <x:c r="I203" s="11" t="n">
        <x:v>0.1837</x:v>
      </x:c>
      <x:c r="J203" s="13" t="n">
        <x:f>IF(OR(G203=0,G203=1),"",(H203-I203)*100)</x:f>
        <x:v>1.419999999999999</x:v>
      </x:c>
      <x:c r="K203" s="14" t="n">
        <x:v>2.34</x:v>
      </x:c>
      <x:c r="L203" s="15" t="n">
        <x:f>F203*G203</x:f>
        <x:v>4724.269</x:v>
      </x:c>
      <x:c r="M203" s="15" t="n">
        <x:f>F203-L203</x:f>
        <x:v>3085.7309999999998</x:v>
      </x:c>
      <x:c r="N203" s="17" t="str"/>
      <x:c r="O203" s="17" t="str">
        <x:v>https://sts2log.com/cards</x:v>
      </x:c>
      <x:c r="P203" s="17" t="str">
        <x:v>https://slaythespire2.net/ancient/neow</x:v>
      </x:c>
    </x:row>
    <x:row r="204" ht="25" customHeight="1">
      <x:c r="A204" s="2" t="str">
        <x:v>v0.107</x:v>
      </x:c>
      <x:c r="B204" s="2" t="str">
        <x:v>故障机器人</x:v>
      </x:c>
      <x:c r="C204" s="2" t="str">
        <x:v>涅奥</x:v>
      </x:c>
      <x:c r="D204" s="2" t="str">
        <x:v>松动羊毛剪</x:v>
      </x:c>
      <x:c r="E204" s="16" t="n">
        <x:f>IF(G204=0,I204,IF(G204=1,H204,G204*H204+(1-G204)*I204))</x:f>
        <x:v>0.18535100000000002</x:v>
      </x:c>
      <x:c r="F204" s="12" t="n">
        <x:v>7742</x:v>
      </x:c>
      <x:c r="G204" s="11" t="n">
        <x:v>0.3396</x:v>
      </x:c>
      <x:c r="H204" s="11" t="n">
        <x:v>0.1837</x:v>
      </x:c>
      <x:c r="I204" s="11" t="n">
        <x:v>0.1862</x:v>
      </x:c>
      <x:c r="J204" s="13" t="n">
        <x:f>IF(OR(G204=0,G204=1),"",(H204-I204)*100)</x:f>
        <x:v>-0.2500000000000002</x:v>
      </x:c>
      <x:c r="K204" s="14" t="n">
        <x:v>0.92</x:v>
      </x:c>
      <x:c r="L204" s="15" t="n">
        <x:f>F204*G204</x:f>
        <x:v>2629.1832</x:v>
      </x:c>
      <x:c r="M204" s="15" t="n">
        <x:f>F204-L204</x:f>
        <x:v>5112.8168000000005</x:v>
      </x:c>
      <x:c r="N204" s="17" t="str"/>
      <x:c r="O204" s="17" t="str">
        <x:v>https://sts2log.com/cards</x:v>
      </x:c>
      <x:c r="P204" s="17" t="str">
        <x:v>https://slaythespire2.net/ancient/neow</x:v>
      </x:c>
    </x:row>
    <x:row r="205" ht="25" customHeight="1">
      <x:c r="A205" s="2" t="str">
        <x:v>v0.107</x:v>
      </x:c>
      <x:c r="B205" s="2" t="str">
        <x:v>故障机器人</x:v>
      </x:c>
      <x:c r="C205" s="2" t="str">
        <x:v>涅奥</x:v>
      </x:c>
      <x:c r="D205" s="2" t="str">
        <x:v>万花筒</x:v>
      </x:c>
      <x:c r="E205" s="16" t="n">
        <x:f>IF(G205=0,I205,IF(G205=1,H205,G205*H205+(1-G205)*I205))</x:f>
        <x:v>0.1822881</x:v>
      </x:c>
      <x:c r="F205" s="12" t="n">
        <x:v>7658</x:v>
      </x:c>
      <x:c r="G205" s="11" t="n">
        <x:v>0.22260000000000002</x:v>
      </x:c>
      <x:c r="H205" s="11" t="n">
        <x:v>0.1578</x:v>
      </x:c>
      <x:c r="I205" s="11" t="n">
        <x:v>0.1893</x:v>
      </x:c>
      <x:c r="J205" s="13" t="n">
        <x:f>IF(OR(G205=0,G205=1),"",(H205-I205)*100)</x:f>
        <x:v>-3.15</x:v>
      </x:c>
      <x:c r="K205" s="14" t="n">
        <x:v>-1.67</x:v>
      </x:c>
      <x:c r="L205" s="15" t="n">
        <x:f>F205*G205</x:f>
        <x:v>1704.6708</x:v>
      </x:c>
      <x:c r="M205" s="15" t="n">
        <x:f>F205-L205</x:f>
        <x:v>5953.3292</x:v>
      </x:c>
      <x:c r="N205" s="17" t="str"/>
      <x:c r="O205" s="17" t="str">
        <x:v>https://sts2log.com/cards</x:v>
      </x:c>
      <x:c r="P205" s="17" t="str">
        <x:v>https://slaythespire2.net/ancient/neow</x:v>
      </x:c>
    </x:row>
    <x:row r="206" ht="25" customHeight="1">
      <x:c r="A206" s="2" t="str">
        <x:v>v0.107</x:v>
      </x:c>
      <x:c r="B206" s="2" t="str">
        <x:v>故障机器人</x:v>
      </x:c>
      <x:c r="C206" s="2" t="str">
        <x:v>涅奥</x:v>
      </x:c>
      <x:c r="D206" s="2" t="str">
        <x:v>巨大扭蛋</x:v>
      </x:c>
      <x:c r="E206" s="16" t="n">
        <x:f>IF(G206=0,I206,IF(G206=1,H206,G206*H206+(1-G206)*I206))</x:f>
        <x:v>0.18143148</x:v>
      </x:c>
      <x:c r="F206" s="12" t="n">
        <x:v>7320</x:v>
      </x:c>
      <x:c r="G206" s="11" t="n">
        <x:v>0.2874</x:v>
      </x:c>
      <x:c r="H206" s="11" t="n">
        <x:v>0.1887</x:v>
      </x:c>
      <x:c r="I206" s="11" t="n">
        <x:v>0.17850000000000002</x:v>
      </x:c>
      <x:c r="J206" s="13" t="n">
        <x:f>IF(OR(G206=0,G206=1),"",(H206-I206)*100)</x:f>
        <x:v>1.0199999999999987</x:v>
      </x:c>
      <x:c r="K206" s="14" t="n">
        <x:v>1.42</x:v>
      </x:c>
      <x:c r="L206" s="15" t="n">
        <x:f>F206*G206</x:f>
        <x:v>2103.768</x:v>
      </x:c>
      <x:c r="M206" s="15" t="n">
        <x:f>F206-L206</x:f>
        <x:v>5216.232</x:v>
      </x:c>
      <x:c r="N206" s="17" t="str"/>
      <x:c r="O206" s="17" t="str">
        <x:v>https://sts2log.com/cards</x:v>
      </x:c>
      <x:c r="P206" s="17" t="str">
        <x:v>https://slaythespire2.net/ancient/neow</x:v>
      </x:c>
    </x:row>
    <x:row r="207" ht="25" customHeight="1">
      <x:c r="A207" s="2" t="str">
        <x:v>v0.107</x:v>
      </x:c>
      <x:c r="B207" s="2" t="str">
        <x:v>故障机器人</x:v>
      </x:c>
      <x:c r="C207" s="2" t="str">
        <x:v>涅奥</x:v>
      </x:c>
      <x:c r="D207" s="2" t="str">
        <x:v>金色珍珠</x:v>
      </x:c>
      <x:c r="E207" s="16" t="n">
        <x:f>IF(G207=0,I207,IF(G207=1,H207,G207*H207+(1-G207)*I207))</x:f>
        <x:v>0.18032969999999998</x:v>
      </x:c>
      <x:c r="F207" s="12" t="n">
        <x:v>7310</x:v>
      </x:c>
      <x:c r="G207" s="11" t="n">
        <x:v>0.349</x:v>
      </x:c>
      <x:c r="H207" s="11" t="n">
        <x:v>0.1968</x:v>
      </x:c>
      <x:c r="I207" s="11" t="n">
        <x:v>0.17149999999999999</x:v>
      </x:c>
      <x:c r="J207" s="13" t="n">
        <x:f>IF(OR(G207=0,G207=1),"",(H207-I207)*100)</x:f>
        <x:v>2.5300000000000016</x:v>
      </x:c>
      <x:c r="K207" s="14" t="n">
        <x:v>2.23</x:v>
      </x:c>
      <x:c r="L207" s="15" t="n">
        <x:f>F207*G207</x:f>
        <x:v>2551.19</x:v>
      </x:c>
      <x:c r="M207" s="15" t="n">
        <x:f>F207-L207</x:f>
        <x:v>4758.8099999999995</x:v>
      </x:c>
      <x:c r="N207" s="17" t="str"/>
      <x:c r="O207" s="17" t="str">
        <x:v>https://sts2log.com/cards</x:v>
      </x:c>
      <x:c r="P207" s="17" t="str">
        <x:v>https://slaythespire2.net/ancient/neow</x:v>
      </x:c>
    </x:row>
    <x:row r="208" ht="25" customHeight="1">
      <x:c r="A208" s="2" t="str">
        <x:v>v0.107</x:v>
      </x:c>
      <x:c r="B208" s="2" t="str">
        <x:v>故障机器人</x:v>
      </x:c>
      <x:c r="C208" s="2" t="str">
        <x:v>涅奥</x:v>
      </x:c>
      <x:c r="D208" s="2" t="str">
        <x:v>涅奥的苦痛</x:v>
      </x:c>
      <x:c r="E208" s="16" t="n">
        <x:f>IF(G208=0,I208,IF(G208=1,H208,G208*H208+(1-G208)*I208))</x:f>
        <x:v>0.179224</x:v>
      </x:c>
      <x:c r="F208" s="12" t="n">
        <x:v>7927</x:v>
      </x:c>
      <x:c r="G208" s="11" t="n">
        <x:v>0.08349999999999999</x:v>
      </x:c>
      <x:c r="H208" s="11" t="n">
        <x:v>0.31120000000000003</x:v>
      </x:c>
      <x:c r="I208" s="11" t="n">
        <x:v>0.1672</x:v>
      </x:c>
      <x:c r="J208" s="13" t="n">
        <x:f>IF(OR(G208=0,G208=1),"",(H208-I208)*100)</x:f>
        <x:v>14.400000000000004</x:v>
      </x:c>
      <x:c r="K208" s="14" t="n">
        <x:v>13.67</x:v>
      </x:c>
      <x:c r="L208" s="15" t="n">
        <x:f>F208*G208</x:f>
        <x:v>661.9045</x:v>
      </x:c>
      <x:c r="M208" s="15" t="n">
        <x:f>F208-L208</x:f>
        <x:v>7265.0955</x:v>
      </x:c>
      <x:c r="N208" s="17" t="str"/>
      <x:c r="O208" s="17" t="str">
        <x:v>https://sts2log.com/cards</x:v>
      </x:c>
      <x:c r="P208" s="17" t="str">
        <x:v>https://slaythespire2.net/ancient/neow</x:v>
      </x:c>
    </x:row>
    <x:row r="209" ht="25" customHeight="1">
      <x:c r="A209" s="2" t="str">
        <x:v>v0.107</x:v>
      </x:c>
      <x:c r="B209" s="2" t="str">
        <x:v>故障机器人</x:v>
      </x:c>
      <x:c r="C209" s="2" t="str">
        <x:v>涅奥</x:v>
      </x:c>
      <x:c r="D209" s="2" t="str">
        <x:v>涅奥的护符</x:v>
      </x:c>
      <x:c r="E209" s="16" t="n">
        <x:f>IF(G209=0,I209,IF(G209=1,H209,G209*H209+(1-G209)*I209))</x:f>
        <x:v>0.17829385000000003</x:v>
      </x:c>
      <x:c r="F209" s="12" t="n">
        <x:v>4155</x:v>
      </x:c>
      <x:c r="G209" s="11" t="n">
        <x:v>0.0787</x:v>
      </x:c>
      <x:c r="H209" s="11" t="n">
        <x:v>0.21100000000000002</x:v>
      </x:c>
      <x:c r="I209" s="11" t="n">
        <x:v>0.17550000000000002</x:v>
      </x:c>
      <x:c r="J209" s="13" t="n">
        <x:f>IF(OR(G209=0,G209=1),"",(H209-I209)*100)</x:f>
        <x:v>3.5500000000000003</x:v>
      </x:c>
      <x:c r="K209" s="14" t="n">
        <x:v>3.65</x:v>
      </x:c>
      <x:c r="L209" s="15" t="n">
        <x:f>F209*G209</x:f>
        <x:v>326.99850000000004</x:v>
      </x:c>
      <x:c r="M209" s="15" t="n">
        <x:f>F209-L209</x:f>
        <x:v>3828.0015</x:v>
      </x:c>
      <x:c r="N209" s="17" t="str"/>
      <x:c r="O209" s="17" t="str">
        <x:v>https://sts2log.com/cards</x:v>
      </x:c>
      <x:c r="P209" s="17" t="str">
        <x:v>https://slaythespire2.net/ancient/neow</x:v>
      </x:c>
    </x:row>
    <x:row r="210" ht="25" customHeight="1">
      <x:c r="A210" s="2" t="str">
        <x:v>v0.107</x:v>
      </x:c>
      <x:c r="B210" s="2" t="str">
        <x:v>故障机器人</x:v>
      </x:c>
      <x:c r="C210" s="2" t="str">
        <x:v>涅奥</x:v>
      </x:c>
      <x:c r="D210" s="2" t="str">
        <x:v>橙型香盒</x:v>
      </x:c>
      <x:c r="E210" s="16" t="n">
        <x:f>IF(G210=0,I210,IF(G210=1,H210,G210*H210+(1-G210)*I210))</x:f>
        <x:v>0.17750918999999998</x:v>
      </x:c>
      <x:c r="F210" s="12" t="n">
        <x:v>4231</x:v>
      </x:c>
      <x:c r="G210" s="11" t="n">
        <x:v>0.2531</x:v>
      </x:c>
      <x:c r="H210" s="11" t="n">
        <x:v>0.17370000000000002</x:v>
      </x:c>
      <x:c r="I210" s="11" t="n">
        <x:v>0.1788</x:v>
      </x:c>
      <x:c r="J210" s="13" t="n">
        <x:f>IF(OR(G210=0,G210=1),"",(H210-I210)*100)</x:f>
        <x:v>-0.5099999999999966</x:v>
      </x:c>
      <x:c r="K210" s="14" t="n">
        <x:v>-0.08</x:v>
      </x:c>
      <x:c r="L210" s="15" t="n">
        <x:f>F210*G210</x:f>
        <x:v>1070.8661</x:v>
      </x:c>
      <x:c r="M210" s="15" t="n">
        <x:f>F210-L210</x:f>
        <x:v>3160.1339</x:v>
      </x:c>
      <x:c r="N210" s="17" t="str"/>
      <x:c r="O210" s="17" t="str">
        <x:v>https://sts2log.com/cards</x:v>
      </x:c>
      <x:c r="P210" s="17" t="str">
        <x:v>https://slaythespire2.net/ancient/neow</x:v>
      </x:c>
    </x:row>
    <x:row r="211" ht="25" customHeight="1">
      <x:c r="A211" s="2" t="str">
        <x:v>v0.107</x:v>
      </x:c>
      <x:c r="B211" s="2" t="str">
        <x:v>故障机器人</x:v>
      </x:c>
      <x:c r="C211" s="2" t="str">
        <x:v>涅奥</x:v>
      </x:c>
      <x:c r="D211" s="2" t="str">
        <x:v>失物盒</x:v>
      </x:c>
      <x:c r="E211" s="16" t="n">
        <x:f>IF(G211=0,I211,IF(G211=1,H211,G211*H211+(1-G211)*I211))</x:f>
        <x:v>0.17576329000000002</x:v>
      </x:c>
      <x:c r="F211" s="12" t="n">
        <x:v>8130</x:v>
      </x:c>
      <x:c r="G211" s="11" t="n">
        <x:v>0.2039</x:v>
      </x:c>
      <x:c r="H211" s="11" t="n">
        <x:v>0.18460000000000001</x:v>
      </x:c>
      <x:c r="I211" s="11" t="n">
        <x:v>0.17350000000000002</x:v>
      </x:c>
      <x:c r="J211" s="13" t="n">
        <x:f>IF(OR(G211=0,G211=1),"",(H211-I211)*100)</x:f>
        <x:v>1.1099999999999999</x:v>
      </x:c>
      <x:c r="K211" s="14" t="n">
        <x:v>1.01</x:v>
      </x:c>
      <x:c r="L211" s="15" t="n">
        <x:f>F211*G211</x:f>
        <x:v>1657.7069999999999</x:v>
      </x:c>
      <x:c r="M211" s="15" t="n">
        <x:f>F211-L211</x:f>
        <x:v>6472.293</x:v>
      </x:c>
      <x:c r="N211" s="17" t="str"/>
      <x:c r="O211" s="17" t="str">
        <x:v>https://sts2log.com/cards</x:v>
      </x:c>
      <x:c r="P211" s="17" t="str">
        <x:v>https://slaythespire2.net/ancient/neow</x:v>
      </x:c>
    </x:row>
    <x:row r="212" ht="25" customHeight="1">
      <x:c r="A212" s="2" t="str">
        <x:v>v0.107</x:v>
      </x:c>
      <x:c r="B212" s="2" t="str">
        <x:v>故障机器人</x:v>
      </x:c>
      <x:c r="C212" s="2" t="str">
        <x:v>涅奥</x:v>
      </x:c>
      <x:c r="D212" s="2" t="str">
        <x:v>铅制镇纸</x:v>
      </x:c>
      <x:c r="E212" s="16" t="n">
        <x:f>IF(G212=0,I212,IF(G212=1,H212,G212*H212+(1-G212)*I212))</x:f>
        <x:v>0.17562397999999999</x:v>
      </x:c>
      <x:c r="F212" s="12" t="n">
        <x:v>8152</x:v>
      </x:c>
      <x:c r="G212" s="11" t="n">
        <x:v>0.27390000000000003</x:v>
      </x:c>
      <x:c r="H212" s="11" t="n">
        <x:v>0.1961</x:v>
      </x:c>
      <x:c r="I212" s="11" t="n">
        <x:v>0.1679</x:v>
      </x:c>
      <x:c r="J212" s="13" t="n">
        <x:f>IF(OR(G212=0,G212=1),"",(H212-I212)*100)</x:f>
        <x:v>2.8200000000000003</x:v>
      </x:c>
      <x:c r="K212" s="14" t="n">
        <x:v>2.16</x:v>
      </x:c>
      <x:c r="L212" s="15" t="n">
        <x:f>F212*G212</x:f>
        <x:v>2232.8328</x:v>
      </x:c>
      <x:c r="M212" s="15" t="n">
        <x:f>F212-L212</x:f>
        <x:v>5919.1672</x:v>
      </x:c>
      <x:c r="N212" s="17" t="str"/>
      <x:c r="O212" s="17" t="str">
        <x:v>https://sts2log.com/cards</x:v>
      </x:c>
      <x:c r="P212" s="17" t="str">
        <x:v>https://slaythespire2.net/ancient/neow</x:v>
      </x:c>
    </x:row>
    <x:row r="213" ht="25" customHeight="1">
      <x:c r="A213" s="2" t="str">
        <x:v>v0.107</x:v>
      </x:c>
      <x:c r="B213" s="2" t="str">
        <x:v>故障机器人</x:v>
      </x:c>
      <x:c r="C213" s="2" t="str">
        <x:v>涅奥</x:v>
      </x:c>
      <x:c r="D213" s="2" t="str">
        <x:v>轰鸣海螺</x:v>
      </x:c>
      <x:c r="E213" s="16" t="n">
        <x:f>IF(G213=0,I213,IF(G213=1,H213,G213*H213+(1-G213)*I213))</x:f>
        <x:v>0.17509004</x:v>
      </x:c>
      <x:c r="F213" s="12" t="n">
        <x:v>8323</x:v>
      </x:c>
      <x:c r="G213" s="11" t="n">
        <x:v>0.11470000000000001</x:v>
      </x:c>
      <x:c r="H213" s="11" t="n">
        <x:v>0.2576</x:v>
      </x:c>
      <x:c r="I213" s="11" t="n">
        <x:v>0.16440000000000002</x:v>
      </x:c>
      <x:c r="J213" s="13" t="n">
        <x:f>IF(OR(G213=0,G213=1),"",(H213-I213)*100)</x:f>
        <x:v>9.319999999999999</x:v>
      </x:c>
      <x:c r="K213" s="14" t="n">
        <x:v>8.31</x:v>
      </x:c>
      <x:c r="L213" s="15" t="n">
        <x:f>F213*G213</x:f>
        <x:v>954.6481000000001</x:v>
      </x:c>
      <x:c r="M213" s="15" t="n">
        <x:f>F213-L213</x:f>
        <x:v>7368.3519</x:v>
      </x:c>
      <x:c r="N213" s="17" t="str"/>
      <x:c r="O213" s="17" t="str">
        <x:v>https://sts2log.com/cards</x:v>
      </x:c>
      <x:c r="P213" s="17" t="str">
        <x:v>https://slaythespire2.net/ancient/neow</x:v>
      </x:c>
    </x:row>
    <x:row r="214" ht="25" customHeight="1">
      <x:c r="A214" s="2" t="str">
        <x:v>v0.107</x:v>
      </x:c>
      <x:c r="B214" s="2" t="str">
        <x:v>故障机器人</x:v>
      </x:c>
      <x:c r="C214" s="2" t="str">
        <x:v>涅奥</x:v>
      </x:c>
      <x:c r="D214" s="2" t="str">
        <x:v>卷轴箱</x:v>
      </x:c>
      <x:c r="E214" s="16" t="n">
        <x:f>IF(G214=0,I214,IF(G214=1,H214,G214*H214+(1-G214)*I214))</x:f>
        <x:v>0.1744536</x:v>
      </x:c>
      <x:c r="F214" s="12" t="n">
        <x:v>8190</x:v>
      </x:c>
      <x:c r="G214" s="11" t="n">
        <x:v>0.344</x:v>
      </x:c>
      <x:c r="H214" s="11" t="n">
        <x:v>0.1757</x:v>
      </x:c>
      <x:c r="I214" s="11" t="n">
        <x:v>0.17379999999999998</x:v>
      </x:c>
      <x:c r="J214" s="13" t="n">
        <x:f>IF(OR(G214=0,G214=1),"",(H214-I214)*100)</x:f>
        <x:v>0.19000000000000128</x:v>
      </x:c>
      <x:c r="K214" s="14" t="n">
        <x:v>0.12</x:v>
      </x:c>
      <x:c r="L214" s="15" t="n">
        <x:f>F214*G214</x:f>
        <x:v>2817.3599999999997</x:v>
      </x:c>
      <x:c r="M214" s="15" t="n">
        <x:f>F214-L214</x:f>
        <x:v>5372.64</x:v>
      </x:c>
      <x:c r="N214" s="17" t="str"/>
      <x:c r="O214" s="17" t="str">
        <x:v>https://sts2log.com/cards</x:v>
      </x:c>
      <x:c r="P214" s="17" t="str">
        <x:v>https://slaythespire2.net/ancient/neow</x:v>
      </x:c>
    </x:row>
    <x:row r="215" ht="25" customHeight="1">
      <x:c r="A215" s="2" t="str">
        <x:v>v0.107</x:v>
      </x:c>
      <x:c r="B215" s="2" t="str">
        <x:v>故障机器人</x:v>
      </x:c>
      <x:c r="C215" s="2" t="str">
        <x:v>涅奥</x:v>
      </x:c>
      <x:c r="D215" s="2" t="str">
        <x:v>石炉加湿器</x:v>
      </x:c>
      <x:c r="E215" s="16" t="n">
        <x:f>IF(G215=0,I215,IF(G215=1,H215,G215*H215+(1-G215)*I215))</x:f>
        <x:v>0.17376589999999997</x:v>
      </x:c>
      <x:c r="F215" s="12" t="n">
        <x:v>4143</x:v>
      </x:c>
      <x:c r="G215" s="11" t="n">
        <x:v>0.10310000000000001</x:v>
      </x:c>
      <x:c r="H215" s="11" t="n">
        <x:v>0.16390000000000002</x:v>
      </x:c>
      <x:c r="I215" s="11" t="n">
        <x:v>0.17489999999999997</x:v>
      </x:c>
      <x:c r="J215" s="13" t="n">
        <x:f>IF(OR(G215=0,G215=1),"",(H215-I215)*100)</x:f>
        <x:v>-1.0999999999999954</x:v>
      </x:c>
      <x:c r="K215" s="14" t="n">
        <x:v>-1.06</x:v>
      </x:c>
      <x:c r="L215" s="15" t="n">
        <x:f>F215*G215</x:f>
        <x:v>427.14330000000007</x:v>
      </x:c>
      <x:c r="M215" s="15" t="n">
        <x:f>F215-L215</x:f>
        <x:v>3715.8567</x:v>
      </x:c>
      <x:c r="N215" s="17" t="str"/>
      <x:c r="O215" s="17" t="str">
        <x:v>https://sts2log.com/cards</x:v>
      </x:c>
      <x:c r="P215" s="17" t="str">
        <x:v>https://slaythespire2.net/ancient/neow</x:v>
      </x:c>
    </x:row>
    <x:row r="216" ht="25" customHeight="1">
      <x:c r="A216" s="2" t="str">
        <x:v>v0.107</x:v>
      </x:c>
      <x:c r="B216" s="2" t="str">
        <x:v>故障机器人</x:v>
      </x:c>
      <x:c r="C216" s="2" t="str">
        <x:v>涅奥</x:v>
      </x:c>
      <x:c r="D216" s="2" t="str">
        <x:v>奥术卷轴</x:v>
      </x:c>
      <x:c r="E216" s="16" t="n">
        <x:f>IF(G216=0,I216,IF(G216=1,H216,G216*H216+(1-G216)*I216))</x:f>
        <x:v>0.17375838999999998</x:v>
      </x:c>
      <x:c r="F216" s="12" t="n">
        <x:v>7201</x:v>
      </x:c>
      <x:c r="G216" s="11" t="n">
        <x:v>0.4851</x:v>
      </x:c>
      <x:c r="H216" s="11" t="n">
        <x:v>0.132</x:v>
      </x:c>
      <x:c r="I216" s="11" t="n">
        <x:v>0.21309999999999998</x:v>
      </x:c>
      <x:c r="J216" s="13" t="n">
        <x:f>IF(OR(G216=0,G216=1),"",(H216-I216)*100)</x:f>
        <x:v>-8.109999999999998</x:v>
      </x:c>
      <x:c r="K216" s="14" t="n">
        <x:v>-4.25</x:v>
      </x:c>
      <x:c r="L216" s="15" t="n">
        <x:f>F216*G216</x:f>
        <x:v>3493.2050999999997</x:v>
      </x:c>
      <x:c r="M216" s="15" t="n">
        <x:f>F216-L216</x:f>
        <x:v>3707.7949000000003</x:v>
      </x:c>
      <x:c r="N216" s="17" t="str"/>
      <x:c r="O216" s="17" t="str">
        <x:v>https://sts2log.com/cards</x:v>
      </x:c>
      <x:c r="P216" s="17" t="str">
        <x:v>https://slaythespire2.net/ancient/neow</x:v>
      </x:c>
    </x:row>
    <x:row r="217" ht="25" customHeight="1">
      <x:c r="A217" s="2" t="str">
        <x:v>v0.107</x:v>
      </x:c>
      <x:c r="B217" s="2" t="str">
        <x:v>故障机器人</x:v>
      </x:c>
      <x:c r="C217" s="2" t="str">
        <x:v>涅奥</x:v>
      </x:c>
      <x:c r="D217" s="2" t="str">
        <x:v>诅咒珍珠</x:v>
      </x:c>
      <x:c r="E217" s="16" t="n">
        <x:f>IF(G217=0,I217,IF(G217=1,H217,G217*H217+(1-G217)*I217))</x:f>
        <x:v>0.1735128</x:v>
      </x:c>
      <x:c r="F217" s="12" t="n">
        <x:v>7931</x:v>
      </x:c>
      <x:c r="G217" s="11" t="n">
        <x:v>0.5015999999999999</x:v>
      </x:c>
      <x:c r="H217" s="11" t="n">
        <x:v>0.1775</x:v>
      </x:c>
      <x:c r="I217" s="11" t="n">
        <x:v>0.16949999999999998</x:v>
      </x:c>
      <x:c r="J217" s="13" t="n">
        <x:f>IF(OR(G217=0,G217=1),"",(H217-I217)*100)</x:f>
        <x:v>0.8000000000000007</x:v>
      </x:c>
      <x:c r="K217" s="14" t="n">
        <x:v>0.3</x:v>
      </x:c>
      <x:c r="L217" s="15" t="n">
        <x:f>F217*G217</x:f>
        <x:v>3978.1895999999997</x:v>
      </x:c>
      <x:c r="M217" s="15" t="n">
        <x:f>F217-L217</x:f>
        <x:v>3952.8104000000003</x:v>
      </x:c>
      <x:c r="N217" s="17" t="str"/>
      <x:c r="O217" s="17" t="str">
        <x:v>https://sts2log.com/cards</x:v>
      </x:c>
      <x:c r="P217" s="17" t="str">
        <x:v>https://slaythespire2.net/ancient/neow</x:v>
      </x:c>
    </x:row>
    <x:row r="218" ht="25" customHeight="1">
      <x:c r="A218" s="2" t="str">
        <x:v>v0.107</x:v>
      </x:c>
      <x:c r="B218" s="2" t="str">
        <x:v>故障机器人</x:v>
      </x:c>
      <x:c r="C218" s="2" t="str">
        <x:v>涅奥</x:v>
      </x:c>
      <x:c r="D218" s="2" t="str">
        <x:v>小型扭蛋</x:v>
      </x:c>
      <x:c r="E218" s="16" t="n">
        <x:f>IF(G218=0,I218,IF(G218=1,H218,G218*H218+(1-G218)*I218))</x:f>
        <x:v>0.17337487999999998</x:v>
      </x:c>
      <x:c r="F218" s="12" t="n">
        <x:v>3627</x:v>
      </x:c>
      <x:c r="G218" s="11" t="n">
        <x:v>0.2572</x:v>
      </x:c>
      <x:c r="H218" s="11" t="n">
        <x:v>0.18109999999999998</x:v>
      </x:c>
      <x:c r="I218" s="11" t="n">
        <x:v>0.1707</x:v>
      </x:c>
      <x:c r="J218" s="13" t="n">
        <x:f>IF(OR(G218=0,G218=1),"",(H218-I218)*100)</x:f>
        <x:v>1.0399999999999991</x:v>
      </x:c>
      <x:c r="K218" s="14" t="n">
        <x:v>0.66</x:v>
      </x:c>
      <x:c r="L218" s="15" t="n">
        <x:f>F218*G218</x:f>
        <x:v>932.8643999999999</x:v>
      </x:c>
      <x:c r="M218" s="15" t="n">
        <x:f>F218-L218</x:f>
        <x:v>2694.1356</x:v>
      </x:c>
      <x:c r="N218" s="17" t="str"/>
      <x:c r="O218" s="17" t="str">
        <x:v>https://sts2log.com/cards</x:v>
      </x:c>
      <x:c r="P218" s="17" t="str">
        <x:v>https://slaythespire2.net/ancient/neow</x:v>
      </x:c>
    </x:row>
    <x:row r="219" ht="25" customHeight="1">
      <x:c r="A219" s="2" t="str">
        <x:v>v0.107</x:v>
      </x:c>
      <x:c r="B219" s="2" t="str">
        <x:v>故障机器人</x:v>
      </x:c>
      <x:c r="C219" s="2" t="str">
        <x:v>涅奥</x:v>
      </x:c>
      <x:c r="D219" s="2" t="str">
        <x:v>羽翼之靴</x:v>
      </x:c>
      <x:c r="E219" s="16" t="n">
        <x:f>IF(G219=0,I219,IF(G219=1,H219,G219*H219+(1-G219)*I219))</x:f>
        <x:v>0.17324855</x:v>
      </x:c>
      <x:c r="F219" s="12" t="n">
        <x:v>8172</x:v>
      </x:c>
      <x:c r="G219" s="11" t="n">
        <x:v>0.2577</x:v>
      </x:c>
      <x:c r="H219" s="11" t="n">
        <x:v>0.2189</x:v>
      </x:c>
      <x:c r="I219" s="11" t="n">
        <x:v>0.1574</x:v>
      </x:c>
      <x:c r="J219" s="13" t="n">
        <x:f>IF(OR(G219=0,G219=1),"",(H219-I219)*100)</x:f>
        <x:v>6.15</x:v>
      </x:c>
      <x:c r="K219" s="14" t="n">
        <x:v>4.44</x:v>
      </x:c>
      <x:c r="L219" s="15" t="n">
        <x:f>F219*G219</x:f>
        <x:v>2105.9244</x:v>
      </x:c>
      <x:c r="M219" s="15" t="n">
        <x:f>F219-L219</x:f>
        <x:v>6066.0756</x:v>
      </x:c>
      <x:c r="N219" s="17" t="str"/>
      <x:c r="O219" s="17" t="str">
        <x:v>https://sts2log.com/cards</x:v>
      </x:c>
      <x:c r="P219" s="17" t="str">
        <x:v>https://slaythespire2.net/ancient/neow</x:v>
      </x:c>
    </x:row>
    <x:row r="220" ht="25" customHeight="1">
      <x:c r="A220" s="2" t="str">
        <x:v>v0.107</x:v>
      </x:c>
      <x:c r="B220" s="2" t="str">
        <x:v>故障机器人</x:v>
      </x:c>
      <x:c r="C220" s="2" t="str">
        <x:v>涅奥</x:v>
      </x:c>
      <x:c r="D220" s="2" t="str">
        <x:v>新叶</x:v>
      </x:c>
      <x:c r="E220" s="16" t="n">
        <x:f>IF(G220=0,I220,IF(G220=1,H220,G220*H220+(1-G220)*I220))</x:f>
        <x:v>0.1719501</x:v>
      </x:c>
      <x:c r="F220" s="12" t="n">
        <x:v>7287</x:v>
      </x:c>
      <x:c r="G220" s="11" t="n">
        <x:v>0.389</x:v>
      </x:c>
      <x:c r="H220" s="11" t="n">
        <x:v>0.1725</x:v>
      </x:c>
      <x:c r="I220" s="11" t="n">
        <x:v>0.1716</x:v>
      </x:c>
      <x:c r="J220" s="13" t="n">
        <x:f>IF(OR(G220=0,G220=1),"",(H220-I220)*100)</x:f>
        <x:v>0.08999999999999841</x:v>
      </x:c>
      <x:c r="K220" s="14" t="n">
        <x:v>-0.2</x:v>
      </x:c>
      <x:c r="L220" s="15" t="n">
        <x:f>F220*G220</x:f>
        <x:v>2834.643</x:v>
      </x:c>
      <x:c r="M220" s="15" t="n">
        <x:f>F220-L220</x:f>
        <x:v>4452.357</x:v>
      </x:c>
      <x:c r="N220" s="17" t="str"/>
      <x:c r="O220" s="17" t="str">
        <x:v>https://sts2log.com/cards</x:v>
      </x:c>
      <x:c r="P220" s="17" t="str">
        <x:v>https://slaythespire2.net/ancient/neow</x:v>
      </x:c>
    </x:row>
    <x:row r="221" ht="25" customHeight="1">
      <x:c r="A221" s="2" t="str">
        <x:v>v0.107</x:v>
      </x:c>
      <x:c r="B221" s="2" t="str">
        <x:v>故障机器人</x:v>
      </x:c>
      <x:c r="C221" s="2" t="str">
        <x:v>涅奥</x:v>
      </x:c>
      <x:c r="D221" s="2" t="str">
        <x:v>药瓶皮套</x:v>
      </x:c>
      <x:c r="E221" s="16" t="n">
        <x:f>IF(G221=0,I221,IF(G221=1,H221,G221*H221+(1-G221)*I221))</x:f>
        <x:v>0.17138478000000001</x:v>
      </x:c>
      <x:c r="F221" s="12" t="n">
        <x:v>8139</x:v>
      </x:c>
      <x:c r="G221" s="11" t="n">
        <x:v>0.17980000000000002</x:v>
      </x:c>
      <x:c r="H221" s="11" t="n">
        <x:v>0.2256</x:v>
      </x:c>
      <x:c r="I221" s="11" t="n">
        <x:v>0.1595</x:v>
      </x:c>
      <x:c r="J221" s="13" t="n">
        <x:f>IF(OR(G221=0,G221=1),"",(H221-I221)*100)</x:f>
        <x:v>6.609999999999999</x:v>
      </x:c>
      <x:c r="K221" s="14" t="n">
        <x:v>5.11</x:v>
      </x:c>
      <x:c r="L221" s="15" t="n">
        <x:f>F221*G221</x:f>
        <x:v>1463.3922000000002</x:v>
      </x:c>
      <x:c r="M221" s="15" t="n">
        <x:f>F221-L221</x:f>
        <x:v>6675.6078</x:v>
      </x:c>
      <x:c r="N221" s="17" t="str"/>
      <x:c r="O221" s="17" t="str">
        <x:v>https://sts2log.com/cards</x:v>
      </x:c>
      <x:c r="P221" s="17" t="str">
        <x:v>https://slaythespire2.net/ancient/neow</x:v>
      </x:c>
    </x:row>
    <x:row r="222" ht="25" customHeight="1">
      <x:c r="A222" s="2" t="str">
        <x:v>v0.107</x:v>
      </x:c>
      <x:c r="B222" s="2" t="str">
        <x:v>故障机器人</x:v>
      </x:c>
      <x:c r="C222" s="2" t="str">
        <x:v>涅奥</x:v>
      </x:c>
      <x:c r="D222" s="2" t="str">
        <x:v>白银熔炉</x:v>
      </x:c>
      <x:c r="E222" s="16" t="n">
        <x:f>IF(G222=0,I222,IF(G222=1,H222,G222*H222+(1-G222)*I222))</x:f>
        <x:v>0.17089458</x:v>
      </x:c>
      <x:c r="F222" s="12" t="n">
        <x:v>8508</x:v>
      </x:c>
      <x:c r="G222" s="11" t="n">
        <x:v>0.7043</x:v>
      </x:c>
      <x:c r="H222" s="11" t="n">
        <x:v>0.18289999999999998</x:v>
      </x:c>
      <x:c r="I222" s="11" t="n">
        <x:v>0.1423</x:v>
      </x:c>
      <x:c r="J222" s="13" t="n">
        <x:f>IF(OR(G222=0,G222=1),"",(H222-I222)*100)</x:f>
        <x:v>4.059999999999997</x:v>
      </x:c>
      <x:c r="K222" s="14" t="n">
        <x:v>0.84</x:v>
      </x:c>
      <x:c r="L222" s="15" t="n">
        <x:f>F222*G222</x:f>
        <x:v>5992.1844</x:v>
      </x:c>
      <x:c r="M222" s="15" t="n">
        <x:f>F222-L222</x:f>
        <x:v>2515.8156</x:v>
      </x:c>
      <x:c r="N222" s="17" t="str"/>
      <x:c r="O222" s="17" t="str">
        <x:v>https://sts2log.com/cards</x:v>
      </x:c>
      <x:c r="P222" s="17" t="str">
        <x:v>https://slaythespire2.net/ancient/neow</x:v>
      </x:c>
    </x:row>
    <x:row r="223" ht="25" customHeight="1">
      <x:c r="A223" s="2" t="str">
        <x:v>v0.107</x:v>
      </x:c>
      <x:c r="B223" s="2" t="str">
        <x:v>故障机器人</x:v>
      </x:c>
      <x:c r="C223" s="2" t="str">
        <x:v>涅奥</x:v>
      </x:c>
      <x:c r="D223" s="2" t="str">
        <x:v>营养牡蛎</x:v>
      </x:c>
      <x:c r="E223" s="16" t="n">
        <x:f>IF(G223=0,I223,IF(G223=1,H223,G223*H223+(1-G223)*I223))</x:f>
        <x:v>0.17088937999999998</x:v>
      </x:c>
      <x:c r="F223" s="12" t="n">
        <x:v>4113</x:v>
      </x:c>
      <x:c r="G223" s="11" t="n">
        <x:v>0.0814</x:v>
      </x:c>
      <x:c r="H223" s="11" t="n">
        <x:v>0.14029999999999998</x:v>
      </x:c>
      <x:c r="I223" s="11" t="n">
        <x:v>0.1736</x:v>
      </x:c>
      <x:c r="J223" s="13" t="n">
        <x:f>IF(OR(G223=0,G223=1),"",(H223-I223)*100)</x:f>
        <x:v>-3.3300000000000023</x:v>
      </x:c>
      <x:c r="K223" s="14" t="n">
        <x:v>-3.42</x:v>
      </x:c>
      <x:c r="L223" s="15" t="n">
        <x:f>F223*G223</x:f>
        <x:v>334.7982</x:v>
      </x:c>
      <x:c r="M223" s="15" t="n">
        <x:f>F223-L223</x:f>
        <x:v>3778.2018</x:v>
      </x:c>
      <x:c r="N223" s="17" t="str"/>
      <x:c r="O223" s="17" t="str">
        <x:v>https://sts2log.com/cards</x:v>
      </x:c>
      <x:c r="P223" s="17" t="str">
        <x:v>https://slaythespire2.net/ancient/neow</x:v>
      </x:c>
    </x:row>
    <x:row r="224" ht="25" customHeight="1">
      <x:c r="A224" s="2" t="str">
        <x:v>v0.107</x:v>
      </x:c>
      <x:c r="B224" s="2" t="str">
        <x:v>故障机器人</x:v>
      </x:c>
      <x:c r="C224" s="2" t="str">
        <x:v>涅奥</x:v>
      </x:c>
      <x:c r="D224" s="2" t="str">
        <x:v>华美发束</x:v>
      </x:c>
      <x:c r="E224" s="16" t="n">
        <x:f>IF(G224=0,I224,IF(G224=1,H224,G224*H224+(1-G224)*I224))</x:f>
        <x:v>0.1697052</x:v>
      </x:c>
      <x:c r="F224" s="12" t="n">
        <x:v>8490</x:v>
      </x:c>
      <x:c r="G224" s="11" t="n">
        <x:v>0.738</x:v>
      </x:c>
      <x:c r="H224" s="11" t="n">
        <x:v>0.1685</x:v>
      </x:c>
      <x:c r="I224" s="11" t="n">
        <x:v>0.17309999999999998</x:v>
      </x:c>
      <x:c r="J224" s="13" t="n">
        <x:f>IF(OR(G224=0,G224=1),"",(H224-I224)*100)</x:f>
        <x:v>-0.4599999999999965</x:v>
      </x:c>
      <x:c r="K224" s="14" t="n">
        <x:v>-0.6</x:v>
      </x:c>
      <x:c r="L224" s="15" t="n">
        <x:f>F224*G224</x:f>
        <x:v>6265.62</x:v>
      </x:c>
      <x:c r="M224" s="15" t="n">
        <x:f>F224-L224</x:f>
        <x:v>2224.38</x:v>
      </x:c>
      <x:c r="N224" s="17" t="str"/>
      <x:c r="O224" s="17" t="str">
        <x:v>https://sts2log.com/cards</x:v>
      </x:c>
      <x:c r="P224" s="17" t="str">
        <x:v>https://slaythespire2.net/ancient/neow</x:v>
      </x:c>
    </x:row>
    <x:row r="225" ht="25" customHeight="1">
      <x:c r="A225" s="2" t="str">
        <x:v>v0.107</x:v>
      </x:c>
      <x:c r="B225" s="2" t="str">
        <x:v>故障机器人</x:v>
      </x:c>
      <x:c r="C225" s="2" t="str">
        <x:v>涅奥</x:v>
      </x:c>
      <x:c r="D225" s="2" t="str">
        <x:v>涅奥骨骰</x:v>
      </x:c>
      <x:c r="E225" s="16" t="n">
        <x:f>IF(G225=0,I225,IF(G225=1,H225,G225*H225+(1-G225)*I225))</x:f>
        <x:v>0.16930345000000002</x:v>
      </x:c>
      <x:c r="F225" s="12" t="n">
        <x:v>7373</x:v>
      </x:c>
      <x:c r="G225" s="11" t="n">
        <x:v>0.49689999999999995</x:v>
      </x:c>
      <x:c r="H225" s="11" t="n">
        <x:v>0.1444</x:v>
      </x:c>
      <x:c r="I225" s="11" t="n">
        <x:v>0.19390000000000002</x:v>
      </x:c>
      <x:c r="J225" s="13" t="n">
        <x:f>IF(OR(G225=0,G225=1),"",(H225-I225)*100)</x:f>
        <x:v>-4.950000000000002</x:v>
      </x:c>
      <x:c r="K225" s="14" t="n">
        <x:v>-3.01</x:v>
      </x:c>
      <x:c r="L225" s="15" t="n">
        <x:f>F225*G225</x:f>
        <x:v>3663.6436999999996</x:v>
      </x:c>
      <x:c r="M225" s="15" t="n">
        <x:f>F225-L225</x:f>
        <x:v>3709.3563000000004</x:v>
      </x:c>
      <x:c r="N225" s="17" t="str"/>
      <x:c r="O225" s="17" t="str">
        <x:v>https://sts2log.com/cards</x:v>
      </x:c>
      <x:c r="P225" s="17" t="str">
        <x:v>https://slaythespire2.net/ancient/neow</x:v>
      </x:c>
    </x:row>
    <x:row r="226" ht="25" customHeight="1">
      <x:c r="A226" s="2" t="str">
        <x:v>v0.107</x:v>
      </x:c>
      <x:c r="B226" s="2" t="str">
        <x:v>故障机器人</x:v>
      </x:c>
      <x:c r="C226" s="2" t="str">
        <x:v>涅奥</x:v>
      </x:c>
      <x:c r="D226" s="2" t="str">
        <x:v>熔岩石</x:v>
      </x:c>
      <x:c r="E226" s="16" t="n">
        <x:f>IF(G226=0,I226,IF(G226=1,H226,G226*H226+(1-G226)*I226))</x:f>
        <x:v>0.16892359999999998</x:v>
      </x:c>
      <x:c r="F226" s="12" t="n">
        <x:v>3646</x:v>
      </x:c>
      <x:c r="G226" s="11" t="n">
        <x:v>0.107</x:v>
      </x:c>
      <x:c r="H226" s="11" t="n">
        <x:v>0.2</x:v>
      </x:c>
      <x:c r="I226" s="11" t="n">
        <x:v>0.16519999999999999</x:v>
      </x:c>
      <x:c r="J226" s="13" t="n">
        <x:f>IF(OR(G226=0,G226=1),"",(H226-I226)*100)</x:f>
        <x:v>3.4800000000000026</x:v>
      </x:c>
      <x:c r="K226" s="14" t="n">
        <x:v>2.55</x:v>
      </x:c>
      <x:c r="L226" s="15" t="n">
        <x:f>F226*G226</x:f>
        <x:v>390.122</x:v>
      </x:c>
      <x:c r="M226" s="15" t="n">
        <x:f>F226-L226</x:f>
        <x:v>3255.878</x:v>
      </x:c>
      <x:c r="N226" s="17" t="str"/>
      <x:c r="O226" s="17" t="str">
        <x:v>https://sts2log.com/cards</x:v>
      </x:c>
      <x:c r="P226" s="17" t="str">
        <x:v>https://slaythespire2.net/ancient/neow</x:v>
      </x:c>
    </x:row>
    <x:row r="227" ht="25" customHeight="1">
      <x:c r="A227" s="2" t="str">
        <x:v>v0.107</x:v>
      </x:c>
      <x:c r="B227" s="2" t="str">
        <x:v>故障机器人</x:v>
      </x:c>
      <x:c r="C227" s="2" t="str">
        <x:v>涅奥</x:v>
      </x:c>
      <x:c r="D227" s="2" t="str">
        <x:v>钓鱼竿</x:v>
      </x:c>
      <x:c r="E227" s="16" t="n">
        <x:f>IF(G227=0,I227,IF(G227=1,H227,G227*H227+(1-G227)*I227))</x:f>
        <x:v>0.16863519999999999</x:v>
      </x:c>
      <x:c r="F227" s="12" t="n">
        <x:v>8426</x:v>
      </x:c>
      <x:c r="G227" s="11" t="n">
        <x:v>0.22769999999999999</x:v>
      </x:c>
      <x:c r="H227" s="11" t="n">
        <x:v>0.1501</x:v>
      </x:c>
      <x:c r="I227" s="11" t="n">
        <x:v>0.1741</x:v>
      </x:c>
      <x:c r="J227" s="13" t="n">
        <x:f>IF(OR(G227=0,G227=1),"",(H227-I227)*100)</x:f>
        <x:v>-2.3999999999999995</x:v>
      </x:c>
      <x:c r="K227" s="14" t="n">
        <x:v>-2.44</x:v>
      </x:c>
      <x:c r="L227" s="15" t="n">
        <x:f>F227*G227</x:f>
        <x:v>1918.6001999999999</x:v>
      </x:c>
      <x:c r="M227" s="15" t="n">
        <x:f>F227-L227</x:f>
        <x:v>6507.3998</x:v>
      </x:c>
      <x:c r="N227" s="17" t="str"/>
      <x:c r="O227" s="17" t="str">
        <x:v>https://sts2log.com/cards</x:v>
      </x:c>
      <x:c r="P227" s="17" t="str">
        <x:v>https://slaythespire2.net/ancient/neow</x:v>
      </x:c>
    </x:row>
    <x:row r="228" ht="25" customHeight="1">
      <x:c r="A228" s="2" t="str">
        <x:v>v0.107</x:v>
      </x:c>
      <x:c r="B228" s="2" t="str">
        <x:v>故障机器人</x:v>
      </x:c>
      <x:c r="C228" s="2" t="str">
        <x:v>涅奥</x:v>
      </x:c>
      <x:c r="D228" s="2" t="str">
        <x:v>精准剪刀</x:v>
      </x:c>
      <x:c r="E228" s="16" t="n">
        <x:f>IF(G228=0,I228,IF(G228=1,H228,G228*H228+(1-G228)*I228))</x:f>
        <x:v>0.16854841999999998</x:v>
      </x:c>
      <x:c r="F228" s="12" t="n">
        <x:v>7328</x:v>
      </x:c>
      <x:c r="G228" s="11" t="n">
        <x:v>0.1438</x:v>
      </x:c>
      <x:c r="H228" s="11" t="n">
        <x:v>0.1736</x:v>
      </x:c>
      <x:c r="I228" s="11" t="n">
        <x:v>0.1677</x:v>
      </x:c>
      <x:c r="J228" s="13" t="n">
        <x:f>IF(OR(G228=0,G228=1),"",(H228-I228)*100)</x:f>
        <x:v>0.5900000000000016</x:v>
      </x:c>
      <x:c r="K228" s="14" t="n">
        <x:v>-0.09</x:v>
      </x:c>
      <x:c r="L228" s="15" t="n">
        <x:f>F228*G228</x:f>
        <x:v>1053.7664</x:v>
      </x:c>
      <x:c r="M228" s="15" t="n">
        <x:f>F228-L228</x:f>
        <x:v>6274.2336</x:v>
      </x:c>
      <x:c r="N228" s="17" t="str"/>
      <x:c r="O228" s="17" t="str">
        <x:v>https://sts2log.com/cards</x:v>
      </x:c>
      <x:c r="P228" s="17" t="str">
        <x:v>https://slaythespire2.net/ancient/neow</x:v>
      </x:c>
    </x:row>
    <x:row r="229" ht="25" customHeight="1">
      <x:c r="A229" s="2" t="str">
        <x:v>v0.107</x:v>
      </x:c>
      <x:c r="B229" s="2" t="str">
        <x:v>故障机器人</x:v>
      </x:c>
      <x:c r="C229" s="2" t="str">
        <x:v>涅奥</x:v>
      </x:c>
      <x:c r="D229" s="2" t="str">
        <x:v>沉重石板</x:v>
      </x:c>
      <x:c r="E229" s="16" t="n">
        <x:f>IF(G229=0,I229,IF(G229=1,H229,G229*H229+(1-G229)*I229))</x:f>
        <x:v>0.15619534000000002</x:v>
      </x:c>
      <x:c r="F229" s="12" t="n">
        <x:v>7829</x:v>
      </x:c>
      <x:c r="G229" s="11" t="n">
        <x:v>0.5529</x:v>
      </x:c>
      <x:c r="H229" s="11" t="n">
        <x:v>0.10460000000000001</x:v>
      </x:c>
      <x:c r="I229" s="11" t="n">
        <x:v>0.22</x:v>
      </x:c>
      <x:c r="J229" s="13" t="n">
        <x:f>IF(OR(G229=0,G229=1),"",(H229-I229)*100)</x:f>
        <x:v>-11.54</x:v>
      </x:c>
      <x:c r="K229" s="14" t="n">
        <x:v>-6.99</x:v>
      </x:c>
      <x:c r="L229" s="15" t="n">
        <x:f>F229*G229</x:f>
        <x:v>4328.6541</x:v>
      </x:c>
      <x:c r="M229" s="15" t="n">
        <x:f>F229-L229</x:f>
        <x:v>3500.3459000000003</x:v>
      </x:c>
      <x:c r="N229" s="17" t="str"/>
      <x:c r="O229" s="17" t="str">
        <x:v>https://sts2log.com/cards</x:v>
      </x:c>
      <x:c r="P229" s="17" t="str">
        <x:v>https://slaythespire2.net/ancient/neow</x:v>
      </x:c>
    </x:row>
    <x:row r="230" ht="42" customHeight="1">
      <x:c r="A230" s="2" t="str">
        <x:v>v0.107</x:v>
      </x:c>
      <x:c r="B230" s="2" t="str">
        <x:v>故障机器人</x:v>
      </x:c>
      <x:c r="C230" s="2" t="str">
        <x:v>涅奥</x:v>
      </x:c>
      <x:c r="D230" s="2" t="str">
        <x:v>巨大卷轴</x:v>
      </x:c>
      <x:c r="E230" s="18" t="n">
        <x:f>IF(G230=0,I230,IF(G230=1,H230,G230*H230+(1-G230)*I230))</x:f>
        <x:v>0</x:v>
      </x:c>
      <x:c r="F230" s="19" t="n">
        <x:v>2</x:v>
      </x:c>
      <x:c r="G230" s="11" t="n">
        <x:v>0</x:v>
      </x:c>
      <x:c r="H230" s="11"/>
      <x:c r="I230" s="11" t="n">
        <x:v>0</x:v>
      </x:c>
      <x:c r="J230" s="13" t="str">
        <x:f>IF(OR(G230=0,G230=1),"",(H230-I230)*100)</x:f>
      </x:c>
      <x:c r="K230" s="14" t="n">
        <x:v>-17.45</x:v>
      </x:c>
      <x:c r="L230" s="15" t="n">
        <x:f>F230*G230</x:f>
        <x:v>0</x:v>
      </x:c>
      <x:c r="M230" s="15" t="n">
        <x:f>F230-L230</x:f>
        <x:v>2</x:v>
      </x:c>
      <x:c r="N230" s="17" t="str">
        <x:v>出现次数&lt;100；一组占比显示为零，其胜率及选跳差留空</x:v>
      </x:c>
      <x:c r="O230" s="17" t="str">
        <x:v>https://sts2log.com/cards</x:v>
      </x:c>
      <x:c r="P230" s="17" t="str">
        <x:v>https://slaythespire2.net/ancient/neow</x:v>
      </x:c>
    </x:row>
    <x:row r="231" ht="25" customHeight="1">
      <x:c r="A231" s="2" t="str">
        <x:v>v0.107</x:v>
      </x:c>
      <x:c r="B231" s="2" t="str">
        <x:v>故障机器人</x:v>
      </x:c>
      <x:c r="C231" s="2" t="str">
        <x:v>欧洛巴斯</x:v>
      </x:c>
      <x:c r="D231" s="2" t="str">
        <x:v>棱彩宝石</x:v>
      </x:c>
      <x:c r="E231" s="16" t="n">
        <x:f>IF(G231=0,I231,IF(G231=1,H231,G231*H231+(1-G231)*I231))</x:f>
        <x:v>0.28170452</x:v>
      </x:c>
      <x:c r="F231" s="12" t="n">
        <x:v>930</x:v>
      </x:c>
      <x:c r="G231" s="11" t="n">
        <x:v>0.3043</x:v>
      </x:c>
      <x:c r="H231" s="11" t="n">
        <x:v>0.2792</x:v>
      </x:c>
      <x:c r="I231" s="11" t="n">
        <x:v>0.2828</x:v>
      </x:c>
      <x:c r="J231" s="13" t="n">
        <x:f>IF(OR(G231=0,G231=1),"",(H231-I231)*100)</x:f>
        <x:v>-0.3599999999999992</x:v>
      </x:c>
      <x:c r="K231" s="14" t="n">
        <x:v>10.47</x:v>
      </x:c>
      <x:c r="L231" s="15" t="n">
        <x:f>F231*G231</x:f>
        <x:v>282.999</x:v>
      </x:c>
      <x:c r="M231" s="15" t="n">
        <x:f>F231-L231</x:f>
        <x:v>647.001</x:v>
      </x:c>
      <x:c r="N231" s="17" t="str"/>
      <x:c r="O231" s="17" t="str">
        <x:v>https://sts2log.com/cards</x:v>
      </x:c>
      <x:c r="P231" s="17" t="str">
        <x:v>https://slaythespire2.net/ancient/orobas</x:v>
      </x:c>
    </x:row>
    <x:row r="232" ht="25" customHeight="1">
      <x:c r="A232" s="2" t="str">
        <x:v>v0.107</x:v>
      </x:c>
      <x:c r="B232" s="2" t="str">
        <x:v>故障机器人</x:v>
      </x:c>
      <x:c r="C232" s="2" t="str">
        <x:v>欧洛巴斯</x:v>
      </x:c>
      <x:c r="D232" s="2" t="str">
        <x:v>炼金箱</x:v>
      </x:c>
      <x:c r="E232" s="16" t="n">
        <x:f>IF(G232=0,I232,IF(G232=1,H232,G232*H232+(1-G232)*I232))</x:f>
        <x:v>0.27447024999999997</x:v>
      </x:c>
      <x:c r="F232" s="12" t="n">
        <x:v>3392</x:v>
      </x:c>
      <x:c r="G232" s="11" t="n">
        <x:v>0.2267</x:v>
      </x:c>
      <x:c r="H232" s="11" t="n">
        <x:v>0.3576</x:v>
      </x:c>
      <x:c r="I232" s="11" t="n">
        <x:v>0.2501</x:v>
      </x:c>
      <x:c r="J232" s="13" t="n">
        <x:f>IF(OR(G232=0,G232=1),"",(H232-I232)*100)</x:f>
        <x:v>10.749999999999998</x:v>
      </x:c>
      <x:c r="K232" s="14" t="n">
        <x:v>18.31</x:v>
      </x:c>
      <x:c r="L232" s="15" t="n">
        <x:f>F232*G232</x:f>
        <x:v>768.9664</x:v>
      </x:c>
      <x:c r="M232" s="15" t="n">
        <x:f>F232-L232</x:f>
        <x:v>2623.0335999999998</x:v>
      </x:c>
      <x:c r="N232" s="17" t="str"/>
      <x:c r="O232" s="17" t="str">
        <x:v>https://sts2log.com/cards</x:v>
      </x:c>
      <x:c r="P232" s="17" t="str">
        <x:v>https://slaythespire2.net/ancient/orobas</x:v>
      </x:c>
    </x:row>
    <x:row r="233" ht="25" customHeight="1">
      <x:c r="A233" s="2" t="str">
        <x:v>v0.107</x:v>
      </x:c>
      <x:c r="B233" s="2" t="str">
        <x:v>故障机器人</x:v>
      </x:c>
      <x:c r="C233" s="2" t="str">
        <x:v>欧洛巴斯</x:v>
      </x:c>
      <x:c r="D233" s="2" t="str">
        <x:v>沙堡</x:v>
      </x:c>
      <x:c r="E233" s="16" t="n">
        <x:f>IF(G233=0,I233,IF(G233=1,H233,G233*H233+(1-G233)*I233))</x:f>
        <x:v>0.26974342</x:v>
      </x:c>
      <x:c r="F233" s="12" t="n">
        <x:v>3033</x:v>
      </x:c>
      <x:c r="G233" s="11" t="n">
        <x:v>0.3722</x:v>
      </x:c>
      <x:c r="H233" s="11" t="n">
        <x:v>0.2516</x:v>
      </x:c>
      <x:c r="I233" s="11" t="n">
        <x:v>0.2805</x:v>
      </x:c>
      <x:c r="J233" s="13" t="n">
        <x:f>IF(OR(G233=0,G233=1),"",(H233-I233)*100)</x:f>
        <x:v>-2.8900000000000037</x:v>
      </x:c>
      <x:c r="K233" s="14" t="n">
        <x:v>7.71</x:v>
      </x:c>
      <x:c r="L233" s="15" t="n">
        <x:f>F233*G233</x:f>
        <x:v>1128.8826</x:v>
      </x:c>
      <x:c r="M233" s="15" t="n">
        <x:f>F233-L233</x:f>
        <x:v>1904.1174</x:v>
      </x:c>
      <x:c r="N233" s="17" t="str"/>
      <x:c r="O233" s="17" t="str">
        <x:v>https://sts2log.com/cards</x:v>
      </x:c>
      <x:c r="P233" s="17" t="str">
        <x:v>https://slaythespire2.net/ancient/orobas</x:v>
      </x:c>
    </x:row>
    <x:row r="234" ht="25" customHeight="1">
      <x:c r="A234" s="2" t="str">
        <x:v>v0.107</x:v>
      </x:c>
      <x:c r="B234" s="2" t="str">
        <x:v>故障机器人</x:v>
      </x:c>
      <x:c r="C234" s="2" t="str">
        <x:v>欧洛巴斯</x:v>
      </x:c>
      <x:c r="D234" s="2" t="str">
        <x:v>放电异虾</x:v>
      </x:c>
      <x:c r="E234" s="16" t="n">
        <x:f>IF(G234=0,I234,IF(G234=1,H234,G234*H234+(1-G234)*I234))</x:f>
        <x:v>0.2649745</x:v>
      </x:c>
      <x:c r="F234" s="12" t="n">
        <x:v>3053</x:v>
      </x:c>
      <x:c r="G234" s="11" t="n">
        <x:v>0.267</x:v>
      </x:c>
      <x:c r="H234" s="11" t="n">
        <x:v>0.2822</x:v>
      </x:c>
      <x:c r="I234" s="11" t="n">
        <x:v>0.2587</x:v>
      </x:c>
      <x:c r="J234" s="13" t="n">
        <x:f>IF(OR(G234=0,G234=1),"",(H234-I234)*100)</x:f>
        <x:v>2.3500000000000023</x:v>
      </x:c>
      <x:c r="K234" s="14" t="n">
        <x:v>10.77</x:v>
      </x:c>
      <x:c r="L234" s="15" t="n">
        <x:f>F234*G234</x:f>
        <x:v>815.1510000000001</x:v>
      </x:c>
      <x:c r="M234" s="15" t="n">
        <x:f>F234-L234</x:f>
        <x:v>2237.849</x:v>
      </x:c>
      <x:c r="N234" s="17" t="str"/>
      <x:c r="O234" s="17" t="str">
        <x:v>https://sts2log.com/cards</x:v>
      </x:c>
      <x:c r="P234" s="17" t="str">
        <x:v>https://slaythespire2.net/ancient/orobas</x:v>
      </x:c>
    </x:row>
    <x:row r="235" ht="25" customHeight="1">
      <x:c r="A235" s="2" t="str">
        <x:v>v0.107</x:v>
      </x:c>
      <x:c r="B235" s="2" t="str">
        <x:v>故障机器人</x:v>
      </x:c>
      <x:c r="C235" s="2" t="str">
        <x:v>欧洛巴斯</x:v>
      </x:c>
      <x:c r="D235" s="2" t="str">
        <x:v>古老牙齿</x:v>
      </x:c>
      <x:c r="E235" s="16" t="n">
        <x:f>IF(G235=0,I235,IF(G235=1,H235,G235*H235+(1-G235)*I235))</x:f>
        <x:v>0.26286336</x:v>
      </x:c>
      <x:c r="F235" s="12" t="n">
        <x:v>4908</x:v>
      </x:c>
      <x:c r="G235" s="11" t="n">
        <x:v>0.48840000000000006</x:v>
      </x:c>
      <x:c r="H235" s="11" t="n">
        <x:v>0.2733</x:v>
      </x:c>
      <x:c r="I235" s="11" t="n">
        <x:v>0.2529</x:v>
      </x:c>
      <x:c r="J235" s="13" t="n">
        <x:f>IF(OR(G235=0,G235=1),"",(H235-I235)*100)</x:f>
        <x:v>2.0399999999999974</x:v>
      </x:c>
      <x:c r="K235" s="14" t="n">
        <x:v>9.88</x:v>
      </x:c>
      <x:c r="L235" s="15" t="n">
        <x:f>F235*G235</x:f>
        <x:v>2397.0672000000004</x:v>
      </x:c>
      <x:c r="M235" s="15" t="n">
        <x:f>F235-L235</x:f>
        <x:v>2510.9327999999996</x:v>
      </x:c>
      <x:c r="N235" s="17" t="str"/>
      <x:c r="O235" s="17" t="str">
        <x:v>https://sts2log.com/cards</x:v>
      </x:c>
      <x:c r="P235" s="17" t="str">
        <x:v>https://slaythespire2.net/ancient/orobas</x:v>
      </x:c>
    </x:row>
    <x:row r="236" ht="25" customHeight="1">
      <x:c r="A236" s="2" t="str">
        <x:v>v0.107</x:v>
      </x:c>
      <x:c r="B236" s="2" t="str">
        <x:v>故障机器人</x:v>
      </x:c>
      <x:c r="C236" s="2" t="str">
        <x:v>欧洛巴斯</x:v>
      </x:c>
      <x:c r="D236" s="2" t="str">
        <x:v>欧洛巴斯之触</x:v>
      </x:c>
      <x:c r="E236" s="16" t="n">
        <x:f>IF(G236=0,I236,IF(G236=1,H236,G236*H236+(1-G236)*I236))</x:f>
        <x:v>0.25964776</x:v>
      </x:c>
      <x:c r="F236" s="12" t="n">
        <x:v>5142</x:v>
      </x:c>
      <x:c r="G236" s="11" t="n">
        <x:v>0.35119999999999996</x:v>
      </x:c>
      <x:c r="H236" s="11" t="n">
        <x:v>0.22870000000000001</x:v>
      </x:c>
      <x:c r="I236" s="11" t="n">
        <x:v>0.2764</x:v>
      </x:c>
      <x:c r="J236" s="13" t="n">
        <x:f>IF(OR(G236=0,G236=1),"",(H236-I236)*100)</x:f>
        <x:v>-4.769999999999996</x:v>
      </x:c>
      <x:c r="K236" s="14" t="n">
        <x:v>5.42</x:v>
      </x:c>
      <x:c r="L236" s="15" t="n">
        <x:f>F236*G236</x:f>
        <x:v>1805.8703999999998</x:v>
      </x:c>
      <x:c r="M236" s="15" t="n">
        <x:f>F236-L236</x:f>
        <x:v>3336.1296</x:v>
      </x:c>
      <x:c r="N236" s="17" t="str"/>
      <x:c r="O236" s="17" t="str">
        <x:v>https://sts2log.com/cards</x:v>
      </x:c>
      <x:c r="P236" s="17" t="str">
        <x:v>https://slaythespire2.net/ancient/orobas</x:v>
      </x:c>
    </x:row>
    <x:row r="237" ht="25" customHeight="1">
      <x:c r="A237" s="2" t="str">
        <x:v>v0.107</x:v>
      </x:c>
      <x:c r="B237" s="2" t="str">
        <x:v>故障机器人</x:v>
      </x:c>
      <x:c r="C237" s="2" t="str">
        <x:v>欧洛巴斯</x:v>
      </x:c>
      <x:c r="D237" s="2" t="str">
        <x:v>浮木</x:v>
      </x:c>
      <x:c r="E237" s="16" t="n">
        <x:f>IF(G237=0,I237,IF(G237=1,H237,G237*H237+(1-G237)*I237))</x:f>
        <x:v>0.25568143</x:v>
      </x:c>
      <x:c r="F237" s="12" t="n">
        <x:v>3262</x:v>
      </x:c>
      <x:c r="G237" s="11" t="n">
        <x:v>0.2391</x:v>
      </x:c>
      <x:c r="H237" s="11" t="n">
        <x:v>0.23079999999999998</x:v>
      </x:c>
      <x:c r="I237" s="11" t="n">
        <x:v>0.2635</x:v>
      </x:c>
      <x:c r="J237" s="13" t="n">
        <x:f>IF(OR(G237=0,G237=1),"",(H237-I237)*100)</x:f>
        <x:v>-3.2700000000000036</x:v>
      </x:c>
      <x:c r="K237" s="14" t="n">
        <x:v>5.63</x:v>
      </x:c>
      <x:c r="L237" s="15" t="n">
        <x:f>F237*G237</x:f>
        <x:v>779.9442</x:v>
      </x:c>
      <x:c r="M237" s="15" t="n">
        <x:f>F237-L237</x:f>
        <x:v>2482.0558</x:v>
      </x:c>
      <x:c r="N237" s="17" t="str"/>
      <x:c r="O237" s="17" t="str">
        <x:v>https://sts2log.com/cards</x:v>
      </x:c>
      <x:c r="P237" s="17" t="str">
        <x:v>https://slaythespire2.net/ancient/orobas</x:v>
      </x:c>
    </x:row>
    <x:row r="238" ht="25" customHeight="1">
      <x:c r="A238" s="2" t="str">
        <x:v>v0.107</x:v>
      </x:c>
      <x:c r="B238" s="2" t="str">
        <x:v>故障机器人</x:v>
      </x:c>
      <x:c r="C238" s="2" t="str">
        <x:v>欧洛巴斯</x:v>
      </x:c>
      <x:c r="D238" s="2" t="str">
        <x:v>发光珍珠</x:v>
      </x:c>
      <x:c r="E238" s="16" t="n">
        <x:f>IF(G238=0,I238,IF(G238=1,H238,G238*H238+(1-G238)*I238))</x:f>
        <x:v>0.2538962</x:v>
      </x:c>
      <x:c r="F238" s="12" t="n">
        <x:v>3399</x:v>
      </x:c>
      <x:c r="G238" s="11" t="n">
        <x:v>0.1862</x:v>
      </x:c>
      <x:c r="H238" s="11" t="n">
        <x:v>0.2954</x:v>
      </x:c>
      <x:c r="I238" s="11" t="n">
        <x:v>0.2444</x:v>
      </x:c>
      <x:c r="J238" s="13" t="n">
        <x:f>IF(OR(G238=0,G238=1),"",(H238-I238)*100)</x:f>
        <x:v>5.099999999999999</x:v>
      </x:c>
      <x:c r="K238" s="14" t="n">
        <x:v>12.09</x:v>
      </x:c>
      <x:c r="L238" s="15" t="n">
        <x:f>F238*G238</x:f>
        <x:v>632.8938</x:v>
      </x:c>
      <x:c r="M238" s="15" t="n">
        <x:f>F238-L238</x:f>
        <x:v>2766.1062</x:v>
      </x:c>
      <x:c r="N238" s="17" t="str"/>
      <x:c r="O238" s="17" t="str">
        <x:v>https://sts2log.com/cards</x:v>
      </x:c>
      <x:c r="P238" s="17" t="str">
        <x:v>https://slaythespire2.net/ancient/orobas</x:v>
      </x:c>
    </x:row>
    <x:row r="239" ht="25" customHeight="1">
      <x:c r="A239" s="2" t="str">
        <x:v>v0.107</x:v>
      </x:c>
      <x:c r="B239" s="2" t="str">
        <x:v>故障机器人</x:v>
      </x:c>
      <x:c r="C239" s="2" t="str">
        <x:v>欧洛巴斯</x:v>
      </x:c>
      <x:c r="D239" s="2" t="str">
        <x:v>玻璃眼珠</x:v>
      </x:c>
      <x:c r="E239" s="16" t="n">
        <x:f>IF(G239=0,I239,IF(G239=1,H239,G239*H239+(1-G239)*I239))</x:f>
        <x:v>0.24269604</x:v>
      </x:c>
      <x:c r="F239" s="12" t="n">
        <x:v>3037</x:v>
      </x:c>
      <x:c r="G239" s="11" t="n">
        <x:v>0.4732</x:v>
      </x:c>
      <x:c r="H239" s="11" t="n">
        <x:v>0.2241</x:v>
      </x:c>
      <x:c r="I239" s="11" t="n">
        <x:v>0.2594</x:v>
      </x:c>
      <x:c r="J239" s="13" t="n">
        <x:f>IF(OR(G239=0,G239=1),"",(H239-I239)*100)</x:f>
        <x:v>-3.5300000000000025</x:v>
      </x:c>
      <x:c r="K239" s="14" t="n">
        <x:v>4.96</x:v>
      </x:c>
      <x:c r="L239" s="15" t="n">
        <x:f>F239*G239</x:f>
        <x:v>1437.1084</x:v>
      </x:c>
      <x:c r="M239" s="15" t="n">
        <x:f>F239-L239</x:f>
        <x:v>1599.8916</x:v>
      </x:c>
      <x:c r="N239" s="17" t="str"/>
      <x:c r="O239" s="17" t="str">
        <x:v>https://sts2log.com/cards</x:v>
      </x:c>
      <x:c r="P239" s="17" t="str">
        <x:v>https://slaythespire2.net/ancient/orobas</x:v>
      </x:c>
    </x:row>
    <x:row r="240" ht="25" customHeight="1">
      <x:c r="A240" s="2" t="str">
        <x:v>v0.107</x:v>
      </x:c>
      <x:c r="B240" s="2" t="str">
        <x:v>故障机器人</x:v>
      </x:c>
      <x:c r="C240" s="2" t="str">
        <x:v>佩尔</x:v>
      </x:c>
      <x:c r="D240" s="2" t="str">
        <x:v>佩尔之血</x:v>
      </x:c>
      <x:c r="E240" s="16" t="n">
        <x:f>IF(G240=0,I240,IF(G240=1,H240,G240*H240+(1-G240)*I240))</x:f>
        <x:v>0.31145365999999997</x:v>
      </x:c>
      <x:c r="F240" s="12" t="n">
        <x:v>4055</x:v>
      </x:c>
      <x:c r="G240" s="11" t="n">
        <x:v>0.5798</x:v>
      </x:c>
      <x:c r="H240" s="11" t="n">
        <x:v>0.37939999999999996</x:v>
      </x:c>
      <x:c r="I240" s="11" t="n">
        <x:v>0.2177</x:v>
      </x:c>
      <x:c r="J240" s="13" t="n">
        <x:f>IF(OR(G240=0,G240=1),"",(H240-I240)*100)</x:f>
        <x:v>16.169999999999995</x:v>
      </x:c>
      <x:c r="K240" s="14" t="n">
        <x:v>20.49</x:v>
      </x:c>
      <x:c r="L240" s="15" t="n">
        <x:f>F240*G240</x:f>
        <x:v>2351.089</x:v>
      </x:c>
      <x:c r="M240" s="15" t="n">
        <x:f>F240-L240</x:f>
        <x:v>1703.911</x:v>
      </x:c>
      <x:c r="N240" s="17" t="str"/>
      <x:c r="O240" s="17" t="str">
        <x:v>https://sts2log.com/cards</x:v>
      </x:c>
      <x:c r="P240" s="17" t="str">
        <x:v>https://slaythespire2.net/ancient/pael</x:v>
      </x:c>
    </x:row>
    <x:row r="241" ht="25" customHeight="1">
      <x:c r="A241" s="2" t="str">
        <x:v>v0.107</x:v>
      </x:c>
      <x:c r="B241" s="2" t="str">
        <x:v>故障机器人</x:v>
      </x:c>
      <x:c r="C241" s="2" t="str">
        <x:v>佩尔</x:v>
      </x:c>
      <x:c r="D241" s="2" t="str">
        <x:v>佩尔之角</x:v>
      </x:c>
      <x:c r="E241" s="16" t="n">
        <x:f>IF(G241=0,I241,IF(G241=1,H241,G241*H241+(1-G241)*I241))</x:f>
        <x:v>0.27793102000000003</x:v>
      </x:c>
      <x:c r="F241" s="12" t="n">
        <x:v>3961</x:v>
      </x:c>
      <x:c r="G241" s="11" t="n">
        <x:v>0.1134</x:v>
      </x:c>
      <x:c r="H241" s="11" t="n">
        <x:v>0.23829999999999998</x:v>
      </x:c>
      <x:c r="I241" s="11" t="n">
        <x:v>0.28300000000000003</x:v>
      </x:c>
      <x:c r="J241" s="13" t="n">
        <x:f>IF(OR(G241=0,G241=1),"",(H241-I241)*100)</x:f>
        <x:v>-4.470000000000004</x:v>
      </x:c>
      <x:c r="K241" s="14" t="n">
        <x:v>6.38</x:v>
      </x:c>
      <x:c r="L241" s="15" t="n">
        <x:f>F241*G241</x:f>
        <x:v>449.1774</x:v>
      </x:c>
      <x:c r="M241" s="15" t="n">
        <x:f>F241-L241</x:f>
        <x:v>3511.8226</x:v>
      </x:c>
      <x:c r="N241" s="17" t="str"/>
      <x:c r="O241" s="17" t="str">
        <x:v>https://sts2log.com/cards</x:v>
      </x:c>
      <x:c r="P241" s="17" t="str">
        <x:v>https://slaythespire2.net/ancient/pael</x:v>
      </x:c>
    </x:row>
    <x:row r="242" ht="25" customHeight="1">
      <x:c r="A242" s="2" t="str">
        <x:v>v0.107</x:v>
      </x:c>
      <x:c r="B242" s="2" t="str">
        <x:v>故障机器人</x:v>
      </x:c>
      <x:c r="C242" s="2" t="str">
        <x:v>佩尔</x:v>
      </x:c>
      <x:c r="D242" s="2" t="str">
        <x:v>佩尔的增生组织</x:v>
      </x:c>
      <x:c r="E242" s="16" t="n">
        <x:f>IF(G242=0,I242,IF(G242=1,H242,G242*H242+(1-G242)*I242))</x:f>
        <x:v>0.2759</x:v>
      </x:c>
      <x:c r="F242" s="12" t="n">
        <x:v>1660</x:v>
      </x:c>
      <x:c r="G242" s="11" t="n">
        <x:v>0.29100000000000004</x:v>
      </x:c>
      <x:c r="H242" s="11" t="n">
        <x:v>0.205</x:v>
      </x:c>
      <x:c r="I242" s="11" t="n">
        <x:v>0.305</x:v>
      </x:c>
      <x:c r="J242" s="13" t="n">
        <x:f>IF(OR(G242=0,G242=1),"",(H242-I242)*100)</x:f>
        <x:v>-10</x:v>
      </x:c>
      <x:c r="K242" s="14" t="n">
        <x:v>3.05</x:v>
      </x:c>
      <x:c r="L242" s="15" t="n">
        <x:f>F242*G242</x:f>
        <x:v>483.06000000000006</x:v>
      </x:c>
      <x:c r="M242" s="15" t="n">
        <x:f>F242-L242</x:f>
        <x:v>1176.94</x:v>
      </x:c>
      <x:c r="N242" s="17" t="str"/>
      <x:c r="O242" s="17" t="str">
        <x:v>https://sts2log.com/cards</x:v>
      </x:c>
      <x:c r="P242" s="17" t="str">
        <x:v>https://slaythespire2.net/ancient/pael</x:v>
      </x:c>
    </x:row>
    <x:row r="243" ht="25" customHeight="1">
      <x:c r="A243" s="2" t="str">
        <x:v>v0.107</x:v>
      </x:c>
      <x:c r="B243" s="2" t="str">
        <x:v>故障机器人</x:v>
      </x:c>
      <x:c r="C243" s="2" t="str">
        <x:v>佩尔</x:v>
      </x:c>
      <x:c r="D243" s="2" t="str">
        <x:v>佩尔之爪</x:v>
      </x:c>
      <x:c r="E243" s="16" t="n">
        <x:f>IF(G243=0,I243,IF(G243=1,H243,G243*H243+(1-G243)*I243))</x:f>
        <x:v>0.27125793</x:v>
      </x:c>
      <x:c r="F243" s="12" t="n">
        <x:v>3355</x:v>
      </x:c>
      <x:c r="G243" s="11" t="n">
        <x:v>0.33770000000000006</x:v>
      </x:c>
      <x:c r="H243" s="11" t="n">
        <x:v>0.2851</x:v>
      </x:c>
      <x:c r="I243" s="11" t="n">
        <x:v>0.2642</x:v>
      </x:c>
      <x:c r="J243" s="13" t="n">
        <x:f>IF(OR(G243=0,G243=1),"",(H243-I243)*100)</x:f>
        <x:v>2.090000000000003</x:v>
      </x:c>
      <x:c r="K243" s="14" t="n">
        <x:v>11.06</x:v>
      </x:c>
      <x:c r="L243" s="15" t="n">
        <x:f>F243*G243</x:f>
        <x:v>1132.9835000000003</x:v>
      </x:c>
      <x:c r="M243" s="15" t="n">
        <x:f>F243-L243</x:f>
        <x:v>2222.0164999999997</x:v>
      </x:c>
      <x:c r="N243" s="17" t="str"/>
      <x:c r="O243" s="17" t="str">
        <x:v>https://sts2log.com/cards</x:v>
      </x:c>
      <x:c r="P243" s="17" t="str">
        <x:v>https://slaythespire2.net/ancient/pael</x:v>
      </x:c>
    </x:row>
    <x:row r="244" ht="25" customHeight="1">
      <x:c r="A244" s="2" t="str">
        <x:v>v0.107</x:v>
      </x:c>
      <x:c r="B244" s="2" t="str">
        <x:v>故障机器人</x:v>
      </x:c>
      <x:c r="C244" s="2" t="str">
        <x:v>佩尔</x:v>
      </x:c>
      <x:c r="D244" s="2" t="str">
        <x:v>佩尔之牙</x:v>
      </x:c>
      <x:c r="E244" s="16" t="n">
        <x:f>IF(G244=0,I244,IF(G244=1,H244,G244*H244+(1-G244)*I244))</x:f>
        <x:v>0.27039727999999996</x:v>
      </x:c>
      <x:c r="F244" s="12" t="n">
        <x:v>3602</x:v>
      </x:c>
      <x:c r="G244" s="11" t="n">
        <x:v>0.2468</x:v>
      </x:c>
      <x:c r="H244" s="11" t="n">
        <x:v>0.2475</x:v>
      </x:c>
      <x:c r="I244" s="11" t="n">
        <x:v>0.2779</x:v>
      </x:c>
      <x:c r="J244" s="13" t="n">
        <x:f>IF(OR(G244=0,G244=1),"",(H244-I244)*100)</x:f>
        <x:v>-3.0399999999999983</x:v>
      </x:c>
      <x:c r="K244" s="14" t="n">
        <x:v>7.3</x:v>
      </x:c>
      <x:c r="L244" s="15" t="n">
        <x:f>F244*G244</x:f>
        <x:v>888.9735999999999</x:v>
      </x:c>
      <x:c r="M244" s="15" t="n">
        <x:f>F244-L244</x:f>
        <x:v>2713.0264</x:v>
      </x:c>
      <x:c r="N244" s="17" t="str"/>
      <x:c r="O244" s="17" t="str">
        <x:v>https://sts2log.com/cards</x:v>
      </x:c>
      <x:c r="P244" s="17" t="str">
        <x:v>https://slaythespire2.net/ancient/pael</x:v>
      </x:c>
    </x:row>
    <x:row r="245" ht="25" customHeight="1">
      <x:c r="A245" s="2" t="str">
        <x:v>v0.107</x:v>
      </x:c>
      <x:c r="B245" s="2" t="str">
        <x:v>故障机器人</x:v>
      </x:c>
      <x:c r="C245" s="2" t="str">
        <x:v>佩尔</x:v>
      </x:c>
      <x:c r="D245" s="2" t="str">
        <x:v>佩尔之翼</x:v>
      </x:c>
      <x:c r="E245" s="16" t="n">
        <x:f>IF(G245=0,I245,IF(G245=1,H245,G245*H245+(1-G245)*I245))</x:f>
        <x:v>0.27007644</x:v>
      </x:c>
      <x:c r="F245" s="12" t="n">
        <x:v>3495</x:v>
      </x:c>
      <x:c r="G245" s="11" t="n">
        <x:v>0.4003</x:v>
      </x:c>
      <x:c r="H245" s="11" t="n">
        <x:v>0.183</x:v>
      </x:c>
      <x:c r="I245" s="11" t="n">
        <x:v>0.3282</x:v>
      </x:c>
      <x:c r="J245" s="13" t="n">
        <x:f>IF(OR(G245=0,G245=1),"",(H245-I245)*100)</x:f>
        <x:v>-14.52</x:v>
      </x:c>
      <x:c r="K245" s="14" t="n">
        <x:v>0.85</x:v>
      </x:c>
      <x:c r="L245" s="15" t="n">
        <x:f>F245*G245</x:f>
        <x:v>1399.0484999999999</x:v>
      </x:c>
      <x:c r="M245" s="15" t="n">
        <x:f>F245-L245</x:f>
        <x:v>2095.9515</x:v>
      </x:c>
      <x:c r="N245" s="17" t="str"/>
      <x:c r="O245" s="17" t="str">
        <x:v>https://sts2log.com/cards</x:v>
      </x:c>
      <x:c r="P245" s="17" t="str">
        <x:v>https://slaythespire2.net/ancient/pael</x:v>
      </x:c>
    </x:row>
    <x:row r="246" ht="25" customHeight="1">
      <x:c r="A246" s="2" t="str">
        <x:v>v0.107</x:v>
      </x:c>
      <x:c r="B246" s="2" t="str">
        <x:v>故障机器人</x:v>
      </x:c>
      <x:c r="C246" s="2" t="str">
        <x:v>佩尔</x:v>
      </x:c>
      <x:c r="D246" s="2" t="str">
        <x:v>佩尔之泪</x:v>
      </x:c>
      <x:c r="E246" s="16" t="n">
        <x:f>IF(G246=0,I246,IF(G246=1,H246,G246*H246+(1-G246)*I246))</x:f>
        <x:v>0.26937542000000003</x:v>
      </x:c>
      <x:c r="F246" s="12" t="n">
        <x:v>4002</x:v>
      </x:c>
      <x:c r="G246" s="11" t="n">
        <x:v>0.3638</x:v>
      </x:c>
      <x:c r="H246" s="11" t="n">
        <x:v>0.2445</x:v>
      </x:c>
      <x:c r="I246" s="11" t="n">
        <x:v>0.2836</x:v>
      </x:c>
      <x:c r="J246" s="13" t="n">
        <x:f>IF(OR(G246=0,G246=1),"",(H246-I246)*100)</x:f>
        <x:v>-3.9100000000000024</x:v>
      </x:c>
      <x:c r="K246" s="14" t="n">
        <x:v>7</x:v>
      </x:c>
      <x:c r="L246" s="15" t="n">
        <x:f>F246*G246</x:f>
        <x:v>1455.9276</x:v>
      </x:c>
      <x:c r="M246" s="15" t="n">
        <x:f>F246-L246</x:f>
        <x:v>2546.0724</x:v>
      </x:c>
      <x:c r="N246" s="17" t="str"/>
      <x:c r="O246" s="17" t="str">
        <x:v>https://sts2log.com/cards</x:v>
      </x:c>
      <x:c r="P246" s="17" t="str">
        <x:v>https://slaythespire2.net/ancient/pael</x:v>
      </x:c>
    </x:row>
    <x:row r="247" ht="25" customHeight="1">
      <x:c r="A247" s="2" t="str">
        <x:v>v0.107</x:v>
      </x:c>
      <x:c r="B247" s="2" t="str">
        <x:v>故障机器人</x:v>
      </x:c>
      <x:c r="C247" s="2" t="str">
        <x:v>佩尔</x:v>
      </x:c>
      <x:c r="D247" s="2" t="str">
        <x:v>佩尔之肉</x:v>
      </x:c>
      <x:c r="E247" s="16" t="n">
        <x:f>IF(G247=0,I247,IF(G247=1,H247,G247*H247+(1-G247)*I247))</x:f>
        <x:v>0.2665182</x:v>
      </x:c>
      <x:c r="F247" s="12" t="n">
        <x:v>4135</x:v>
      </x:c>
      <x:c r="G247" s="11" t="n">
        <x:v>0.3204</x:v>
      </x:c>
      <x:c r="H247" s="11" t="n">
        <x:v>0.1955</x:v>
      </x:c>
      <x:c r="I247" s="11" t="n">
        <x:v>0.3</x:v>
      </x:c>
      <x:c r="J247" s="13" t="n">
        <x:f>IF(OR(G247=0,G247=1),"",(H247-I247)*100)</x:f>
        <x:v>-10.449999999999998</x:v>
      </x:c>
      <x:c r="K247" s="14" t="n">
        <x:v>2.1</x:v>
      </x:c>
      <x:c r="L247" s="15" t="n">
        <x:f>F247*G247</x:f>
        <x:v>1324.854</x:v>
      </x:c>
      <x:c r="M247" s="15" t="n">
        <x:f>F247-L247</x:f>
        <x:v>2810.1459999999997</x:v>
      </x:c>
      <x:c r="N247" s="17" t="str"/>
      <x:c r="O247" s="17" t="str">
        <x:v>https://sts2log.com/cards</x:v>
      </x:c>
      <x:c r="P247" s="17" t="str">
        <x:v>https://slaythespire2.net/ancient/pael</x:v>
      </x:c>
    </x:row>
    <x:row r="248" ht="25" customHeight="1">
      <x:c r="A248" s="2" t="str">
        <x:v>v0.107</x:v>
      </x:c>
      <x:c r="B248" s="2" t="str">
        <x:v>故障机器人</x:v>
      </x:c>
      <x:c r="C248" s="2" t="str">
        <x:v>佩尔</x:v>
      </x:c>
      <x:c r="D248" s="2" t="str">
        <x:v>佩尔的士兵</x:v>
      </x:c>
      <x:c r="E248" s="16" t="n">
        <x:f>IF(G248=0,I248,IF(G248=1,H248,G248*H248+(1-G248)*I248))</x:f>
        <x:v>0.2539056</x:v>
      </x:c>
      <x:c r="F248" s="12" t="n">
        <x:v>3970</x:v>
      </x:c>
      <x:c r="G248" s="11" t="n">
        <x:v>0.40299999999999997</x:v>
      </x:c>
      <x:c r="H248" s="11" t="n">
        <x:v>0.2988</x:v>
      </x:c>
      <x:c r="I248" s="11" t="n">
        <x:v>0.2236</x:v>
      </x:c>
      <x:c r="J248" s="13" t="n">
        <x:f>IF(OR(G248=0,G248=1),"",(H248-I248)*100)</x:f>
        <x:v>7.520000000000001</x:v>
      </x:c>
      <x:c r="K248" s="14" t="n">
        <x:v>12.43</x:v>
      </x:c>
      <x:c r="L248" s="15" t="n">
        <x:f>F248*G248</x:f>
        <x:v>1599.9099999999999</x:v>
      </x:c>
      <x:c r="M248" s="15" t="n">
        <x:f>F248-L248</x:f>
        <x:v>2370.09</x:v>
      </x:c>
      <x:c r="N248" s="17" t="str"/>
      <x:c r="O248" s="17" t="str">
        <x:v>https://sts2log.com/cards</x:v>
      </x:c>
      <x:c r="P248" s="17" t="str">
        <x:v>https://slaythespire2.net/ancient/pael</x:v>
      </x:c>
    </x:row>
    <x:row r="249" ht="25" customHeight="1">
      <x:c r="A249" s="2" t="str">
        <x:v>v0.107</x:v>
      </x:c>
      <x:c r="B249" s="2" t="str">
        <x:v>故障机器人</x:v>
      </x:c>
      <x:c r="C249" s="2" t="str">
        <x:v>佩尔</x:v>
      </x:c>
      <x:c r="D249" s="2" t="str">
        <x:v>佩尔之眼</x:v>
      </x:c>
      <x:c r="E249" s="16" t="n">
        <x:f>IF(G249=0,I249,IF(G249=1,H249,G249*H249+(1-G249)*I249))</x:f>
        <x:v>0.24816149999999998</x:v>
      </x:c>
      <x:c r="F249" s="12" t="n">
        <x:v>4074</x:v>
      </x:c>
      <x:c r="G249" s="11" t="n">
        <x:v>0.2425</x:v>
      </x:c>
      <x:c r="H249" s="11" t="n">
        <x:v>0.2874</x:v>
      </x:c>
      <x:c r="I249" s="11" t="n">
        <x:v>0.23559999999999998</x:v>
      </x:c>
      <x:c r="J249" s="13" t="n">
        <x:f>IF(OR(G249=0,G249=1),"",(H249-I249)*100)</x:f>
        <x:v>5.1800000000000015</x:v>
      </x:c>
      <x:c r="K249" s="14" t="n">
        <x:v>11.29</x:v>
      </x:c>
      <x:c r="L249" s="15" t="n">
        <x:f>F249*G249</x:f>
        <x:v>987.9449999999999</x:v>
      </x:c>
      <x:c r="M249" s="15" t="n">
        <x:f>F249-L249</x:f>
        <x:v>3086.0550000000003</x:v>
      </x:c>
      <x:c r="N249" s="17" t="str"/>
      <x:c r="O249" s="17" t="str">
        <x:v>https://sts2log.com/cards</x:v>
      </x:c>
      <x:c r="P249" s="17" t="str">
        <x:v>https://slaythespire2.net/ancient/pael</x:v>
      </x:c>
    </x:row>
    <x:row r="250" ht="25" customHeight="1">
      <x:c r="A250" s="2" t="str">
        <x:v>v0.107</x:v>
      </x:c>
      <x:c r="B250" s="2" t="str">
        <x:v>故障机器人</x:v>
      </x:c>
      <x:c r="C250" s="2" t="str">
        <x:v>特兹卡塔拉</x:v>
      </x:c>
      <x:c r="D250" s="2" t="str">
        <x:v>故事书</x:v>
      </x:c>
      <x:c r="E250" s="16" t="n">
        <x:f>IF(G250=0,I250,IF(G250=1,H250,G250*H250+(1-G250)*I250))</x:f>
        <x:v>0.31144266000000004</x:v>
      </x:c>
      <x:c r="F250" s="12" t="n">
        <x:v>3911</x:v>
      </x:c>
      <x:c r="G250" s="11" t="n">
        <x:v>0.6101</x:v>
      </x:c>
      <x:c r="H250" s="11" t="n">
        <x:v>0.3764</x:v>
      </x:c>
      <x:c r="I250" s="11" t="n">
        <x:v>0.20980000000000001</x:v>
      </x:c>
      <x:c r="J250" s="13" t="n">
        <x:f>IF(OR(G250=0,G250=1),"",(H250-I250)*100)</x:f>
        <x:v>16.66</x:v>
      </x:c>
      <x:c r="K250" s="14" t="n">
        <x:v>20.19</x:v>
      </x:c>
      <x:c r="L250" s="15" t="n">
        <x:f>F250*G250</x:f>
        <x:v>2386.1011</x:v>
      </x:c>
      <x:c r="M250" s="15" t="n">
        <x:f>F250-L250</x:f>
        <x:v>1524.8989000000001</x:v>
      </x:c>
      <x:c r="N250" s="17" t="str"/>
      <x:c r="O250" s="17" t="str">
        <x:v>https://sts2log.com/cards</x:v>
      </x:c>
      <x:c r="P250" s="17" t="str">
        <x:v>https://slaythespire2.net/ancient/tezcatara</x:v>
      </x:c>
    </x:row>
    <x:row r="251" ht="25" customHeight="1">
      <x:c r="A251" s="2" t="str">
        <x:v>v0.107</x:v>
      </x:c>
      <x:c r="B251" s="2" t="str">
        <x:v>故障机器人</x:v>
      </x:c>
      <x:c r="C251" s="2" t="str">
        <x:v>特兹卡塔拉</x:v>
      </x:c>
      <x:c r="D251" s="2" t="str">
        <x:v>黄金罗盘</x:v>
      </x:c>
      <x:c r="E251" s="16" t="n">
        <x:f>IF(G251=0,I251,IF(G251=1,H251,G251*H251+(1-G251)*I251))</x:f>
        <x:v>0.30443755</x:v>
      </x:c>
      <x:c r="F251" s="12" t="n">
        <x:v>3153</x:v>
      </x:c>
      <x:c r="G251" s="11" t="n">
        <x:v>0.2709</x:v>
      </x:c>
      <x:c r="H251" s="11" t="n">
        <x:v>0.2822</x:v>
      </x:c>
      <x:c r="I251" s="11" t="n">
        <x:v>0.3127</x:v>
      </x:c>
      <x:c r="J251" s="13" t="n">
        <x:f>IF(OR(G251=0,G251=1),"",(H251-I251)*100)</x:f>
        <x:v>-3.049999999999997</x:v>
      </x:c>
      <x:c r="K251" s="14" t="n">
        <x:v>10.77</x:v>
      </x:c>
      <x:c r="L251" s="15" t="n">
        <x:f>F251*G251</x:f>
        <x:v>854.1476999999999</x:v>
      </x:c>
      <x:c r="M251" s="15" t="n">
        <x:f>F251-L251</x:f>
        <x:v>2298.8523</x:v>
      </x:c>
      <x:c r="N251" s="17" t="str"/>
      <x:c r="O251" s="17" t="str">
        <x:v>https://sts2log.com/cards</x:v>
      </x:c>
      <x:c r="P251" s="17" t="str">
        <x:v>https://slaythespire2.net/ancient/tezcatara</x:v>
      </x:c>
    </x:row>
    <x:row r="252" ht="25" customHeight="1">
      <x:c r="A252" s="2" t="str">
        <x:v>v0.107</x:v>
      </x:c>
      <x:c r="B252" s="2" t="str">
        <x:v>故障机器人</x:v>
      </x:c>
      <x:c r="C252" s="2" t="str">
        <x:v>特兹卡塔拉</x:v>
      </x:c>
      <x:c r="D252" s="2" t="str">
        <x:v>营养汤</x:v>
      </x:c>
      <x:c r="E252" s="16" t="n">
        <x:f>IF(G252=0,I252,IF(G252=1,H252,G252*H252+(1-G252)*I252))</x:f>
        <x:v>0.2902672</x:v>
      </x:c>
      <x:c r="F252" s="12" t="n">
        <x:v>4010</x:v>
      </x:c>
      <x:c r="G252" s="11" t="n">
        <x:v>0.2481</x:v>
      </x:c>
      <x:c r="H252" s="11" t="n">
        <x:v>0.2241</x:v>
      </x:c>
      <x:c r="I252" s="11" t="n">
        <x:v>0.3121</x:v>
      </x:c>
      <x:c r="J252" s="13" t="n">
        <x:f>IF(OR(G252=0,G252=1),"",(H252-I252)*100)</x:f>
        <x:v>-8.799999999999999</x:v>
      </x:c>
      <x:c r="K252" s="14" t="n">
        <x:v>4.96</x:v>
      </x:c>
      <x:c r="L252" s="15" t="n">
        <x:f>F252*G252</x:f>
        <x:v>994.881</x:v>
      </x:c>
      <x:c r="M252" s="15" t="n">
        <x:f>F252-L252</x:f>
        <x:v>3015.119</x:v>
      </x:c>
      <x:c r="N252" s="17" t="str"/>
      <x:c r="O252" s="17" t="str">
        <x:v>https://sts2log.com/cards</x:v>
      </x:c>
      <x:c r="P252" s="17" t="str">
        <x:v>https://slaythespire2.net/ancient/tezcatara</x:v>
      </x:c>
    </x:row>
    <x:row r="253" ht="25" customHeight="1">
      <x:c r="A253" s="2" t="str">
        <x:v>v0.107</x:v>
      </x:c>
      <x:c r="B253" s="2" t="str">
        <x:v>故障机器人</x:v>
      </x:c>
      <x:c r="C253" s="2" t="str">
        <x:v>特兹卡塔拉</x:v>
      </x:c>
      <x:c r="D253" s="2" t="str">
        <x:v>大～抱抱</x:v>
      </x:c>
      <x:c r="E253" s="16" t="n">
        <x:f>IF(G253=0,I253,IF(G253=1,H253,G253*H253+(1-G253)*I253))</x:f>
        <x:v>0.28266998</x:v>
      </x:c>
      <x:c r="F253" s="12" t="n">
        <x:v>4235</x:v>
      </x:c>
      <x:c r="G253" s="11" t="n">
        <x:v>0.4878</x:v>
      </x:c>
      <x:c r="H253" s="11" t="n">
        <x:v>0.3616</x:v>
      </x:c>
      <x:c r="I253" s="11" t="n">
        <x:v>0.2075</x:v>
      </x:c>
      <x:c r="J253" s="13" t="n">
        <x:f>IF(OR(G253=0,G253=1),"",(H253-I253)*100)</x:f>
        <x:v>15.409999999999998</x:v>
      </x:c>
      <x:c r="K253" s="14" t="n">
        <x:v>18.71</x:v>
      </x:c>
      <x:c r="L253" s="15" t="n">
        <x:f>F253*G253</x:f>
        <x:v>2065.833</x:v>
      </x:c>
      <x:c r="M253" s="15" t="n">
        <x:f>F253-L253</x:f>
        <x:v>2169.167</x:v>
      </x:c>
      <x:c r="N253" s="17" t="str"/>
      <x:c r="O253" s="17" t="str">
        <x:v>https://sts2log.com/cards</x:v>
      </x:c>
      <x:c r="P253" s="17" t="str">
        <x:v>https://slaythespire2.net/ancient/tezcatara</x:v>
      </x:c>
    </x:row>
    <x:row r="254" ht="25" customHeight="1">
      <x:c r="A254" s="2" t="str">
        <x:v>v0.107</x:v>
      </x:c>
      <x:c r="B254" s="2" t="str">
        <x:v>故障机器人</x:v>
      </x:c>
      <x:c r="C254" s="2" t="str">
        <x:v>特兹卡塔拉</x:v>
      </x:c>
      <x:c r="D254" s="2" t="str">
        <x:v>美味饼干</x:v>
      </x:c>
      <x:c r="E254" s="16" t="n">
        <x:f>IF(G254=0,I254,IF(G254=1,H254,G254*H254+(1-G254)*I254))</x:f>
        <x:v>0.2809416</x:v>
      </x:c>
      <x:c r="F254" s="12" t="n">
        <x:v>4100</x:v>
      </x:c>
      <x:c r="G254" s="11" t="n">
        <x:v>0.5895</x:v>
      </x:c>
      <x:c r="H254" s="11" t="n">
        <x:v>0.2238</x:v>
      </x:c>
      <x:c r="I254" s="11" t="n">
        <x:v>0.363</x:v>
      </x:c>
      <x:c r="J254" s="13" t="n">
        <x:f>IF(OR(G254=0,G254=1),"",(H254-I254)*100)</x:f>
        <x:v>-13.919999999999998</x:v>
      </x:c>
      <x:c r="K254" s="14" t="n">
        <x:v>4.93</x:v>
      </x:c>
      <x:c r="L254" s="15" t="n">
        <x:f>F254*G254</x:f>
        <x:v>2416.9500000000003</x:v>
      </x:c>
      <x:c r="M254" s="15" t="n">
        <x:f>F254-L254</x:f>
        <x:v>1683.0499999999997</x:v>
      </x:c>
      <x:c r="N254" s="17" t="str"/>
      <x:c r="O254" s="17" t="str">
        <x:v>https://sts2log.com/cards</x:v>
      </x:c>
      <x:c r="P254" s="17" t="str">
        <x:v>https://slaythespire2.net/ancient/tezcatara</x:v>
      </x:c>
    </x:row>
    <x:row r="255" ht="25" customHeight="1">
      <x:c r="A255" s="2" t="str">
        <x:v>v0.107</x:v>
      </x:c>
      <x:c r="B255" s="2" t="str">
        <x:v>故障机器人</x:v>
      </x:c>
      <x:c r="C255" s="2" t="str">
        <x:v>特兹卡塔拉</x:v>
      </x:c>
      <x:c r="D255" s="2" t="str">
        <x:v>烫嘴可可</x:v>
      </x:c>
      <x:c r="E255" s="16" t="n">
        <x:f>IF(G255=0,I255,IF(G255=1,H255,G255*H255+(1-G255)*I255))</x:f>
        <x:v>0.28055176000000004</x:v>
      </x:c>
      <x:c r="F255" s="12" t="n">
        <x:v>4149</x:v>
      </x:c>
      <x:c r="G255" s="11" t="n">
        <x:v>0.4177</x:v>
      </x:c>
      <x:c r="H255" s="11" t="n">
        <x:v>0.2158</x:v>
      </x:c>
      <x:c r="I255" s="11" t="n">
        <x:v>0.327</x:v>
      </x:c>
      <x:c r="J255" s="13" t="n">
        <x:f>IF(OR(G255=0,G255=1),"",(H255-I255)*100)</x:f>
        <x:v>-11.120000000000003</x:v>
      </x:c>
      <x:c r="K255" s="14" t="n">
        <x:v>4.13</x:v>
      </x:c>
      <x:c r="L255" s="15" t="n">
        <x:f>F255*G255</x:f>
        <x:v>1733.0373</x:v>
      </x:c>
      <x:c r="M255" s="15" t="n">
        <x:f>F255-L255</x:f>
        <x:v>2415.9627</x:v>
      </x:c>
      <x:c r="N255" s="17" t="str"/>
      <x:c r="O255" s="17" t="str">
        <x:v>https://sts2log.com/cards</x:v>
      </x:c>
      <x:c r="P255" s="17" t="str">
        <x:v>https://slaythespire2.net/ancient/tezcatara</x:v>
      </x:c>
    </x:row>
    <x:row r="256" ht="25" customHeight="1">
      <x:c r="A256" s="2" t="str">
        <x:v>v0.107</x:v>
      </x:c>
      <x:c r="B256" s="2" t="str">
        <x:v>故障机器人</x:v>
      </x:c>
      <x:c r="C256" s="2" t="str">
        <x:v>特兹卡塔拉</x:v>
      </x:c>
      <x:c r="D256" s="2" t="str">
        <x:v>南瓜蜡烛</x:v>
      </x:c>
      <x:c r="E256" s="16" t="n">
        <x:f>IF(G256=0,I256,IF(G256=1,H256,G256*H256+(1-G256)*I256))</x:f>
        <x:v>0.27957131</x:v>
      </x:c>
      <x:c r="F256" s="12" t="n">
        <x:v>3015</x:v>
      </x:c>
      <x:c r="G256" s="11" t="n">
        <x:v>0.2547</x:v>
      </x:c>
      <x:c r="H256" s="11" t="n">
        <x:v>0.2552</x:v>
      </x:c>
      <x:c r="I256" s="11" t="n">
        <x:v>0.2879</x:v>
      </x:c>
      <x:c r="J256" s="13" t="n">
        <x:f>IF(OR(G256=0,G256=1),"",(H256-I256)*100)</x:f>
        <x:v>-3.2700000000000005</x:v>
      </x:c>
      <x:c r="K256" s="14" t="n">
        <x:v>8.07</x:v>
      </x:c>
      <x:c r="L256" s="15" t="n">
        <x:f>F256*G256</x:f>
        <x:v>767.9205</x:v>
      </x:c>
      <x:c r="M256" s="15" t="n">
        <x:f>F256-L256</x:f>
        <x:v>2247.0795</x:v>
      </x:c>
      <x:c r="N256" s="17" t="str"/>
      <x:c r="O256" s="17" t="str">
        <x:v>https://sts2log.com/cards</x:v>
      </x:c>
      <x:c r="P256" s="17" t="str">
        <x:v>https://slaythespire2.net/ancient/tezcatara</x:v>
      </x:c>
    </x:row>
    <x:row r="257" ht="25" customHeight="1">
      <x:c r="A257" s="2" t="str">
        <x:v>v0.107</x:v>
      </x:c>
      <x:c r="B257" s="2" t="str">
        <x:v>故障机器人</x:v>
      </x:c>
      <x:c r="C257" s="2" t="str">
        <x:v>特兹卡塔拉</x:v>
      </x:c>
      <x:c r="D257" s="2" t="str">
        <x:v>玩具盒</x:v>
      </x:c>
      <x:c r="E257" s="16" t="n">
        <x:f>IF(G257=0,I257,IF(G257=1,H257,G257*H257+(1-G257)*I257))</x:f>
        <x:v>0.27883988000000004</x:v>
      </x:c>
      <x:c r="F257" s="12" t="n">
        <x:v>3109</x:v>
      </x:c>
      <x:c r="G257" s="11" t="n">
        <x:v>0.20170000000000002</x:v>
      </x:c>
      <x:c r="H257" s="11" t="n">
        <x:v>0.26</x:v>
      </x:c>
      <x:c r="I257" s="11" t="n">
        <x:v>0.2836</x:v>
      </x:c>
      <x:c r="J257" s="13" t="n">
        <x:f>IF(OR(G257=0,G257=1),"",(H257-I257)*100)</x:f>
        <x:v>-2.360000000000001</x:v>
      </x:c>
      <x:c r="K257" s="14" t="n">
        <x:v>8.55</x:v>
      </x:c>
      <x:c r="L257" s="15" t="n">
        <x:f>F257*G257</x:f>
        <x:v>627.0853000000001</x:v>
      </x:c>
      <x:c r="M257" s="15" t="n">
        <x:f>F257-L257</x:f>
        <x:v>2481.9147</x:v>
      </x:c>
      <x:c r="N257" s="17" t="str"/>
      <x:c r="O257" s="17" t="str">
        <x:v>https://sts2log.com/cards</x:v>
      </x:c>
      <x:c r="P257" s="17" t="str">
        <x:v>https://slaythespire2.net/ancient/tezcatara</x:v>
      </x:c>
    </x:row>
    <x:row r="258" ht="25" customHeight="1">
      <x:c r="A258" s="2" t="str">
        <x:v>v0.107</x:v>
      </x:c>
      <x:c r="B258" s="2" t="str">
        <x:v>故障机器人</x:v>
      </x:c>
      <x:c r="C258" s="2" t="str">
        <x:v>特兹卡塔拉</x:v>
      </x:c>
      <x:c r="D258" s="2" t="str">
        <x:v>黄金印</x:v>
      </x:c>
      <x:c r="E258" s="16" t="n">
        <x:f>IF(G258=0,I258,IF(G258=1,H258,G258*H258+(1-G258)*I258))</x:f>
        <x:v>0.2695206</x:v>
      </x:c>
      <x:c r="F258" s="12" t="n">
        <x:v>2994</x:v>
      </x:c>
      <x:c r="G258" s="11" t="n">
        <x:v>0.1039</x:v>
      </x:c>
      <x:c r="H258" s="11" t="n">
        <x:v>0.22829999999999998</x:v>
      </x:c>
      <x:c r="I258" s="11" t="n">
        <x:v>0.2743</x:v>
      </x:c>
      <x:c r="J258" s="13" t="n">
        <x:f>IF(OR(G258=0,G258=1),"",(H258-I258)*100)</x:f>
        <x:v>-4.600000000000001</x:v>
      </x:c>
      <x:c r="K258" s="14" t="n">
        <x:v>5.38</x:v>
      </x:c>
      <x:c r="L258" s="15" t="n">
        <x:f>F258*G258</x:f>
        <x:v>311.07660000000004</x:v>
      </x:c>
      <x:c r="M258" s="15" t="n">
        <x:f>F258-L258</x:f>
        <x:v>2682.9234</x:v>
      </x:c>
      <x:c r="N258" s="17" t="str"/>
      <x:c r="O258" s="17" t="str">
        <x:v>https://sts2log.com/cards</x:v>
      </x:c>
      <x:c r="P258" s="17" t="str">
        <x:v>https://slaythespire2.net/ancient/tezcatara</x:v>
      </x:c>
    </x:row>
    <x:row r="259" ht="25" customHeight="1">
      <x:c r="A259" s="2" t="str">
        <x:v>v0.107</x:v>
      </x:c>
      <x:c r="B259" s="2" t="str">
        <x:v>故障机器人</x:v>
      </x:c>
      <x:c r="C259" s="2" t="str">
        <x:v>特兹卡塔拉</x:v>
      </x:c>
      <x:c r="D259" s="2" t="str">
        <x:v>烘焙手套</x:v>
      </x:c>
      <x:c r="E259" s="16" t="n">
        <x:f>IF(G259=0,I259,IF(G259=1,H259,G259*H259+(1-G259)*I259))</x:f>
        <x:v>0.25789042000000006</x:v>
      </x:c>
      <x:c r="F259" s="12" t="n">
        <x:v>4102</x:v>
      </x:c>
      <x:c r="G259" s="11" t="n">
        <x:v>0.0171</x:v>
      </x:c>
      <x:c r="H259" s="11" t="n">
        <x:v>0.2286</x:v>
      </x:c>
      <x:c r="I259" s="11" t="n">
        <x:v>0.2584</x:v>
      </x:c>
      <x:c r="J259" s="13" t="n">
        <x:f>IF(OR(G259=0,G259=1),"",(H259-I259)*100)</x:f>
        <x:v>-2.980000000000002</x:v>
      </x:c>
      <x:c r="K259" s="14" t="n">
        <x:v>5.41</x:v>
      </x:c>
      <x:c r="L259" s="15" t="n">
        <x:f>F259*G259</x:f>
        <x:v>70.1442</x:v>
      </x:c>
      <x:c r="M259" s="15" t="n">
        <x:f>F259-L259</x:f>
        <x:v>4031.8558</x:v>
      </x:c>
      <x:c r="N259" s="17" t="str"/>
      <x:c r="O259" s="17" t="str">
        <x:v>https://sts2log.com/cards</x:v>
      </x:c>
      <x:c r="P259" s="17" t="str">
        <x:v>https://slaythespire2.net/ancient/tezcatara</x:v>
      </x:c>
    </x:row>
    <x:row r="260" ht="25" customHeight="1">
      <x:c r="A260" s="2" t="str">
        <x:v>v0.107</x:v>
      </x:c>
      <x:c r="B260" s="2" t="str">
        <x:v>故障机器人</x:v>
      </x:c>
      <x:c r="C260" s="2" t="str">
        <x:v>诺奴佩普</x:v>
      </x:c>
      <x:c r="D260" s="2" t="str">
        <x:v>华美手镯</x:v>
      </x:c>
      <x:c r="E260" s="16" t="n">
        <x:f>IF(G260=0,I260,IF(G260=1,H260,G260*H260+(1-G260)*I260))</x:f>
        <x:v>0.55061666</x:v>
      </x:c>
      <x:c r="F260" s="12" t="n">
        <x:v>1996</x:v>
      </x:c>
      <x:c r="G260" s="11" t="n">
        <x:v>0.4669</x:v>
      </x:c>
      <x:c r="H260" s="11" t="n">
        <x:v>0.6953</x:v>
      </x:c>
      <x:c r="I260" s="11" t="n">
        <x:v>0.4239</x:v>
      </x:c>
      <x:c r="J260" s="13" t="n">
        <x:f>IF(OR(G260=0,G260=1),"",(H260-I260)*100)</x:f>
        <x:v>27.140000000000004</x:v>
      </x:c>
      <x:c r="K260" s="14" t="n">
        <x:v>52.08</x:v>
      </x:c>
      <x:c r="L260" s="15" t="n">
        <x:f>F260*G260</x:f>
        <x:v>931.9323999999999</x:v>
      </x:c>
      <x:c r="M260" s="15" t="n">
        <x:f>F260-L260</x:f>
        <x:v>1064.0676</x:v>
      </x:c>
      <x:c r="N260" s="17" t="str"/>
      <x:c r="O260" s="17" t="str">
        <x:v>https://sts2log.com/cards</x:v>
      </x:c>
      <x:c r="P260" s="17" t="str">
        <x:v>https://slaythespire2.net/ancient/nonupeipe</x:v>
      </x:c>
    </x:row>
    <x:row r="261" ht="25" customHeight="1">
      <x:c r="A261" s="2" t="str">
        <x:v>v0.107</x:v>
      </x:c>
      <x:c r="B261" s="2" t="str">
        <x:v>故障机器人</x:v>
      </x:c>
      <x:c r="C261" s="2" t="str">
        <x:v>诺奴佩普</x:v>
      </x:c>
      <x:c r="D261" s="2" t="str">
        <x:v>珠宝盒</x:v>
      </x:c>
      <x:c r="E261" s="16" t="n">
        <x:f>IF(G261=0,I261,IF(G261=1,H261,G261*H261+(1-G261)*I261))</x:f>
        <x:v>0.5429116299999999</x:v>
      </x:c>
      <x:c r="F261" s="12" t="n">
        <x:v>2052</x:v>
      </x:c>
      <x:c r="G261" s="11" t="n">
        <x:v>0.37329999999999997</x:v>
      </x:c>
      <x:c r="H261" s="11" t="n">
        <x:v>0.5247999999999999</x:v>
      </x:c>
      <x:c r="I261" s="11" t="n">
        <x:v>0.5537</x:v>
      </x:c>
      <x:c r="J261" s="13" t="n">
        <x:f>IF(OR(G261=0,G261=1),"",(H261-I261)*100)</x:f>
        <x:v>-2.8900000000000037</x:v>
      </x:c>
      <x:c r="K261" s="14" t="n">
        <x:v>35.03</x:v>
      </x:c>
      <x:c r="L261" s="15" t="n">
        <x:f>F261*G261</x:f>
        <x:v>766.0115999999999</x:v>
      </x:c>
      <x:c r="M261" s="15" t="n">
        <x:f>F261-L261</x:f>
        <x:v>1285.9884000000002</x:v>
      </x:c>
      <x:c r="N261" s="17" t="str"/>
      <x:c r="O261" s="17" t="str">
        <x:v>https://sts2log.com/cards</x:v>
      </x:c>
      <x:c r="P261" s="17" t="str">
        <x:v>https://slaythespire2.net/ancient/nonupeipe</x:v>
      </x:c>
    </x:row>
    <x:row r="262" ht="25" customHeight="1">
      <x:c r="A262" s="2" t="str">
        <x:v>v0.107</x:v>
      </x:c>
      <x:c r="B262" s="2" t="str">
        <x:v>故障机器人</x:v>
      </x:c>
      <x:c r="C262" s="2" t="str">
        <x:v>诺奴佩普</x:v>
      </x:c>
      <x:c r="D262" s="2" t="str">
        <x:v>图章戒指</x:v>
      </x:c>
      <x:c r="E262" s="16" t="n">
        <x:f>IF(G262=0,I262,IF(G262=1,H262,G262*H262+(1-G262)*I262))</x:f>
        <x:v>0.52179632</x:v>
      </x:c>
      <x:c r="F262" s="12" t="n">
        <x:v>2089</x:v>
      </x:c>
      <x:c r="G262" s="11" t="n">
        <x:v>0.5132</x:v>
      </x:c>
      <x:c r="H262" s="11" t="n">
        <x:v>0.5401</x:v>
      </x:c>
      <x:c r="I262" s="11" t="n">
        <x:v>0.5025</x:v>
      </x:c>
      <x:c r="J262" s="13" t="n">
        <x:f>IF(OR(G262=0,G262=1),"",(H262-I262)*100)</x:f>
        <x:v>3.760000000000008</x:v>
      </x:c>
      <x:c r="K262" s="14" t="n">
        <x:v>36.56</x:v>
      </x:c>
      <x:c r="L262" s="15" t="n">
        <x:f>F262*G262</x:f>
        <x:v>1072.0747999999999</x:v>
      </x:c>
      <x:c r="M262" s="15" t="n">
        <x:f>F262-L262</x:f>
        <x:v>1016.9252000000001</x:v>
      </x:c>
      <x:c r="N262" s="17" t="str"/>
      <x:c r="O262" s="17" t="str">
        <x:v>https://sts2log.com/cards</x:v>
      </x:c>
      <x:c r="P262" s="17" t="str">
        <x:v>https://slaythespire2.net/ancient/nonupeipe</x:v>
      </x:c>
    </x:row>
    <x:row r="263" ht="25" customHeight="1">
      <x:c r="A263" s="2" t="str">
        <x:v>v0.107</x:v>
      </x:c>
      <x:c r="B263" s="2" t="str">
        <x:v>故障机器人</x:v>
      </x:c>
      <x:c r="C263" s="2" t="str">
        <x:v>诺奴佩普</x:v>
      </x:c>
      <x:c r="D263" s="2" t="str">
        <x:v>娇嫩蕨草</x:v>
      </x:c>
      <x:c r="E263" s="16" t="n">
        <x:f>IF(G263=0,I263,IF(G263=1,H263,G263*H263+(1-G263)*I263))</x:f>
        <x:v>0.50857662</x:v>
      </x:c>
      <x:c r="F263" s="12" t="n">
        <x:v>2098</x:v>
      </x:c>
      <x:c r="G263" s="11" t="n">
        <x:v>0.1382</x:v>
      </x:c>
      <x:c r="H263" s="11" t="n">
        <x:v>0.5552</x:v>
      </x:c>
      <x:c r="I263" s="11" t="n">
        <x:v>0.5011</x:v>
      </x:c>
      <x:c r="J263" s="13" t="n">
        <x:f>IF(OR(G263=0,G263=1),"",(H263-I263)*100)</x:f>
        <x:v>5.410000000000004</x:v>
      </x:c>
      <x:c r="K263" s="14" t="n">
        <x:v>38.07</x:v>
      </x:c>
      <x:c r="L263" s="15" t="n">
        <x:f>F263*G263</x:f>
        <x:v>289.9436</x:v>
      </x:c>
      <x:c r="M263" s="15" t="n">
        <x:f>F263-L263</x:f>
        <x:v>1808.0564</x:v>
      </x:c>
      <x:c r="N263" s="17" t="str"/>
      <x:c r="O263" s="17" t="str">
        <x:v>https://sts2log.com/cards</x:v>
      </x:c>
      <x:c r="P263" s="17" t="str">
        <x:v>https://slaythespire2.net/ancient/nonupeipe</x:v>
      </x:c>
    </x:row>
    <x:row r="264" ht="25" customHeight="1">
      <x:c r="A264" s="2" t="str">
        <x:v>v0.107</x:v>
      </x:c>
      <x:c r="B264" s="2" t="str">
        <x:v>故障机器人</x:v>
      </x:c>
      <x:c r="C264" s="2" t="str">
        <x:v>诺奴佩普</x:v>
      </x:c>
      <x:c r="D264" s="2" t="str">
        <x:v>皮草大衣</x:v>
      </x:c>
      <x:c r="E264" s="16" t="n">
        <x:f>IF(G264=0,I264,IF(G264=1,H264,G264*H264+(1-G264)*I264))</x:f>
        <x:v>0.50852311</x:v>
      </x:c>
      <x:c r="F264" s="12" t="n">
        <x:v>1992</x:v>
      </x:c>
      <x:c r="G264" s="11" t="n">
        <x:v>0.2781</x:v>
      </x:c>
      <x:c r="H264" s="11" t="n">
        <x:v>0.3736</x:v>
      </x:c>
      <x:c r="I264" s="11" t="n">
        <x:v>0.5605</x:v>
      </x:c>
      <x:c r="J264" s="13" t="n">
        <x:f>IF(OR(G264=0,G264=1),"",(H264-I264)*100)</x:f>
        <x:v>-18.69</x:v>
      </x:c>
      <x:c r="K264" s="14" t="n">
        <x:v>19.91</x:v>
      </x:c>
      <x:c r="L264" s="15" t="n">
        <x:f>F264*G264</x:f>
        <x:v>553.9752</x:v>
      </x:c>
      <x:c r="M264" s="15" t="n">
        <x:f>F264-L264</x:f>
        <x:v>1438.0248000000001</x:v>
      </x:c>
      <x:c r="N264" s="17" t="str"/>
      <x:c r="O264" s="17" t="str">
        <x:v>https://sts2log.com/cards</x:v>
      </x:c>
      <x:c r="P264" s="17" t="str">
        <x:v>https://slaythespire2.net/ancient/nonupeipe</x:v>
      </x:c>
    </x:row>
    <x:row r="265" ht="25" customHeight="1">
      <x:c r="A265" s="2" t="str">
        <x:v>v0.107</x:v>
      </x:c>
      <x:c r="B265" s="2" t="str">
        <x:v>故障机器人</x:v>
      </x:c>
      <x:c r="C265" s="2" t="str">
        <x:v>诺奴佩普</x:v>
      </x:c>
      <x:c r="D265" s="2" t="str">
        <x:v>布质果实</x:v>
      </x:c>
      <x:c r="E265" s="16" t="n">
        <x:f>IF(G265=0,I265,IF(G265=1,H265,G265*H265+(1-G265)*I265))</x:f>
        <x:v>0.5082361200000001</x:v>
      </x:c>
      <x:c r="F265" s="12" t="n">
        <x:v>2117</x:v>
      </x:c>
      <x:c r="G265" s="11" t="n">
        <x:v>0.24280000000000002</x:v>
      </x:c>
      <x:c r="H265" s="11" t="n">
        <x:v>0.465</x:v>
      </x:c>
      <x:c r="I265" s="11" t="n">
        <x:v>0.5221</x:v>
      </x:c>
      <x:c r="J265" s="13" t="n">
        <x:f>IF(OR(G265=0,G265=1),"",(H265-I265)*100)</x:f>
        <x:v>-5.709999999999998</x:v>
      </x:c>
      <x:c r="K265" s="14" t="n">
        <x:v>29.05</x:v>
      </x:c>
      <x:c r="L265" s="15" t="n">
        <x:f>F265*G265</x:f>
        <x:v>514.0076</x:v>
      </x:c>
      <x:c r="M265" s="15" t="n">
        <x:f>F265-L265</x:f>
        <x:v>1602.9924</x:v>
      </x:c>
      <x:c r="N265" s="17" t="str"/>
      <x:c r="O265" s="17" t="str">
        <x:v>https://sts2log.com/cards</x:v>
      </x:c>
      <x:c r="P265" s="17" t="str">
        <x:v>https://slaythespire2.net/ancient/nonupeipe</x:v>
      </x:c>
    </x:row>
    <x:row r="266" ht="25" customHeight="1">
      <x:c r="A266" s="2" t="str">
        <x:v>v0.107</x:v>
      </x:c>
      <x:c r="B266" s="2" t="str">
        <x:v>故障机器人</x:v>
      </x:c>
      <x:c r="C266" s="2" t="str">
        <x:v>诺奴佩普</x:v>
      </x:c>
      <x:c r="D266" s="2" t="str">
        <x:v>钻石头冠</x:v>
      </x:c>
      <x:c r="E266" s="16" t="n">
        <x:f>IF(G266=0,I266,IF(G266=1,H266,G266*H266+(1-G266)*I266))</x:f>
        <x:v>0.50623708</x:v>
      </x:c>
      <x:c r="F266" s="12" t="n">
        <x:v>2082</x:v>
      </x:c>
      <x:c r="G266" s="11" t="n">
        <x:v>0.1993</x:v>
      </x:c>
      <x:c r="H266" s="11" t="n">
        <x:v>0.4867</x:v>
      </x:c>
      <x:c r="I266" s="11" t="n">
        <x:v>0.5111</x:v>
      </x:c>
      <x:c r="J266" s="13" t="n">
        <x:f>IF(OR(G266=0,G266=1),"",(H266-I266)*100)</x:f>
        <x:v>-2.4399999999999977</x:v>
      </x:c>
      <x:c r="K266" s="14" t="n">
        <x:v>31.22</x:v>
      </x:c>
      <x:c r="L266" s="15" t="n">
        <x:f>F266*G266</x:f>
        <x:v>414.9426</x:v>
      </x:c>
      <x:c r="M266" s="15" t="n">
        <x:f>F266-L266</x:f>
        <x:v>1667.0574</x:v>
      </x:c>
      <x:c r="N266" s="17" t="str"/>
      <x:c r="O266" s="17" t="str">
        <x:v>https://sts2log.com/cards</x:v>
      </x:c>
      <x:c r="P266" s="17" t="str">
        <x:v>https://slaythespire2.net/ancient/nonupeipe</x:v>
      </x:c>
    </x:row>
    <x:row r="267" ht="25" customHeight="1">
      <x:c r="A267" s="2" t="str">
        <x:v>v0.107</x:v>
      </x:c>
      <x:c r="B267" s="2" t="str">
        <x:v>故障机器人</x:v>
      </x:c>
      <x:c r="C267" s="2" t="str">
        <x:v>诺奴佩普</x:v>
      </x:c>
      <x:c r="D267" s="2" t="str">
        <x:v>赐福鹿角</x:v>
      </x:c>
      <x:c r="E267" s="16" t="n">
        <x:f>IF(G267=0,I267,IF(G267=1,H267,G267*H267+(1-G267)*I267))</x:f>
        <x:v>0.49807992</x:v>
      </x:c>
      <x:c r="F267" s="12" t="n">
        <x:v>2098</x:v>
      </x:c>
      <x:c r="G267" s="11" t="n">
        <x:v>0.36560000000000004</x:v>
      </x:c>
      <x:c r="H267" s="11" t="n">
        <x:v>0.4446</x:v>
      </x:c>
      <x:c r="I267" s="11" t="n">
        <x:v>0.5289</x:v>
      </x:c>
      <x:c r="J267" s="13" t="n">
        <x:f>IF(OR(G267=0,G267=1),"",(H267-I267)*100)</x:f>
        <x:v>-8.430000000000003</x:v>
      </x:c>
      <x:c r="K267" s="14" t="n">
        <x:v>27.01</x:v>
      </x:c>
      <x:c r="L267" s="15" t="n">
        <x:f>F267*G267</x:f>
        <x:v>767.0288</x:v>
      </x:c>
      <x:c r="M267" s="15" t="n">
        <x:f>F267-L267</x:f>
        <x:v>1330.9712</x:v>
      </x:c>
      <x:c r="N267" s="17" t="str"/>
      <x:c r="O267" s="17" t="str">
        <x:v>https://sts2log.com/cards</x:v>
      </x:c>
      <x:c r="P267" s="17" t="str">
        <x:v>https://slaythespire2.net/ancient/nonupeipe</x:v>
      </x:c>
    </x:row>
    <x:row r="268" ht="25" customHeight="1">
      <x:c r="A268" s="2" t="str">
        <x:v>v0.107</x:v>
      </x:c>
      <x:c r="B268" s="2" t="str">
        <x:v>故障机器人</x:v>
      </x:c>
      <x:c r="C268" s="2" t="str">
        <x:v>诺奴佩普</x:v>
      </x:c>
      <x:c r="D268" s="2" t="str">
        <x:v>亮片</x:v>
      </x:c>
      <x:c r="E268" s="16" t="n">
        <x:f>IF(G268=0,I268,IF(G268=1,H268,G268*H268+(1-G268)*I268))</x:f>
        <x:v>0.49546064</x:v>
      </x:c>
      <x:c r="F268" s="12" t="n">
        <x:v>2079</x:v>
      </x:c>
      <x:c r="G268" s="11" t="n">
        <x:v>0.4464</x:v>
      </x:c>
      <x:c r="H268" s="11" t="n">
        <x:v>0.4623</x:v>
      </x:c>
      <x:c r="I268" s="11" t="n">
        <x:v>0.5222</x:v>
      </x:c>
      <x:c r="J268" s="13" t="n">
        <x:f>IF(OR(G268=0,G268=1),"",(H268-I268)*100)</x:f>
        <x:v>-5.990000000000001</x:v>
      </x:c>
      <x:c r="K268" s="14" t="n">
        <x:v>28.78</x:v>
      </x:c>
      <x:c r="L268" s="15" t="n">
        <x:f>F268*G268</x:f>
        <x:v>928.0656</x:v>
      </x:c>
      <x:c r="M268" s="15" t="n">
        <x:f>F268-L268</x:f>
        <x:v>1150.9344</x:v>
      </x:c>
      <x:c r="N268" s="17" t="str"/>
      <x:c r="O268" s="17" t="str">
        <x:v>https://sts2log.com/cards</x:v>
      </x:c>
      <x:c r="P268" s="17" t="str">
        <x:v>https://slaythespire2.net/ancient/nonupeipe</x:v>
      </x:c>
    </x:row>
    <x:row r="269" ht="25" customHeight="1">
      <x:c r="A269" s="2" t="str">
        <x:v>v0.107</x:v>
      </x:c>
      <x:c r="B269" s="2" t="str">
        <x:v>故障机器人</x:v>
      </x:c>
      <x:c r="C269" s="2" t="str">
        <x:v>诺奴佩普</x:v>
      </x:c>
      <x:c r="D269" s="2" t="str">
        <x:v>艳丽围巾</x:v>
      </x:c>
      <x:c r="E269" s="16" t="n">
        <x:f>IF(G269=0,I269,IF(G269=1,H269,G269*H269+(1-G269)*I269))</x:f>
        <x:v>0.49485947999999996</x:v>
      </x:c>
      <x:c r="F269" s="12" t="n">
        <x:v>2045</x:v>
      </x:c>
      <x:c r="G269" s="11" t="n">
        <x:v>0.30760000000000004</x:v>
      </x:c>
      <x:c r="H269" s="11" t="n">
        <x:v>0.5103</x:v>
      </x:c>
      <x:c r="I269" s="11" t="n">
        <x:v>0.488</x:v>
      </x:c>
      <x:c r="J269" s="13" t="n">
        <x:f>IF(OR(G269=0,G269=1),"",(H269-I269)*100)</x:f>
        <x:v>2.2299999999999986</x:v>
      </x:c>
      <x:c r="K269" s="14" t="n">
        <x:v>33.58</x:v>
      </x:c>
      <x:c r="L269" s="15" t="n">
        <x:f>F269*G269</x:f>
        <x:v>629.042</x:v>
      </x:c>
      <x:c r="M269" s="15" t="n">
        <x:f>F269-L269</x:f>
        <x:v>1415.958</x:v>
      </x:c>
      <x:c r="N269" s="17" t="str"/>
      <x:c r="O269" s="17" t="str">
        <x:v>https://sts2log.com/cards</x:v>
      </x:c>
      <x:c r="P269" s="17" t="str">
        <x:v>https://slaythespire2.net/ancient/nonupeipe</x:v>
      </x:c>
    </x:row>
    <x:row r="270" ht="25" customHeight="1">
      <x:c r="A270" s="2" t="str">
        <x:v>v0.107</x:v>
      </x:c>
      <x:c r="B270" s="2" t="str">
        <x:v>故障机器人</x:v>
      </x:c>
      <x:c r="C270" s="2" t="str">
        <x:v>坦克斯</x:v>
      </x:c>
      <x:c r="D270" s="2" t="str">
        <x:v>铁棒</x:v>
      </x:c>
      <x:c r="E270" s="16" t="n">
        <x:f>IF(G270=0,I270,IF(G270=1,H270,G270*H270+(1-G270)*I270))</x:f>
        <x:v>0.5813349400000001</x:v>
      </x:c>
      <x:c r="F270" s="12" t="n">
        <x:v>2133</x:v>
      </x:c>
      <x:c r="G270" s="11" t="n">
        <x:v>0.6038</x:v>
      </x:c>
      <x:c r="H270" s="11" t="n">
        <x:v>0.6809000000000001</x:v>
      </x:c>
      <x:c r="I270" s="11" t="n">
        <x:v>0.4296</x:v>
      </x:c>
      <x:c r="J270" s="13" t="n">
        <x:f>IF(OR(G270=0,G270=1),"",(H270-I270)*100)</x:f>
        <x:v>25.13000000000001</x:v>
      </x:c>
      <x:c r="K270" s="14" t="n">
        <x:v>50.64</x:v>
      </x:c>
      <x:c r="L270" s="15" t="n">
        <x:f>F270*G270</x:f>
        <x:v>1287.9054</x:v>
      </x:c>
      <x:c r="M270" s="15" t="n">
        <x:f>F270-L270</x:f>
        <x:v>845.0945999999999</x:v>
      </x:c>
      <x:c r="N270" s="17" t="str"/>
      <x:c r="O270" s="17" t="str">
        <x:v>https://sts2log.com/cards</x:v>
      </x:c>
      <x:c r="P270" s="17" t="str">
        <x:v>https://slaythespire2.net/ancient/tanx</x:v>
      </x:c>
    </x:row>
    <x:row r="271" ht="25" customHeight="1">
      <x:c r="A271" s="2" t="str">
        <x:v>v0.107</x:v>
      </x:c>
      <x:c r="B271" s="2" t="str">
        <x:v>故障机器人</x:v>
      </x:c>
      <x:c r="C271" s="2" t="str">
        <x:v>坦克斯</x:v>
      </x:c>
      <x:c r="D271" s="2" t="str">
        <x:v>钗</x:v>
      </x:c>
      <x:c r="E271" s="16" t="n">
        <x:f>IF(G271=0,I271,IF(G271=1,H271,G271*H271+(1-G271)*I271))</x:f>
        <x:v>0.54942767</x:v>
      </x:c>
      <x:c r="F271" s="12" t="n">
        <x:v>2135</x:v>
      </x:c>
      <x:c r="G271" s="11" t="n">
        <x:v>0.49229999999999996</x:v>
      </x:c>
      <x:c r="H271" s="11" t="n">
        <x:v>0.5509000000000001</x:v>
      </x:c>
      <x:c r="I271" s="11" t="n">
        <x:v>0.5479999999999999</x:v>
      </x:c>
      <x:c r="J271" s="13" t="n">
        <x:f>IF(OR(G271=0,G271=1),"",(H271-I271)*100)</x:f>
        <x:v>0.29000000000001247</x:v>
      </x:c>
      <x:c r="K271" s="14" t="n">
        <x:v>37.64</x:v>
      </x:c>
      <x:c r="L271" s="15" t="n">
        <x:f>F271*G271</x:f>
        <x:v>1051.0604999999998</x:v>
      </x:c>
      <x:c r="M271" s="15" t="n">
        <x:f>F271-L271</x:f>
        <x:v>1083.9395000000002</x:v>
      </x:c>
      <x:c r="N271" s="17" t="str"/>
      <x:c r="O271" s="17" t="str">
        <x:v>https://sts2log.com/cards</x:v>
      </x:c>
      <x:c r="P271" s="17" t="str">
        <x:v>https://slaythespire2.net/ancient/tanx</x:v>
      </x:c>
    </x:row>
    <x:row r="272" ht="25" customHeight="1">
      <x:c r="A272" s="2" t="str">
        <x:v>v0.107</x:v>
      </x:c>
      <x:c r="B272" s="2" t="str">
        <x:v>故障机器人</x:v>
      </x:c>
      <x:c r="C272" s="2" t="str">
        <x:v>坦克斯</x:v>
      </x:c>
      <x:c r="D272" s="2" t="str">
        <x:v>十字弓</x:v>
      </x:c>
      <x:c r="E272" s="16" t="n">
        <x:f>IF(G272=0,I272,IF(G272=1,H272,G272*H272+(1-G272)*I272))</x:f>
        <x:v>0.5311202199999999</x:v>
      </x:c>
      <x:c r="F272" s="12" t="n">
        <x:v>2088</x:v>
      </x:c>
      <x:c r="G272" s="11" t="n">
        <x:v>0.17190000000000003</x:v>
      </x:c>
      <x:c r="H272" s="11" t="n">
        <x:v>0.4763</x:v>
      </x:c>
      <x:c r="I272" s="11" t="n">
        <x:v>0.5425</x:v>
      </x:c>
      <x:c r="J272" s="13" t="n">
        <x:f>IF(OR(G272=0,G272=1),"",(H272-I272)*100)</x:f>
        <x:v>-6.619999999999998</x:v>
      </x:c>
      <x:c r="K272" s="14" t="n">
        <x:v>30.18</x:v>
      </x:c>
      <x:c r="L272" s="15" t="n">
        <x:f>F272*G272</x:f>
        <x:v>358.9272</x:v>
      </x:c>
      <x:c r="M272" s="15" t="n">
        <x:f>F272-L272</x:f>
        <x:v>1729.0728</x:v>
      </x:c>
      <x:c r="N272" s="17" t="str"/>
      <x:c r="O272" s="17" t="str">
        <x:v>https://sts2log.com/cards</x:v>
      </x:c>
      <x:c r="P272" s="17" t="str">
        <x:v>https://slaythespire2.net/ancient/tanx</x:v>
      </x:c>
    </x:row>
    <x:row r="273" ht="25" customHeight="1">
      <x:c r="A273" s="2" t="str">
        <x:v>v0.107</x:v>
      </x:c>
      <x:c r="B273" s="2" t="str">
        <x:v>故障机器人</x:v>
      </x:c>
      <x:c r="C273" s="2" t="str">
        <x:v>坦克斯</x:v>
      </x:c>
      <x:c r="D273" s="2" t="str">
        <x:v>切肉刀</x:v>
      </x:c>
      <x:c r="E273" s="16" t="n">
        <x:f>IF(G273=0,I273,IF(G273=1,H273,G273*H273+(1-G273)*I273))</x:f>
        <x:v>0.5207236399999999</x:v>
      </x:c>
      <x:c r="F273" s="12" t="n">
        <x:v>2095</x:v>
      </x:c>
      <x:c r="G273" s="11" t="n">
        <x:v>0.5537</x:v>
      </x:c>
      <x:c r="H273" s="11" t="n">
        <x:v>0.5284</x:v>
      </x:c>
      <x:c r="I273" s="11" t="n">
        <x:v>0.5112</x:v>
      </x:c>
      <x:c r="J273" s="13" t="n">
        <x:f>IF(OR(G273=0,G273=1),"",(H273-I273)*100)</x:f>
        <x:v>1.7199999999999993</x:v>
      </x:c>
      <x:c r="K273" s="14" t="n">
        <x:v>35.39</x:v>
      </x:c>
      <x:c r="L273" s="15" t="n">
        <x:f>F273*G273</x:f>
        <x:v>1160.0014999999999</x:v>
      </x:c>
      <x:c r="M273" s="15" t="n">
        <x:f>F273-L273</x:f>
        <x:v>934.9985000000001</x:v>
      </x:c>
      <x:c r="N273" s="17" t="str"/>
      <x:c r="O273" s="17" t="str">
        <x:v>https://sts2log.com/cards</x:v>
      </x:c>
      <x:c r="P273" s="17" t="str">
        <x:v>https://slaythespire2.net/ancient/tanx</x:v>
      </x:c>
    </x:row>
    <x:row r="274" ht="25" customHeight="1">
      <x:c r="A274" s="2" t="str">
        <x:v>v0.107</x:v>
      </x:c>
      <x:c r="B274" s="2" t="str">
        <x:v>故障机器人</x:v>
      </x:c>
      <x:c r="C274" s="2" t="str">
        <x:v>坦克斯</x:v>
      </x:c>
      <x:c r="D274" s="2" t="str">
        <x:v>战锤</x:v>
      </x:c>
      <x:c r="E274" s="16" t="n">
        <x:f>IF(G274=0,I274,IF(G274=1,H274,G274*H274+(1-G274)*I274))</x:f>
        <x:v>0.51269708</x:v>
      </x:c>
      <x:c r="F274" s="12" t="n">
        <x:v>2044</x:v>
      </x:c>
      <x:c r="G274" s="11" t="n">
        <x:v>0.2818</x:v>
      </x:c>
      <x:c r="H274" s="11" t="n">
        <x:v>0.4844</x:v>
      </x:c>
      <x:c r="I274" s="11" t="n">
        <x:v>0.5238</x:v>
      </x:c>
      <x:c r="J274" s="13" t="n">
        <x:f>IF(OR(G274=0,G274=1),"",(H274-I274)*100)</x:f>
        <x:v>-3.940000000000005</x:v>
      </x:c>
      <x:c r="K274" s="14" t="n">
        <x:v>30.99</x:v>
      </x:c>
      <x:c r="L274" s="15" t="n">
        <x:f>F274*G274</x:f>
        <x:v>575.9992</x:v>
      </x:c>
      <x:c r="M274" s="15" t="n">
        <x:f>F274-L274</x:f>
        <x:v>1468.0008</x:v>
      </x:c>
      <x:c r="N274" s="17" t="str"/>
      <x:c r="O274" s="17" t="str">
        <x:v>https://sts2log.com/cards</x:v>
      </x:c>
      <x:c r="P274" s="17" t="str">
        <x:v>https://slaythespire2.net/ancient/tanx</x:v>
      </x:c>
    </x:row>
    <x:row r="275" ht="25" customHeight="1">
      <x:c r="A275" s="2" t="str">
        <x:v>v0.107</x:v>
      </x:c>
      <x:c r="B275" s="2" t="str">
        <x:v>故障机器人</x:v>
      </x:c>
      <x:c r="C275" s="2" t="str">
        <x:v>坦克斯</x:v>
      </x:c>
      <x:c r="D275" s="2" t="str">
        <x:v>投斧</x:v>
      </x:c>
      <x:c r="E275" s="16" t="n">
        <x:f>IF(G275=0,I275,IF(G275=1,H275,G275*H275+(1-G275)*I275))</x:f>
        <x:v>0.5048054799999999</x:v>
      </x:c>
      <x:c r="F275" s="12" t="n">
        <x:v>2082</x:v>
      </x:c>
      <x:c r="G275" s="11" t="n">
        <x:v>0.4428</x:v>
      </x:c>
      <x:c r="H275" s="11" t="n">
        <x:v>0.4653</x:v>
      </x:c>
      <x:c r="I275" s="11" t="n">
        <x:v>0.5362</x:v>
      </x:c>
      <x:c r="J275" s="13" t="n">
        <x:f>IF(OR(G275=0,G275=1),"",(H275-I275)*100)</x:f>
        <x:v>-7.090000000000002</x:v>
      </x:c>
      <x:c r="K275" s="14" t="n">
        <x:v>29.08</x:v>
      </x:c>
      <x:c r="L275" s="15" t="n">
        <x:f>F275*G275</x:f>
        <x:v>921.9096000000001</x:v>
      </x:c>
      <x:c r="M275" s="15" t="n">
        <x:f>F275-L275</x:f>
        <x:v>1160.0904</x:v>
      </x:c>
      <x:c r="N275" s="17" t="str"/>
      <x:c r="O275" s="17" t="str">
        <x:v>https://sts2log.com/cards</x:v>
      </x:c>
      <x:c r="P275" s="17" t="str">
        <x:v>https://slaythespire2.net/ancient/tanx</x:v>
      </x:c>
    </x:row>
    <x:row r="276" ht="25" customHeight="1">
      <x:c r="A276" s="2" t="str">
        <x:v>v0.107</x:v>
      </x:c>
      <x:c r="B276" s="2" t="str">
        <x:v>故障机器人</x:v>
      </x:c>
      <x:c r="C276" s="2" t="str">
        <x:v>坦克斯</x:v>
      </x:c>
      <x:c r="D276" s="2" t="str">
        <x:v>带刺手甲</x:v>
      </x:c>
      <x:c r="E276" s="16" t="n">
        <x:f>IF(G276=0,I276,IF(G276=1,H276,G276*H276+(1-G276)*I276))</x:f>
        <x:v>0.49807592</x:v>
      </x:c>
      <x:c r="F276" s="12" t="n">
        <x:v>2098</x:v>
      </x:c>
      <x:c r="G276" s="11" t="n">
        <x:v>0.1864</x:v>
      </x:c>
      <x:c r="H276" s="11" t="n">
        <x:v>0.43729999999999997</x:v>
      </x:c>
      <x:c r="I276" s="11" t="n">
        <x:v>0.512</x:v>
      </x:c>
      <x:c r="J276" s="13" t="n">
        <x:f>IF(OR(G276=0,G276=1),"",(H276-I276)*100)</x:f>
        <x:v>-7.470000000000004</x:v>
      </x:c>
      <x:c r="K276" s="14" t="n">
        <x:v>26.28</x:v>
      </x:c>
      <x:c r="L276" s="15" t="n">
        <x:f>F276*G276</x:f>
        <x:v>391.0672</x:v>
      </x:c>
      <x:c r="M276" s="15" t="n">
        <x:f>F276-L276</x:f>
        <x:v>1706.9328</x:v>
      </x:c>
      <x:c r="N276" s="17" t="str"/>
      <x:c r="O276" s="17" t="str">
        <x:v>https://sts2log.com/cards</x:v>
      </x:c>
      <x:c r="P276" s="17" t="str">
        <x:v>https://slaythespire2.net/ancient/tanx</x:v>
      </x:c>
    </x:row>
    <x:row r="277" ht="25" customHeight="1">
      <x:c r="A277" s="2" t="str">
        <x:v>v0.107</x:v>
      </x:c>
      <x:c r="B277" s="2" t="str">
        <x:v>故障机器人</x:v>
      </x:c>
      <x:c r="C277" s="2" t="str">
        <x:v>坦克斯</x:v>
      </x:c>
      <x:c r="D277" s="2" t="str">
        <x:v>三刃回旋镖</x:v>
      </x:c>
      <x:c r="E277" s="16" t="n">
        <x:f>IF(G277=0,I277,IF(G277=1,H277,G277*H277+(1-G277)*I277))</x:f>
        <x:v>0.49732959</x:v>
      </x:c>
      <x:c r="F277" s="12" t="n">
        <x:v>1874</x:v>
      </x:c>
      <x:c r="G277" s="11" t="n">
        <x:v>0.2753</x:v>
      </x:c>
      <x:c r="H277" s="11" t="n">
        <x:v>0.4903</x:v>
      </x:c>
      <x:c r="I277" s="11" t="n">
        <x:v>0.5</x:v>
      </x:c>
      <x:c r="J277" s="13" t="n">
        <x:f>IF(OR(G277=0,G277=1),"",(H277-I277)*100)</x:f>
        <x:v>-0.9699999999999986</x:v>
      </x:c>
      <x:c r="K277" s="14" t="n">
        <x:v>31.58</x:v>
      </x:c>
      <x:c r="L277" s="15" t="n">
        <x:f>F277*G277</x:f>
        <x:v>515.9122</x:v>
      </x:c>
      <x:c r="M277" s="15" t="n">
        <x:f>F277-L277</x:f>
        <x:v>1358.0878</x:v>
      </x:c>
      <x:c r="N277" s="17" t="str"/>
      <x:c r="O277" s="17" t="str">
        <x:v>https://sts2log.com/cards</x:v>
      </x:c>
      <x:c r="P277" s="17" t="str">
        <x:v>https://slaythespire2.net/ancient/tanx</x:v>
      </x:c>
    </x:row>
    <x:row r="278" ht="25" customHeight="1">
      <x:c r="A278" s="2" t="str">
        <x:v>v0.107</x:v>
      </x:c>
      <x:c r="B278" s="2" t="str">
        <x:v>故障机器人</x:v>
      </x:c>
      <x:c r="C278" s="2" t="str">
        <x:v>坦克斯</x:v>
      </x:c>
      <x:c r="D278" s="2" t="str">
        <x:v>利爪</x:v>
      </x:c>
      <x:c r="E278" s="16" t="n">
        <x:f>IF(G278=0,I278,IF(G278=1,H278,G278*H278+(1-G278)*I278))</x:f>
        <x:v>0.49722043</x:v>
      </x:c>
      <x:c r="F278" s="12" t="n">
        <x:v>2148</x:v>
      </x:c>
      <x:c r="G278" s="11" t="n">
        <x:v>0.1387</x:v>
      </x:c>
      <x:c r="H278" s="11" t="n">
        <x:v>0.3154</x:v>
      </x:c>
      <x:c r="I278" s="11" t="n">
        <x:v>0.5265</x:v>
      </x:c>
      <x:c r="J278" s="13" t="n">
        <x:f>IF(OR(G278=0,G278=1),"",(H278-I278)*100)</x:f>
        <x:v>-21.109999999999996</x:v>
      </x:c>
      <x:c r="K278" s="14" t="n">
        <x:v>14.09</x:v>
      </x:c>
      <x:c r="L278" s="15" t="n">
        <x:f>F278*G278</x:f>
        <x:v>297.9276</x:v>
      </x:c>
      <x:c r="M278" s="15" t="n">
        <x:f>F278-L278</x:f>
        <x:v>1850.0724</x:v>
      </x:c>
      <x:c r="N278" s="17" t="str"/>
      <x:c r="O278" s="17" t="str">
        <x:v>https://sts2log.com/cards</x:v>
      </x:c>
      <x:c r="P278" s="17" t="str">
        <x:v>https://slaythespire2.net/ancient/tanx</x:v>
      </x:c>
    </x:row>
    <x:row r="279" ht="25" customHeight="1">
      <x:c r="A279" s="2" t="str">
        <x:v>v0.107</x:v>
      </x:c>
      <x:c r="B279" s="2" t="str">
        <x:v>故障机器人</x:v>
      </x:c>
      <x:c r="C279" s="2" t="str">
        <x:v>坦克斯</x:v>
      </x:c>
      <x:c r="D279" s="2" t="str">
        <x:v>坦克斯的哨子</x:v>
      </x:c>
      <x:c r="E279" s="16" t="n">
        <x:f>IF(G279=0,I279,IF(G279=1,H279,G279*H279+(1-G279)*I279))</x:f>
        <x:v>0.48684716</x:v>
      </x:c>
      <x:c r="F279" s="12" t="n">
        <x:v>2132</x:v>
      </x:c>
      <x:c r="G279" s="11" t="n">
        <x:v>0.1764</x:v>
      </x:c>
      <x:c r="H279" s="11" t="n">
        <x:v>0.34840000000000004</x:v>
      </x:c>
      <x:c r="I279" s="11" t="n">
        <x:v>0.5165</x:v>
      </x:c>
      <x:c r="J279" s="13" t="n">
        <x:f>IF(OR(G279=0,G279=1),"",(H279-I279)*100)</x:f>
        <x:v>-16.80999999999999</x:v>
      </x:c>
      <x:c r="K279" s="14" t="n">
        <x:v>17.39</x:v>
      </x:c>
      <x:c r="L279" s="15" t="n">
        <x:f>F279*G279</x:f>
        <x:v>376.08480000000003</x:v>
      </x:c>
      <x:c r="M279" s="15" t="n">
        <x:f>F279-L279</x:f>
        <x:v>1755.9152</x:v>
      </x:c>
      <x:c r="N279" s="17" t="str"/>
      <x:c r="O279" s="17" t="str">
        <x:v>https://sts2log.com/cards</x:v>
      </x:c>
      <x:c r="P279" s="17" t="str">
        <x:v>https://slaythespire2.net/ancient/tanx</x:v>
      </x:c>
    </x:row>
    <x:row r="280" ht="25" customHeight="1">
      <x:c r="A280" s="2" t="str">
        <x:v>v0.107</x:v>
      </x:c>
      <x:c r="B280" s="2" t="str">
        <x:v>故障机器人</x:v>
      </x:c>
      <x:c r="C280" s="2" t="str">
        <x:v>瓦库</x:v>
      </x:c>
      <x:c r="D280" s="2" t="str">
        <x:v>音乐盒</x:v>
      </x:c>
      <x:c r="E280" s="16" t="n">
        <x:f>IF(G280=0,I280,IF(G280=1,H280,G280*H280+(1-G280)*I280))</x:f>
        <x:v>0.48713610000000007</x:v>
      </x:c>
      <x:c r="F280" s="12" t="n">
        <x:v>1747</x:v>
      </x:c>
      <x:c r="G280" s="11" t="n">
        <x:v>0.3898</x:v>
      </x:c>
      <x:c r="H280" s="11" t="n">
        <x:v>0.5448</x:v>
      </x:c>
      <x:c r="I280" s="11" t="n">
        <x:v>0.45030000000000003</x:v>
      </x:c>
      <x:c r="J280" s="13" t="n">
        <x:f>IF(OR(G280=0,G280=1),"",(H280-I280)*100)</x:f>
        <x:v>9.449999999999992</x:v>
      </x:c>
      <x:c r="K280" s="14" t="n">
        <x:v>37.03</x:v>
      </x:c>
      <x:c r="L280" s="15" t="n">
        <x:f>F280*G280</x:f>
        <x:v>680.9806</x:v>
      </x:c>
      <x:c r="M280" s="15" t="n">
        <x:f>F280-L280</x:f>
        <x:v>1066.0194000000001</x:v>
      </x:c>
      <x:c r="N280" s="17" t="str"/>
      <x:c r="O280" s="17" t="str">
        <x:v>https://sts2log.com/cards</x:v>
      </x:c>
      <x:c r="P280" s="17" t="str">
        <x:v>https://slaythespire2.net/ancient/vakuu</x:v>
      </x:c>
    </x:row>
    <x:row r="281" ht="25" customHeight="1">
      <x:c r="A281" s="2" t="str">
        <x:v>v0.107</x:v>
      </x:c>
      <x:c r="B281" s="2" t="str">
        <x:v>故障机器人</x:v>
      </x:c>
      <x:c r="C281" s="2" t="str">
        <x:v>瓦库</x:v>
      </x:c>
      <x:c r="D281" s="2" t="str">
        <x:v>卓越斗篷</x:v>
      </x:c>
      <x:c r="E281" s="16" t="n">
        <x:f>IF(G281=0,I281,IF(G281=1,H281,G281*H281+(1-G281)*I281))</x:f>
        <x:v>0.48246523999999996</x:v>
      </x:c>
      <x:c r="F281" s="12" t="n">
        <x:v>2396</x:v>
      </x:c>
      <x:c r="G281" s="11" t="n">
        <x:v>0.5676</x:v>
      </x:c>
      <x:c r="H281" s="11" t="n">
        <x:v>0.5235</x:v>
      </x:c>
      <x:c r="I281" s="11" t="n">
        <x:v>0.4286</x:v>
      </x:c>
      <x:c r="J281" s="13" t="n">
        <x:f>IF(OR(G281=0,G281=1),"",(H281-I281)*100)</x:f>
        <x:v>9.489999999999998</x:v>
      </x:c>
      <x:c r="K281" s="14" t="n">
        <x:v>34.9</x:v>
      </x:c>
      <x:c r="L281" s="15" t="n">
        <x:f>F281*G281</x:f>
        <x:v>1359.9696</x:v>
      </x:c>
      <x:c r="M281" s="15" t="n">
        <x:f>F281-L281</x:f>
        <x:v>1036.0304</x:v>
      </x:c>
      <x:c r="N281" s="17" t="str"/>
      <x:c r="O281" s="17" t="str">
        <x:v>https://sts2log.com/cards</x:v>
      </x:c>
      <x:c r="P281" s="17" t="str">
        <x:v>https://slaythespire2.net/ancient/vakuu</x:v>
      </x:c>
    </x:row>
    <x:row r="282" ht="25" customHeight="1">
      <x:c r="A282" s="2" t="str">
        <x:v>v0.107</x:v>
      </x:c>
      <x:c r="B282" s="2" t="str">
        <x:v>故障机器人</x:v>
      </x:c>
      <x:c r="C282" s="2" t="str">
        <x:v>瓦库</x:v>
      </x:c>
      <x:c r="D282" s="2" t="str">
        <x:v>低语耳环</x:v>
      </x:c>
      <x:c r="E282" s="16" t="n">
        <x:f>IF(G282=0,I282,IF(G282=1,H282,G282*H282+(1-G282)*I282))</x:f>
        <x:v>0.47156413999999997</x:v>
      </x:c>
      <x:c r="F282" s="12" t="n">
        <x:v>2322</x:v>
      </x:c>
      <x:c r="G282" s="11" t="n">
        <x:v>0.1318</x:v>
      </x:c>
      <x:c r="H282" s="11" t="n">
        <x:v>0.3824</x:v>
      </x:c>
      <x:c r="I282" s="11" t="n">
        <x:v>0.4851</x:v>
      </x:c>
      <x:c r="J282" s="13" t="n">
        <x:f>IF(OR(G282=0,G282=1),"",(H282-I282)*100)</x:f>
        <x:v>-10.269999999999996</x:v>
      </x:c>
      <x:c r="K282" s="14" t="n">
        <x:v>20.79</x:v>
      </x:c>
      <x:c r="L282" s="15" t="n">
        <x:f>F282*G282</x:f>
        <x:v>306.0396</x:v>
      </x:c>
      <x:c r="M282" s="15" t="n">
        <x:f>F282-L282</x:f>
        <x:v>2015.9604</x:v>
      </x:c>
      <x:c r="N282" s="17" t="str"/>
      <x:c r="O282" s="17" t="str">
        <x:v>https://sts2log.com/cards</x:v>
      </x:c>
      <x:c r="P282" s="17" t="str">
        <x:v>https://slaythespire2.net/ancient/vakuu</x:v>
      </x:c>
    </x:row>
    <x:row r="283" ht="25" customHeight="1">
      <x:c r="A283" s="2" t="str">
        <x:v>v0.107</x:v>
      </x:c>
      <x:c r="B283" s="2" t="str">
        <x:v>故障机器人</x:v>
      </x:c>
      <x:c r="C283" s="2" t="str">
        <x:v>瓦库</x:v>
      </x:c>
      <x:c r="D283" s="2" t="str">
        <x:v>选择悖论</x:v>
      </x:c>
      <x:c r="E283" s="16" t="n">
        <x:f>IF(G283=0,I283,IF(G283=1,H283,G283*H283+(1-G283)*I283))</x:f>
        <x:v>0.46566213999999995</x:v>
      </x:c>
      <x:c r="F283" s="12" t="n">
        <x:v>1763</x:v>
      </x:c>
      <x:c r="G283" s="11" t="n">
        <x:v>0.46740000000000004</x:v>
      </x:c>
      <x:c r="H283" s="11" t="n">
        <x:v>0.4769</x:v>
      </x:c>
      <x:c r="I283" s="11" t="n">
        <x:v>0.4558</x:v>
      </x:c>
      <x:c r="J283" s="13" t="n">
        <x:f>IF(OR(G283=0,G283=1),"",(H283-I283)*100)</x:f>
        <x:v>2.1100000000000008</x:v>
      </x:c>
      <x:c r="K283" s="14" t="n">
        <x:v>30.24</x:v>
      </x:c>
      <x:c r="L283" s="15" t="n">
        <x:f>F283*G283</x:f>
        <x:v>824.0262</x:v>
      </x:c>
      <x:c r="M283" s="15" t="n">
        <x:f>F283-L283</x:f>
        <x:v>938.9738</x:v>
      </x:c>
      <x:c r="N283" s="17" t="str"/>
      <x:c r="O283" s="17" t="str">
        <x:v>https://sts2log.com/cards</x:v>
      </x:c>
      <x:c r="P283" s="17" t="str">
        <x:v>https://slaythespire2.net/ancient/vakuu</x:v>
      </x:c>
    </x:row>
    <x:row r="284" ht="25" customHeight="1">
      <x:c r="A284" s="2" t="str">
        <x:v>v0.107</x:v>
      </x:c>
      <x:c r="B284" s="2" t="str">
        <x:v>故障机器人</x:v>
      </x:c>
      <x:c r="C284" s="2" t="str">
        <x:v>瓦库</x:v>
      </x:c>
      <x:c r="D284" s="2" t="str">
        <x:v>血染玫瑰</x:v>
      </x:c>
      <x:c r="E284" s="16" t="n">
        <x:f>IF(G284=0,I284,IF(G284=1,H284,G284*H284+(1-G284)*I284))</x:f>
        <x:v>0.46311528</x:v>
      </x:c>
      <x:c r="F284" s="12" t="n">
        <x:v>2360</x:v>
      </x:c>
      <x:c r="G284" s="11" t="n">
        <x:v>0.1076</x:v>
      </x:c>
      <x:c r="H284" s="11" t="n">
        <x:v>0.2559</x:v>
      </x:c>
      <x:c r="I284" s="11" t="n">
        <x:v>0.48810000000000003</x:v>
      </x:c>
      <x:c r="J284" s="13" t="n">
        <x:f>IF(OR(G284=0,G284=1),"",(H284-I284)*100)</x:f>
        <x:v>-23.220000000000002</x:v>
      </x:c>
      <x:c r="K284" s="14" t="n">
        <x:v>8.14</x:v>
      </x:c>
      <x:c r="L284" s="15" t="n">
        <x:f>F284*G284</x:f>
        <x:v>253.936</x:v>
      </x:c>
      <x:c r="M284" s="15" t="n">
        <x:f>F284-L284</x:f>
        <x:v>2106.064</x:v>
      </x:c>
      <x:c r="N284" s="17" t="str"/>
      <x:c r="O284" s="17" t="str">
        <x:v>https://sts2log.com/cards</x:v>
      </x:c>
      <x:c r="P284" s="17" t="str">
        <x:v>https://slaythespire2.net/ancient/vakuu</x:v>
      </x:c>
    </x:row>
    <x:row r="285" ht="25" customHeight="1">
      <x:c r="A285" s="2" t="str">
        <x:v>v0.107</x:v>
      </x:c>
      <x:c r="B285" s="2" t="str">
        <x:v>故障机器人</x:v>
      </x:c>
      <x:c r="C285" s="2" t="str">
        <x:v>瓦库</x:v>
      </x:c>
      <x:c r="D285" s="2" t="str">
        <x:v>宝石面具</x:v>
      </x:c>
      <x:c r="E285" s="16" t="n">
        <x:f>IF(G285=0,I285,IF(G285=1,H285,G285*H285+(1-G285)*I285))</x:f>
        <x:v>0.45692368</x:v>
      </x:c>
      <x:c r="F285" s="12" t="n">
        <x:v>1740</x:v>
      </x:c>
      <x:c r="G285" s="11" t="n">
        <x:v>0.7092</x:v>
      </x:c>
      <x:c r="H285" s="11" t="n">
        <x:v>0.4425</x:v>
      </x:c>
      <x:c r="I285" s="11" t="n">
        <x:v>0.4921</x:v>
      </x:c>
      <x:c r="J285" s="13" t="n">
        <x:f>IF(OR(G285=0,G285=1),"",(H285-I285)*100)</x:f>
        <x:v>-4.959999999999997</x:v>
      </x:c>
      <x:c r="K285" s="14" t="n">
        <x:v>26.8</x:v>
      </x:c>
      <x:c r="L285" s="15" t="n">
        <x:f>F285*G285</x:f>
        <x:v>1234.008</x:v>
      </x:c>
      <x:c r="M285" s="15" t="n">
        <x:f>F285-L285</x:f>
        <x:v>505.99199999999996</x:v>
      </x:c>
      <x:c r="N285" s="17" t="str"/>
      <x:c r="O285" s="17" t="str">
        <x:v>https://sts2log.com/cards</x:v>
      </x:c>
      <x:c r="P285" s="17" t="str">
        <x:v>https://slaythespire2.net/ancient/vakuu</x:v>
      </x:c>
    </x:row>
    <x:row r="286" ht="25" customHeight="1">
      <x:c r="A286" s="2" t="str">
        <x:v>v0.107</x:v>
      </x:c>
      <x:c r="B286" s="2" t="str">
        <x:v>故障机器人</x:v>
      </x:c>
      <x:c r="C286" s="2" t="str">
        <x:v>瓦库</x:v>
      </x:c>
      <x:c r="D286" s="2" t="str">
        <x:v>腌制活雾</x:v>
      </x:c>
      <x:c r="E286" s="16" t="n">
        <x:f>IF(G286=0,I286,IF(G286=1,H286,G286*H286+(1-G286)*I286))</x:f>
        <x:v>0.4559666</x:v>
      </x:c>
      <x:c r="F286" s="12" t="n">
        <x:v>2307</x:v>
      </x:c>
      <x:c r="G286" s="11" t="n">
        <x:v>0.5977</x:v>
      </x:c>
      <x:c r="H286" s="11" t="n">
        <x:v>0.4793</x:v>
      </x:c>
      <x:c r="I286" s="11" t="n">
        <x:v>0.4213</x:v>
      </x:c>
      <x:c r="J286" s="13" t="n">
        <x:f>IF(OR(G286=0,G286=1),"",(H286-I286)*100)</x:f>
        <x:v>5.8</x:v>
      </x:c>
      <x:c r="K286" s="14" t="n">
        <x:v>30.48</x:v>
      </x:c>
      <x:c r="L286" s="15" t="n">
        <x:f>F286*G286</x:f>
        <x:v>1378.8939</x:v>
      </x:c>
      <x:c r="M286" s="15" t="n">
        <x:f>F286-L286</x:f>
        <x:v>928.1061</x:v>
      </x:c>
      <x:c r="N286" s="17" t="str"/>
      <x:c r="O286" s="17" t="str">
        <x:v>https://sts2log.com/cards</x:v>
      </x:c>
      <x:c r="P286" s="17" t="str">
        <x:v>https://slaythespire2.net/ancient/vakuu</x:v>
      </x:c>
    </x:row>
    <x:row r="287" ht="25" customHeight="1">
      <x:c r="A287" s="2" t="str">
        <x:v>v0.107</x:v>
      </x:c>
      <x:c r="B287" s="2" t="str">
        <x:v>故障机器人</x:v>
      </x:c>
      <x:c r="C287" s="2" t="str">
        <x:v>瓦库</x:v>
      </x:c>
      <x:c r="D287" s="2" t="str">
        <x:v>小提琴</x:v>
      </x:c>
      <x:c r="E287" s="16" t="n">
        <x:f>IF(G287=0,I287,IF(G287=1,H287,G287*H287+(1-G287)*I287))</x:f>
        <x:v>0.44723552</x:v>
      </x:c>
      <x:c r="F287" s="12" t="n">
        <x:v>2339</x:v>
      </x:c>
      <x:c r="G287" s="11" t="n">
        <x:v>0.07519999999999999</x:v>
      </x:c>
      <x:c r="H287" s="11" t="n">
        <x:v>0.40340000000000004</x:v>
      </x:c>
      <x:c r="I287" s="11" t="n">
        <x:v>0.4508</x:v>
      </x:c>
      <x:c r="J287" s="13" t="n">
        <x:f>IF(OR(G287=0,G287=1),"",(H287-I287)*100)</x:f>
        <x:v>-4.739999999999994</x:v>
      </x:c>
      <x:c r="K287" s="14" t="n">
        <x:v>22.89</x:v>
      </x:c>
      <x:c r="L287" s="15" t="n">
        <x:f>F287*G287</x:f>
        <x:v>175.89279999999997</x:v>
      </x:c>
      <x:c r="M287" s="15" t="n">
        <x:f>F287-L287</x:f>
        <x:v>2163.1072</x:v>
      </x:c>
      <x:c r="N287" s="17" t="str"/>
      <x:c r="O287" s="17" t="str">
        <x:v>https://sts2log.com/cards</x:v>
      </x:c>
      <x:c r="P287" s="17" t="str">
        <x:v>https://slaythespire2.net/ancient/vakuu</x:v>
      </x:c>
    </x:row>
    <x:row r="288" ht="25" customHeight="1">
      <x:c r="A288" s="2" t="str">
        <x:v>v0.107</x:v>
      </x:c>
      <x:c r="B288" s="2" t="str">
        <x:v>故障机器人</x:v>
      </x:c>
      <x:c r="C288" s="2" t="str">
        <x:v>瓦库</x:v>
      </x:c>
      <x:c r="D288" s="2" t="str">
        <x:v>原初之爪</x:v>
      </x:c>
      <x:c r="E288" s="16" t="n">
        <x:f>IF(G288=0,I288,IF(G288=1,H288,G288*H288+(1-G288)*I288))</x:f>
        <x:v>0.44386226999999995</x:v>
      </x:c>
      <x:c r="F288" s="12" t="n">
        <x:v>2323</x:v>
      </x:c>
      <x:c r="G288" s="11" t="n">
        <x:v>0.18510000000000001</x:v>
      </x:c>
      <x:c r="H288" s="11" t="n">
        <x:v>0.3442</x:v>
      </x:c>
      <x:c r="I288" s="11" t="n">
        <x:v>0.46649999999999997</x:v>
      </x:c>
      <x:c r="J288" s="13" t="n">
        <x:f>IF(OR(G288=0,G288=1),"",(H288-I288)*100)</x:f>
        <x:v>-12.229999999999997</x:v>
      </x:c>
      <x:c r="K288" s="14" t="n">
        <x:v>16.97</x:v>
      </x:c>
      <x:c r="L288" s="15" t="n">
        <x:f>F288*G288</x:f>
        <x:v>429.98730000000006</x:v>
      </x:c>
      <x:c r="M288" s="15" t="n">
        <x:f>F288-L288</x:f>
        <x:v>1893.0127</x:v>
      </x:c>
      <x:c r="N288" s="17" t="str"/>
      <x:c r="O288" s="17" t="str">
        <x:v>https://sts2log.com/cards</x:v>
      </x:c>
      <x:c r="P288" s="17" t="str">
        <x:v>https://slaythespire2.net/ancient/vakuu</x:v>
      </x:c>
    </x:row>
    <x:row r="289" ht="25" customHeight="1">
      <x:c r="A289" s="2" t="str">
        <x:v>v0.107</x:v>
      </x:c>
      <x:c r="B289" s="2" t="str">
        <x:v>故障机器人</x:v>
      </x:c>
      <x:c r="C289" s="2" t="str">
        <x:v>瓦库</x:v>
      </x:c>
      <x:c r="D289" s="2" t="str">
        <x:v>领主阳伞</x:v>
      </x:c>
      <x:c r="E289" s="16" t="n">
        <x:f>IF(G289=0,I289,IF(G289=1,H289,G289*H289+(1-G289)*I289))</x:f>
        <x:v>0.43588367000000006</x:v>
      </x:c>
      <x:c r="F289" s="12" t="n">
        <x:v>1794</x:v>
      </x:c>
      <x:c r="G289" s="11" t="n">
        <x:v>0.2007</x:v>
      </x:c>
      <x:c r="H289" s="11" t="n">
        <x:v>0.3944</x:v>
      </x:c>
      <x:c r="I289" s="11" t="n">
        <x:v>0.44630000000000003</x:v>
      </x:c>
      <x:c r="J289" s="13" t="n">
        <x:f>IF(OR(G289=0,G289=1),"",(H289-I289)*100)</x:f>
        <x:v>-5.190000000000006</x:v>
      </x:c>
      <x:c r="K289" s="14" t="n">
        <x:v>21.99</x:v>
      </x:c>
      <x:c r="L289" s="15" t="n">
        <x:f>F289*G289</x:f>
        <x:v>360.0558</x:v>
      </x:c>
      <x:c r="M289" s="15" t="n">
        <x:f>F289-L289</x:f>
        <x:v>1433.9442</x:v>
      </x:c>
      <x:c r="N289" s="17" t="str"/>
      <x:c r="O289" s="17" t="str">
        <x:v>https://sts2log.com/cards</x:v>
      </x:c>
      <x:c r="P289" s="17" t="str">
        <x:v>https://slaythespire2.net/ancient/vakuu</x:v>
      </x:c>
    </x:row>
    <x:row r="290" ht="42" customHeight="1">
      <x:c r="A290" s="2" t="str">
        <x:v>v0.107</x:v>
      </x:c>
      <x:c r="B290" s="2" t="str">
        <x:v>故障机器人</x:v>
      </x:c>
      <x:c r="C290" s="2" t="str">
        <x:v>达弗</x:v>
      </x:c>
      <x:c r="D290" s="2" t="str">
        <x:v>贤者之石</x:v>
      </x:c>
      <x:c r="E290" s="16" t="n">
        <x:f>IF(G290=0,I290,IF(G290=1,H290,G290*H290+(1-G290)*I290))</x:f>
        <x:v>0.4669531</x:v>
      </x:c>
      <x:c r="F290" s="12" t="n">
        <x:v>227</x:v>
      </x:c>
      <x:c r="G290" s="11" t="n">
        <x:v>0.2907</x:v>
      </x:c>
      <x:c r="H290" s="11" t="n">
        <x:v>0.34850000000000003</x:v>
      </x:c>
      <x:c r="I290" s="11" t="n">
        <x:v>0.5155</x:v>
      </x:c>
      <x:c r="J290" s="13" t="n">
        <x:f>IF(OR(G290=0,G290=1),"",(H290-I290)*100)</x:f>
        <x:v>-16.699999999999992</x:v>
      </x:c>
      <x:c r="K290" s="14" t="n">
        <x:v>17.4</x:v>
      </x:c>
      <x:c r="L290" s="15" t="n">
        <x:f>F290*G290</x:f>
        <x:v>65.9889</x:v>
      </x:c>
      <x:c r="M290" s="15" t="n">
        <x:f>F290-L290</x:f>
        <x:v>161.0111</x:v>
      </x:c>
      <x:c r="N290" s="17" t="str">
        <x:v>不同幕混合，勿直接解释为纯强度</x:v>
      </x:c>
      <x:c r="O290" s="17" t="str">
        <x:v>https://sts2log.com/cards</x:v>
      </x:c>
      <x:c r="P290" s="17" t="str">
        <x:v>https://op.gg/zh-cn/slay-the-spire2/events/Darv</x:v>
      </x:c>
    </x:row>
    <x:row r="291" ht="42" customHeight="1">
      <x:c r="A291" s="2" t="str">
        <x:v>v0.107</x:v>
      </x:c>
      <x:c r="B291" s="2" t="str">
        <x:v>故障机器人</x:v>
      </x:c>
      <x:c r="C291" s="2" t="str">
        <x:v>达弗</x:v>
      </x:c>
      <x:c r="D291" s="2" t="str">
        <x:v>天鹅绒颈圈</x:v>
      </x:c>
      <x:c r="E291" s="16" t="n">
        <x:f>IF(G291=0,I291,IF(G291=1,H291,G291*H291+(1-G291)*I291))</x:f>
        <x:v>0.46662649999999994</x:v>
      </x:c>
      <x:c r="F291" s="12" t="n">
        <x:v>255</x:v>
      </x:c>
      <x:c r="G291" s="11" t="n">
        <x:v>0.051</x:v>
      </x:c>
      <x:c r="H291" s="11" t="n">
        <x:v>0.23079999999999998</x:v>
      </x:c>
      <x:c r="I291" s="11" t="n">
        <x:v>0.4793</x:v>
      </x:c>
      <x:c r="J291" s="13" t="n">
        <x:f>IF(OR(G291=0,G291=1),"",(H291-I291)*100)</x:f>
        <x:v>-24.85</x:v>
      </x:c>
      <x:c r="K291" s="14" t="n">
        <x:v>5.63</x:v>
      </x:c>
      <x:c r="L291" s="15" t="n">
        <x:f>F291*G291</x:f>
        <x:v>13.004999999999999</x:v>
      </x:c>
      <x:c r="M291" s="15" t="n">
        <x:f>F291-L291</x:f>
        <x:v>241.995</x:v>
      </x:c>
      <x:c r="N291" s="17" t="str">
        <x:v>不同幕混合，勿直接解释为纯强度</x:v>
      </x:c>
      <x:c r="O291" s="17" t="str">
        <x:v>https://sts2log.com/cards</x:v>
      </x:c>
      <x:c r="P291" s="17" t="str">
        <x:v>https://op.gg/zh-cn/slay-the-spire2/events/Darv</x:v>
      </x:c>
    </x:row>
    <x:row r="292" ht="42" customHeight="1">
      <x:c r="A292" s="2" t="str">
        <x:v>v0.107</x:v>
      </x:c>
      <x:c r="B292" s="2" t="str">
        <x:v>故障机器人</x:v>
      </x:c>
      <x:c r="C292" s="2" t="str">
        <x:v>达弗</x:v>
      </x:c>
      <x:c r="D292" s="2" t="str">
        <x:v>符文金字塔</x:v>
      </x:c>
      <x:c r="E292" s="16" t="n">
        <x:f>IF(G292=0,I292,IF(G292=1,H292,G292*H292+(1-G292)*I292))</x:f>
        <x:v>0.39291511999999995</x:v>
      </x:c>
      <x:c r="F292" s="12" t="n">
        <x:v>2059</x:v>
      </x:c>
      <x:c r="G292" s="11" t="n">
        <x:v>0.5352</x:v>
      </x:c>
      <x:c r="H292" s="11" t="n">
        <x:v>0.4664</x:v>
      </x:c>
      <x:c r="I292" s="11" t="n">
        <x:v>0.30829999999999996</x:v>
      </x:c>
      <x:c r="J292" s="13" t="n">
        <x:f>IF(OR(G292=0,G292=1),"",(H292-I292)*100)</x:f>
        <x:v>15.810000000000002</x:v>
      </x:c>
      <x:c r="K292" s="14" t="n">
        <x:v>29.19</x:v>
      </x:c>
      <x:c r="L292" s="15" t="n">
        <x:f>F292*G292</x:f>
        <x:v>1101.9768</x:v>
      </x:c>
      <x:c r="M292" s="15" t="n">
        <x:f>F292-L292</x:f>
        <x:v>957.0232000000001</x:v>
      </x:c>
      <x:c r="N292" s="17" t="str">
        <x:v>不同幕混合，勿直接解释为纯强度</x:v>
      </x:c>
      <x:c r="O292" s="17" t="str">
        <x:v>https://sts2log.com/cards</x:v>
      </x:c>
      <x:c r="P292" s="17" t="str">
        <x:v>https://slaythespire2.net/ancient/darv</x:v>
      </x:c>
    </x:row>
    <x:row r="293" ht="42" customHeight="1">
      <x:c r="A293" s="2" t="str">
        <x:v>v0.107</x:v>
      </x:c>
      <x:c r="B293" s="2" t="str">
        <x:v>故障机器人</x:v>
      </x:c>
      <x:c r="C293" s="2" t="str">
        <x:v>达弗</x:v>
      </x:c>
      <x:c r="D293" s="2" t="str">
        <x:v>潘多拉魔盒</x:v>
      </x:c>
      <x:c r="E293" s="16" t="n">
        <x:f>IF(G293=0,I293,IF(G293=1,H293,G293*H293+(1-G293)*I293))</x:f>
        <x:v>0.3730962</x:v>
      </x:c>
      <x:c r="F293" s="12" t="n">
        <x:v>2045</x:v>
      </x:c>
      <x:c r="G293" s="11" t="n">
        <x:v>0.5609000000000001</x:v>
      </x:c>
      <x:c r="H293" s="11" t="n">
        <x:v>0.381</x:v>
      </x:c>
      <x:c r="I293" s="11" t="n">
        <x:v>0.363</x:v>
      </x:c>
      <x:c r="J293" s="13" t="n">
        <x:f>IF(OR(G293=0,G293=1),"",(H293-I293)*100)</x:f>
        <x:v>1.8000000000000016</x:v>
      </x:c>
      <x:c r="K293" s="14" t="n">
        <x:v>20.65</x:v>
      </x:c>
      <x:c r="L293" s="15" t="n">
        <x:f>F293*G293</x:f>
        <x:v>1147.0405</x:v>
      </x:c>
      <x:c r="M293" s="15" t="n">
        <x:f>F293-L293</x:f>
        <x:v>897.9594999999999</x:v>
      </x:c>
      <x:c r="N293" s="17" t="str">
        <x:v>不同幕混合，勿直接解释为纯强度</x:v>
      </x:c>
      <x:c r="O293" s="17" t="str">
        <x:v>https://sts2log.com/cards</x:v>
      </x:c>
      <x:c r="P293" s="17" t="str">
        <x:v>https://slaythespire2.net/ancient/darv</x:v>
      </x:c>
    </x:row>
    <x:row r="294" ht="42" customHeight="1">
      <x:c r="A294" s="2" t="str">
        <x:v>v0.107</x:v>
      </x:c>
      <x:c r="B294" s="2" t="str">
        <x:v>故障机器人</x:v>
      </x:c>
      <x:c r="C294" s="2" t="str">
        <x:v>达弗</x:v>
      </x:c>
      <x:c r="D294" s="2" t="str">
        <x:v>星盘</x:v>
      </x:c>
      <x:c r="E294" s="16" t="n">
        <x:f>IF(G294=0,I294,IF(G294=1,H294,G294*H294+(1-G294)*I294))</x:f>
        <x:v>0.36258289</x:v>
      </x:c>
      <x:c r="F294" s="12" t="n">
        <x:v>2005</x:v>
      </x:c>
      <x:c r="G294" s="11" t="n">
        <x:v>0.6803</x:v>
      </x:c>
      <x:c r="H294" s="11" t="n">
        <x:v>0.3614</x:v>
      </x:c>
      <x:c r="I294" s="11" t="n">
        <x:v>0.3651</x:v>
      </x:c>
      <x:c r="J294" s="13" t="n">
        <x:f>IF(OR(G294=0,G294=1),"",(H294-I294)*100)</x:f>
        <x:v>-0.3699999999999981</x:v>
      </x:c>
      <x:c r="K294" s="14" t="n">
        <x:v>18.69</x:v>
      </x:c>
      <x:c r="L294" s="15" t="n">
        <x:f>F294*G294</x:f>
        <x:v>1364.0015</x:v>
      </x:c>
      <x:c r="M294" s="15" t="n">
        <x:f>F294-L294</x:f>
        <x:v>640.9984999999999</x:v>
      </x:c>
      <x:c r="N294" s="17" t="str">
        <x:v>不同幕混合，勿直接解释为纯强度</x:v>
      </x:c>
      <x:c r="O294" s="17" t="str">
        <x:v>https://sts2log.com/cards</x:v>
      </x:c>
      <x:c r="P294" s="17" t="str">
        <x:v>https://slaythespire2.net/ancient/darv</x:v>
      </x:c>
    </x:row>
    <x:row r="295" ht="42" customHeight="1">
      <x:c r="A295" s="2" t="str">
        <x:v>v0.107</x:v>
      </x:c>
      <x:c r="B295" s="2" t="str">
        <x:v>故障机器人</x:v>
      </x:c>
      <x:c r="C295" s="2" t="str">
        <x:v>达弗</x:v>
      </x:c>
      <x:c r="D295" s="2" t="str">
        <x:v>异蛇之眼</x:v>
      </x:c>
      <x:c r="E295" s="16" t="n">
        <x:f>IF(G295=0,I295,IF(G295=1,H295,G295*H295+(1-G295)*I295))</x:f>
        <x:v>0.35420734</x:v>
      </x:c>
      <x:c r="F295" s="12" t="n">
        <x:v>2041</x:v>
      </x:c>
      <x:c r="G295" s="11" t="n">
        <x:v>0.0279</x:v>
      </x:c>
      <x:c r="H295" s="11" t="n">
        <x:v>0.36840000000000006</x:v>
      </x:c>
      <x:c r="I295" s="11" t="n">
        <x:v>0.3538</x:v>
      </x:c>
      <x:c r="J295" s="13" t="n">
        <x:f>IF(OR(G295=0,G295=1),"",(H295-I295)*100)</x:f>
        <x:v>1.4600000000000057</x:v>
      </x:c>
      <x:c r="K295" s="14" t="n">
        <x:v>19.39</x:v>
      </x:c>
      <x:c r="L295" s="15" t="n">
        <x:f>F295*G295</x:f>
        <x:v>56.9439</x:v>
      </x:c>
      <x:c r="M295" s="15" t="n">
        <x:f>F295-L295</x:f>
        <x:v>1984.0561</x:v>
      </x:c>
      <x:c r="N295" s="17" t="str">
        <x:v>不同幕混合，勿直接解释为纯强度</x:v>
      </x:c>
      <x:c r="O295" s="17" t="str">
        <x:v>https://sts2log.com/cards</x:v>
      </x:c>
      <x:c r="P295" s="17" t="str">
        <x:v>https://slaythespire2.net/ancient/darv</x:v>
      </x:c>
    </x:row>
    <x:row r="296" ht="42" customHeight="1">
      <x:c r="A296" s="2" t="str">
        <x:v>v0.107</x:v>
      </x:c>
      <x:c r="B296" s="2" t="str">
        <x:v>故障机器人</x:v>
      </x:c>
      <x:c r="C296" s="2" t="str">
        <x:v>达弗</x:v>
      </x:c>
      <x:c r="D296" s="2" t="str">
        <x:v>空鸟笼</x:v>
      </x:c>
      <x:c r="E296" s="16" t="n">
        <x:f>IF(G296=0,I296,IF(G296=1,H296,G296*H296+(1-G296)*I296))</x:f>
        <x:v>0.34648204000000005</x:v>
      </x:c>
      <x:c r="F296" s="12" t="n">
        <x:v>2136</x:v>
      </x:c>
      <x:c r="G296" s="11" t="n">
        <x:v>0.45740000000000003</x:v>
      </x:c>
      <x:c r="H296" s="11" t="n">
        <x:v>0.33270000000000005</x:v>
      </x:c>
      <x:c r="I296" s="11" t="n">
        <x:v>0.35810000000000003</x:v>
      </x:c>
      <x:c r="J296" s="13" t="n">
        <x:f>IF(OR(G296=0,G296=1),"",(H296-I296)*100)</x:f>
        <x:v>-2.539999999999998</x:v>
      </x:c>
      <x:c r="K296" s="14" t="n">
        <x:v>15.82</x:v>
      </x:c>
      <x:c r="L296" s="15" t="n">
        <x:f>F296*G296</x:f>
        <x:v>977.0064000000001</x:v>
      </x:c>
      <x:c r="M296" s="15" t="n">
        <x:f>F296-L296</x:f>
        <x:v>1158.9935999999998</x:v>
      </x:c>
      <x:c r="N296" s="17" t="str">
        <x:v>不同幕混合，勿直接解释为纯强度</x:v>
      </x:c>
      <x:c r="O296" s="17" t="str">
        <x:v>https://sts2log.com/cards</x:v>
      </x:c>
      <x:c r="P296" s="17" t="str">
        <x:v>https://slaythespire2.net/ancient/darv</x:v>
      </x:c>
    </x:row>
    <x:row r="297" ht="42" customHeight="1">
      <x:c r="A297" s="2" t="str">
        <x:v>v0.107</x:v>
      </x:c>
      <x:c r="B297" s="2" t="str">
        <x:v>故障机器人</x:v>
      </x:c>
      <x:c r="C297" s="2" t="str">
        <x:v>达弗</x:v>
      </x:c>
      <x:c r="D297" s="2" t="str">
        <x:v>尘封魔典</x:v>
      </x:c>
      <x:c r="E297" s="16" t="n">
        <x:f>IF(G297=0,I297,IF(G297=1,H297,G297*H297+(1-G297)*I297))</x:f>
        <x:v>0.32920694999999994</x:v>
      </x:c>
      <x:c r="F297" s="12" t="n">
        <x:v>3287</x:v>
      </x:c>
      <x:c r="G297" s="11" t="n">
        <x:v>0.18309999999999998</x:v>
      </x:c>
      <x:c r="H297" s="11" t="n">
        <x:v>0.2757</x:v>
      </x:c>
      <x:c r="I297" s="11" t="n">
        <x:v>0.34119999999999995</x:v>
      </x:c>
      <x:c r="J297" s="13" t="n">
        <x:f>IF(OR(G297=0,G297=1),"",(H297-I297)*100)</x:f>
        <x:v>-6.5499999999999945</x:v>
      </x:c>
      <x:c r="K297" s="14" t="n">
        <x:v>10.12</x:v>
      </x:c>
      <x:c r="L297" s="15" t="n">
        <x:f>F297*G297</x:f>
        <x:v>601.8497</x:v>
      </x:c>
      <x:c r="M297" s="15" t="n">
        <x:f>F297-L297</x:f>
        <x:v>2685.1503000000002</x:v>
      </x:c>
      <x:c r="N297" s="17" t="str">
        <x:v>不同幕混合，勿直接解释为纯强度</x:v>
      </x:c>
      <x:c r="O297" s="17" t="str">
        <x:v>https://sts2log.com/cards</x:v>
      </x:c>
      <x:c r="P297" s="17" t="str">
        <x:v>https://slaythespire2.net/ancient/darv</x:v>
      </x:c>
    </x:row>
    <x:row r="298" ht="42" customHeight="1">
      <x:c r="A298" s="2" t="str">
        <x:v>v0.107</x:v>
      </x:c>
      <x:c r="B298" s="2" t="str">
        <x:v>故障机器人</x:v>
      </x:c>
      <x:c r="C298" s="2" t="str">
        <x:v>达弗</x:v>
      </x:c>
      <x:c r="D298" s="2" t="str">
        <x:v>召唤铃铛</x:v>
      </x:c>
      <x:c r="E298" s="16" t="n">
        <x:f>IF(G298=0,I298,IF(G298=1,H298,G298*H298+(1-G298)*I298))</x:f>
        <x:v>0.32403891</x:v>
      </x:c>
      <x:c r="F298" s="12" t="n">
        <x:v>2083</x:v>
      </x:c>
      <x:c r="G298" s="11" t="n">
        <x:v>0.3169</x:v>
      </x:c>
      <x:c r="H298" s="11" t="n">
        <x:v>0.2379</x:v>
      </x:c>
      <x:c r="I298" s="11" t="n">
        <x:v>0.364</x:v>
      </x:c>
      <x:c r="J298" s="13" t="n">
        <x:f>IF(OR(G298=0,G298=1),"",(H298-I298)*100)</x:f>
        <x:v>-12.61</x:v>
      </x:c>
      <x:c r="K298" s="14" t="n">
        <x:v>6.34</x:v>
      </x:c>
      <x:c r="L298" s="15" t="n">
        <x:f>F298*G298</x:f>
        <x:v>660.1027</x:v>
      </x:c>
      <x:c r="M298" s="15" t="n">
        <x:f>F298-L298</x:f>
        <x:v>1422.8973</x:v>
      </x:c>
      <x:c r="N298" s="17" t="str">
        <x:v>不同幕混合，勿直接解释为纯强度</x:v>
      </x:c>
      <x:c r="O298" s="17" t="str">
        <x:v>https://sts2log.com/cards</x:v>
      </x:c>
      <x:c r="P298" s="17" t="str">
        <x:v>https://slaythespire2.net/ancient/darv</x:v>
      </x:c>
    </x:row>
    <x:row r="299" ht="42" customHeight="1">
      <x:c r="A299" s="2" t="str">
        <x:v>v0.107</x:v>
      </x:c>
      <x:c r="B299" s="2" t="str">
        <x:v>故障机器人</x:v>
      </x:c>
      <x:c r="C299" s="2" t="str">
        <x:v>达弗</x:v>
      </x:c>
      <x:c r="D299" s="2" t="str">
        <x:v>黑星</x:v>
      </x:c>
      <x:c r="E299" s="16" t="n">
        <x:f>IF(G299=0,I299,IF(G299=1,H299,G299*H299+(1-G299)*I299))</x:f>
        <x:v>0.31225638</x:v>
      </x:c>
      <x:c r="F299" s="12" t="n">
        <x:v>2085</x:v>
      </x:c>
      <x:c r="G299" s="11" t="n">
        <x:v>0.2206</x:v>
      </x:c>
      <x:c r="H299" s="11" t="n">
        <x:v>0.24780000000000002</x:v>
      </x:c>
      <x:c r="I299" s="11" t="n">
        <x:v>0.33049999999999996</x:v>
      </x:c>
      <x:c r="J299" s="13" t="n">
        <x:f>IF(OR(G299=0,G299=1),"",(H299-I299)*100)</x:f>
        <x:v>-8.269999999999994</x:v>
      </x:c>
      <x:c r="K299" s="14" t="n">
        <x:v>7.33</x:v>
      </x:c>
      <x:c r="L299" s="15" t="n">
        <x:f>F299*G299</x:f>
        <x:v>459.95099999999996</x:v>
      </x:c>
      <x:c r="M299" s="15" t="n">
        <x:f>F299-L299</x:f>
        <x:v>1625.049</x:v>
      </x:c>
      <x:c r="N299" s="17" t="str">
        <x:v>不同幕混合，勿直接解释为纯强度</x:v>
      </x:c>
      <x:c r="O299" s="17" t="str">
        <x:v>https://sts2log.com/cards</x:v>
      </x:c>
      <x:c r="P299" s="17" t="str">
        <x:v>https://slaythespire2.net/ancient/darv</x:v>
      </x:c>
    </x:row>
    <x:row r="300" ht="42" customHeight="1">
      <x:c r="A300" s="2" t="str">
        <x:v>v0.107</x:v>
      </x:c>
      <x:c r="B300" s="2" t="str">
        <x:v>故障机器人</x:v>
      </x:c>
      <x:c r="C300" s="2" t="str">
        <x:v>达弗</x:v>
      </x:c>
      <x:c r="D300" s="2" t="str">
        <x:v>灵体外质</x:v>
      </x:c>
      <x:c r="E300" s="16" t="n">
        <x:f>IF(G300=0,I300,IF(G300=1,H300,G300*H300+(1-G300)*I300))</x:f>
        <x:v>0.29010715</x:v>
      </x:c>
      <x:c r="F300" s="12" t="n">
        <x:v>817</x:v>
      </x:c>
      <x:c r="G300" s="11" t="n">
        <x:v>0.0747</x:v>
      </x:c>
      <x:c r="H300" s="11" t="n">
        <x:v>0.22949999999999998</x:v>
      </x:c>
      <x:c r="I300" s="11" t="n">
        <x:v>0.295</x:v>
      </x:c>
      <x:c r="J300" s="13" t="n">
        <x:f>IF(OR(G300=0,G300=1),"",(H300-I300)*100)</x:f>
        <x:v>-6.550000000000001</x:v>
      </x:c>
      <x:c r="K300" s="14" t="n">
        <x:v>5.5</x:v>
      </x:c>
      <x:c r="L300" s="15" t="n">
        <x:f>F300*G300</x:f>
        <x:v>61.029900000000005</x:v>
      </x:c>
      <x:c r="M300" s="15" t="n">
        <x:f>F300-L300</x:f>
        <x:v>755.9701</x:v>
      </x:c>
      <x:c r="N300" s="17" t="str">
        <x:v>不同幕混合，勿直接解释为纯强度</x:v>
      </x:c>
      <x:c r="O300" s="17" t="str">
        <x:v>https://sts2log.com/cards</x:v>
      </x:c>
      <x:c r="P300" s="17" t="str">
        <x:v>https://op.gg/zh-cn/slay-the-spire2/events/Darv</x:v>
      </x:c>
    </x:row>
    <x:row r="301" ht="42" customHeight="1">
      <x:c r="A301" s="2" t="str">
        <x:v>v0.107</x:v>
      </x:c>
      <x:c r="B301" s="2" t="str">
        <x:v>故障机器人</x:v>
      </x:c>
      <x:c r="C301" s="2" t="str">
        <x:v>达弗</x:v>
      </x:c>
      <x:c r="D301" s="2" t="str">
        <x:v>添水</x:v>
      </x:c>
      <x:c r="E301" s="16" t="n">
        <x:f>IF(G301=0,I301,IF(G301=1,H301,G301*H301+(1-G301)*I301))</x:f>
        <x:v>0.27517075</x:v>
      </x:c>
      <x:c r="F301" s="12" t="n">
        <x:v>865</x:v>
      </x:c>
      <x:c r="G301" s="11" t="n">
        <x:v>0.1295</x:v>
      </x:c>
      <x:c r="H301" s="11" t="n">
        <x:v>0.1607</x:v>
      </x:c>
      <x:c r="I301" s="11" t="n">
        <x:v>0.2922</x:v>
      </x:c>
      <x:c r="J301" s="13" t="n">
        <x:f>IF(OR(G301=0,G301=1),"",(H301-I301)*100)</x:f>
        <x:v>-13.15</x:v>
      </x:c>
      <x:c r="K301" s="14" t="n">
        <x:v>-1.38</x:v>
      </x:c>
      <x:c r="L301" s="15" t="n">
        <x:f>F301*G301</x:f>
        <x:v>112.0175</x:v>
      </x:c>
      <x:c r="M301" s="15" t="n">
        <x:f>F301-L301</x:f>
        <x:v>752.9825</x:v>
      </x:c>
      <x:c r="N301" s="17" t="str">
        <x:v>不同幕混合，勿直接解释为纯强度</x:v>
      </x:c>
      <x:c r="O301" s="17" t="str">
        <x:v>https://sts2log.com/cards</x:v>
      </x:c>
      <x:c r="P301" s="17" t="str">
        <x:v>https://op.gg/zh-cn/slay-the-spire2/events/Darv</x:v>
      </x:c>
    </x:row>
    <x:row r="302" ht="42" customHeight="1">
      <x:c r="A302" s="2" t="str">
        <x:v>v0.107</x:v>
      </x:c>
      <x:c r="B302" s="2" t="str">
        <x:v>亡灵契约师</x:v>
      </x:c>
      <x:c r="C302" s="2" t="str">
        <x:v>涅奥</x:v>
      </x:c>
      <x:c r="D302" s="2" t="str">
        <x:v>巨大卷轴</x:v>
      </x:c>
      <x:c r="E302" s="18" t="n">
        <x:f>IF(G302=0,I302,IF(G302=1,H302,G302*H302+(1-G302)*I302))</x:f>
        <x:v>0.3077</x:v>
      </x:c>
      <x:c r="F302" s="19" t="n">
        <x:v>13</x:v>
      </x:c>
      <x:c r="G302" s="11" t="n">
        <x:v>0</x:v>
      </x:c>
      <x:c r="H302" s="11"/>
      <x:c r="I302" s="11" t="n">
        <x:v>0.3077</x:v>
      </x:c>
      <x:c r="J302" s="13" t="str">
        <x:f>IF(OR(G302=0,G302=1),"",(H302-I302)*100)</x:f>
      </x:c>
      <x:c r="K302" s="14" t="n">
        <x:v>-18.13</x:v>
      </x:c>
      <x:c r="L302" s="15" t="n">
        <x:f>F302*G302</x:f>
        <x:v>0</x:v>
      </x:c>
      <x:c r="M302" s="15" t="n">
        <x:f>F302-L302</x:f>
        <x:v>13</x:v>
      </x:c>
      <x:c r="N302" s="17" t="str">
        <x:v>出现次数&lt;100；一组占比显示为零，其胜率及选跳差留空</x:v>
      </x:c>
      <x:c r="O302" s="17" t="str">
        <x:v>https://sts2log.com/cards</x:v>
      </x:c>
      <x:c r="P302" s="17" t="str">
        <x:v>https://slaythespire2.net/ancient/neow</x:v>
      </x:c>
    </x:row>
    <x:row r="303" ht="25" customHeight="1">
      <x:c r="A303" s="2" t="str">
        <x:v>v0.107</x:v>
      </x:c>
      <x:c r="B303" s="2" t="str">
        <x:v>亡灵契约师</x:v>
      </x:c>
      <x:c r="C303" s="2" t="str">
        <x:v>涅奥</x:v>
      </x:c>
      <x:c r="D303" s="2" t="str">
        <x:v>树叶药膏</x:v>
      </x:c>
      <x:c r="E303" s="16" t="n">
        <x:f>IF(G303=0,I303,IF(G303=1,H303,G303*H303+(1-G303)*I303))</x:f>
        <x:v>0.19659759999999998</x:v>
      </x:c>
      <x:c r="F303" s="12" t="n">
        <x:v>6062</x:v>
      </x:c>
      <x:c r="G303" s="11" t="n">
        <x:v>0.5760000000000001</x:v>
      </x:c>
      <x:c r="H303" s="11" t="n">
        <x:v>0.203</x:v>
      </x:c>
      <x:c r="I303" s="11" t="n">
        <x:v>0.18789999999999998</x:v>
      </x:c>
      <x:c r="J303" s="13" t="n">
        <x:f>IF(OR(G303=0,G303=1),"",(H303-I303)*100)</x:f>
        <x:v>1.510000000000003</x:v>
      </x:c>
      <x:c r="K303" s="14" t="n">
        <x:v>2.17</x:v>
      </x:c>
      <x:c r="L303" s="15" t="n">
        <x:f>F303*G303</x:f>
        <x:v>3491.7120000000004</x:v>
      </x:c>
      <x:c r="M303" s="15" t="n">
        <x:f>F303-L303</x:f>
        <x:v>2570.2879999999996</x:v>
      </x:c>
      <x:c r="N303" s="17" t="str"/>
      <x:c r="O303" s="17" t="str">
        <x:v>https://sts2log.com/cards</x:v>
      </x:c>
      <x:c r="P303" s="17" t="str">
        <x:v>https://slaythespire2.net/ancient/neow</x:v>
      </x:c>
    </x:row>
    <x:row r="304" ht="25" customHeight="1">
      <x:c r="A304" s="2" t="str">
        <x:v>v0.107</x:v>
      </x:c>
      <x:c r="B304" s="2" t="str">
        <x:v>亡灵契约师</x:v>
      </x:c>
      <x:c r="C304" s="2" t="str">
        <x:v>涅奥</x:v>
      </x:c>
      <x:c r="D304" s="2" t="str">
        <x:v>奥术卷轴</x:v>
      </x:c>
      <x:c r="E304" s="16" t="n">
        <x:f>IF(G304=0,I304,IF(G304=1,H304,G304*H304+(1-G304)*I304))</x:f>
        <x:v>0.19273212</x:v>
      </x:c>
      <x:c r="F304" s="12" t="n">
        <x:v>5677</x:v>
      </x:c>
      <x:c r="G304" s="11" t="n">
        <x:v>0.5092</x:v>
      </x:c>
      <x:c r="H304" s="11" t="n">
        <x:v>0.1491</x:v>
      </x:c>
      <x:c r="I304" s="11" t="n">
        <x:v>0.23800000000000002</x:v>
      </x:c>
      <x:c r="J304" s="13" t="n">
        <x:f>IF(OR(G304=0,G304=1),"",(H304-I304)*100)</x:f>
        <x:v>-8.89</x:v>
      </x:c>
      <x:c r="K304" s="14" t="n">
        <x:v>-3.22</x:v>
      </x:c>
      <x:c r="L304" s="15" t="n">
        <x:f>F304*G304</x:f>
        <x:v>2890.7284</x:v>
      </x:c>
      <x:c r="M304" s="15" t="n">
        <x:f>F304-L304</x:f>
        <x:v>2786.2716</x:v>
      </x:c>
      <x:c r="N304" s="17" t="str"/>
      <x:c r="O304" s="17" t="str">
        <x:v>https://sts2log.com/cards</x:v>
      </x:c>
      <x:c r="P304" s="17" t="str">
        <x:v>https://slaythespire2.net/ancient/neow</x:v>
      </x:c>
    </x:row>
    <x:row r="305" ht="25" customHeight="1">
      <x:c r="A305" s="2" t="str">
        <x:v>v0.107</x:v>
      </x:c>
      <x:c r="B305" s="2" t="str">
        <x:v>亡灵契约师</x:v>
      </x:c>
      <x:c r="C305" s="2" t="str">
        <x:v>涅奥</x:v>
      </x:c>
      <x:c r="D305" s="2" t="str">
        <x:v>小型扭蛋</x:v>
      </x:c>
      <x:c r="E305" s="16" t="n">
        <x:f>IF(G305=0,I305,IF(G305=1,H305,G305*H305+(1-G305)*I305))</x:f>
        <x:v>0.19181184</x:v>
      </x:c>
      <x:c r="F305" s="12" t="n">
        <x:v>2899</x:v>
      </x:c>
      <x:c r="G305" s="11" t="n">
        <x:v>0.2328</x:v>
      </x:c>
      <x:c r="H305" s="11" t="n">
        <x:v>0.15560000000000002</x:v>
      </x:c>
      <x:c r="I305" s="11" t="n">
        <x:v>0.2028</x:v>
      </x:c>
      <x:c r="J305" s="13" t="n">
        <x:f>IF(OR(G305=0,G305=1),"",(H305-I305)*100)</x:f>
        <x:v>-4.719999999999999</x:v>
      </x:c>
      <x:c r="K305" s="14" t="n">
        <x:v>-2.57</x:v>
      </x:c>
      <x:c r="L305" s="15" t="n">
        <x:f>F305*G305</x:f>
        <x:v>674.8872</x:v>
      </x:c>
      <x:c r="M305" s="15" t="n">
        <x:f>F305-L305</x:f>
        <x:v>2224.1128</x:v>
      </x:c>
      <x:c r="N305" s="17" t="str"/>
      <x:c r="O305" s="17" t="str">
        <x:v>https://sts2log.com/cards</x:v>
      </x:c>
      <x:c r="P305" s="17" t="str">
        <x:v>https://slaythespire2.net/ancient/neow</x:v>
      </x:c>
    </x:row>
    <x:row r="306" ht="25" customHeight="1">
      <x:c r="A306" s="2" t="str">
        <x:v>v0.107</x:v>
      </x:c>
      <x:c r="B306" s="2" t="str">
        <x:v>亡灵契约师</x:v>
      </x:c>
      <x:c r="C306" s="2" t="str">
        <x:v>涅奥</x:v>
      </x:c>
      <x:c r="D306" s="2" t="str">
        <x:v>失物盒</x:v>
      </x:c>
      <x:c r="E306" s="16" t="n">
        <x:f>IF(G306=0,I306,IF(G306=1,H306,G306*H306+(1-G306)*I306))</x:f>
        <x:v>0.18984337</x:v>
      </x:c>
      <x:c r="F306" s="12" t="n">
        <x:v>6326</x:v>
      </x:c>
      <x:c r="G306" s="11" t="n">
        <x:v>0.2109</x:v>
      </x:c>
      <x:c r="H306" s="11" t="n">
        <x:v>0.1814</x:v>
      </x:c>
      <x:c r="I306" s="11" t="n">
        <x:v>0.19210000000000002</x:v>
      </x:c>
      <x:c r="J306" s="13" t="n">
        <x:f>IF(OR(G306=0,G306=1),"",(H306-I306)*100)</x:f>
        <x:v>-1.0700000000000016</x:v>
      </x:c>
      <x:c r="K306" s="14" t="n">
        <x:v>0.01</x:v>
      </x:c>
      <x:c r="L306" s="15" t="n">
        <x:f>F306*G306</x:f>
        <x:v>1334.1534</x:v>
      </x:c>
      <x:c r="M306" s="15" t="n">
        <x:f>F306-L306</x:f>
        <x:v>4991.8466</x:v>
      </x:c>
      <x:c r="N306" s="17" t="str"/>
      <x:c r="O306" s="17" t="str">
        <x:v>https://sts2log.com/cards</x:v>
      </x:c>
      <x:c r="P306" s="17" t="str">
        <x:v>https://slaythespire2.net/ancient/neow</x:v>
      </x:c>
    </x:row>
    <x:row r="307" ht="25" customHeight="1">
      <x:c r="A307" s="2" t="str">
        <x:v>v0.107</x:v>
      </x:c>
      <x:c r="B307" s="2" t="str">
        <x:v>亡灵契约师</x:v>
      </x:c>
      <x:c r="C307" s="2" t="str">
        <x:v>涅奥</x:v>
      </x:c>
      <x:c r="D307" s="2" t="str">
        <x:v>松动羊毛剪</x:v>
      </x:c>
      <x:c r="E307" s="16" t="n">
        <x:f>IF(G307=0,I307,IF(G307=1,H307,G307*H307+(1-G307)*I307))</x:f>
        <x:v>0.18890982</x:v>
      </x:c>
      <x:c r="F307" s="12" t="n">
        <x:v>6119</x:v>
      </x:c>
      <x:c r="G307" s="11" t="n">
        <x:v>0.4033</x:v>
      </x:c>
      <x:c r="H307" s="11" t="n">
        <x:v>0.21600000000000003</x:v>
      </x:c>
      <x:c r="I307" s="11" t="n">
        <x:v>0.17059999999999997</x:v>
      </x:c>
      <x:c r="J307" s="13" t="n">
        <x:f>IF(OR(G307=0,G307=1),"",(H307-I307)*100)</x:f>
        <x:v>4.540000000000005</x:v>
      </x:c>
      <x:c r="K307" s="14" t="n">
        <x:v>3.47</x:v>
      </x:c>
      <x:c r="L307" s="15" t="n">
        <x:f>F307*G307</x:f>
        <x:v>2467.7927</x:v>
      </x:c>
      <x:c r="M307" s="15" t="n">
        <x:f>F307-L307</x:f>
        <x:v>3651.2073</x:v>
      </x:c>
      <x:c r="N307" s="17" t="str"/>
      <x:c r="O307" s="17" t="str">
        <x:v>https://sts2log.com/cards</x:v>
      </x:c>
      <x:c r="P307" s="17" t="str">
        <x:v>https://slaythespire2.net/ancient/neow</x:v>
      </x:c>
    </x:row>
    <x:row r="308" ht="25" customHeight="1">
      <x:c r="A308" s="2" t="str">
        <x:v>v0.107</x:v>
      </x:c>
      <x:c r="B308" s="2" t="str">
        <x:v>亡灵契约师</x:v>
      </x:c>
      <x:c r="C308" s="2" t="str">
        <x:v>涅奥</x:v>
      </x:c>
      <x:c r="D308" s="2" t="str">
        <x:v>石炉加湿器</x:v>
      </x:c>
      <x:c r="E308" s="16" t="n">
        <x:f>IF(G308=0,I308,IF(G308=1,H308,G308*H308+(1-G308)*I308))</x:f>
        <x:v>0.18843951999999997</x:v>
      </x:c>
      <x:c r="F308" s="12" t="n">
        <x:v>3301</x:v>
      </x:c>
      <x:c r="G308" s="11" t="n">
        <x:v>0.12480000000000001</x:v>
      </x:c>
      <x:c r="H308" s="11" t="n">
        <x:v>0.1796</x:v>
      </x:c>
      <x:c r="I308" s="11" t="n">
        <x:v>0.18969999999999998</x:v>
      </x:c>
      <x:c r="J308" s="13" t="n">
        <x:f>IF(OR(G308=0,G308=1),"",(H308-I308)*100)</x:f>
        <x:v>-1.0099999999999971</x:v>
      </x:c>
      <x:c r="K308" s="14" t="n">
        <x:v>-0.17</x:v>
      </x:c>
      <x:c r="L308" s="15" t="n">
        <x:f>F308*G308</x:f>
        <x:v>411.9648</x:v>
      </x:c>
      <x:c r="M308" s="15" t="n">
        <x:f>F308-L308</x:f>
        <x:v>2889.0352</x:v>
      </x:c>
      <x:c r="N308" s="17" t="str"/>
      <x:c r="O308" s="17" t="str">
        <x:v>https://sts2log.com/cards</x:v>
      </x:c>
      <x:c r="P308" s="17" t="str">
        <x:v>https://slaythespire2.net/ancient/neow</x:v>
      </x:c>
    </x:row>
    <x:row r="309" ht="25" customHeight="1">
      <x:c r="A309" s="2" t="str">
        <x:v>v0.107</x:v>
      </x:c>
      <x:c r="B309" s="2" t="str">
        <x:v>亡灵契约师</x:v>
      </x:c>
      <x:c r="C309" s="2" t="str">
        <x:v>涅奥</x:v>
      </x:c>
      <x:c r="D309" s="2" t="str">
        <x:v>华美发束</x:v>
      </x:c>
      <x:c r="E309" s="16" t="n">
        <x:f>IF(G309=0,I309,IF(G309=1,H309,G309*H309+(1-G309)*I309))</x:f>
        <x:v>0.18703615</x:v>
      </x:c>
      <x:c r="F309" s="12" t="n">
        <x:v>6767</x:v>
      </x:c>
      <x:c r="G309" s="11" t="n">
        <x:v>0.7535</x:v>
      </x:c>
      <x:c r="H309" s="11" t="n">
        <x:v>0.1843</x:v>
      </x:c>
      <x:c r="I309" s="11" t="n">
        <x:v>0.1954</x:v>
      </x:c>
      <x:c r="J309" s="13" t="n">
        <x:f>IF(OR(G309=0,G309=1),"",(H309-I309)*100)</x:f>
        <x:v>-1.1099999999999999</x:v>
      </x:c>
      <x:c r="K309" s="14" t="n">
        <x:v>0.3</x:v>
      </x:c>
      <x:c r="L309" s="15" t="n">
        <x:f>F309*G309</x:f>
        <x:v>5098.934499999999</x:v>
      </x:c>
      <x:c r="M309" s="15" t="n">
        <x:f>F309-L309</x:f>
        <x:v>1668.0655000000006</x:v>
      </x:c>
      <x:c r="N309" s="17" t="str"/>
      <x:c r="O309" s="17" t="str">
        <x:v>https://sts2log.com/cards</x:v>
      </x:c>
      <x:c r="P309" s="17" t="str">
        <x:v>https://slaythespire2.net/ancient/neow</x:v>
      </x:c>
    </x:row>
    <x:row r="310" ht="25" customHeight="1">
      <x:c r="A310" s="2" t="str">
        <x:v>v0.107</x:v>
      </x:c>
      <x:c r="B310" s="2" t="str">
        <x:v>亡灵契约师</x:v>
      </x:c>
      <x:c r="C310" s="2" t="str">
        <x:v>涅奥</x:v>
      </x:c>
      <x:c r="D310" s="2" t="str">
        <x:v>新叶</x:v>
      </x:c>
      <x:c r="E310" s="16" t="n">
        <x:f>IF(G310=0,I310,IF(G310=1,H310,G310*H310+(1-G310)*I310))</x:f>
        <x:v>0.18566227999999999</x:v>
      </x:c>
      <x:c r="F310" s="12" t="n">
        <x:v>5751</x:v>
      </x:c>
      <x:c r="G310" s="11" t="n">
        <x:v>0.3933</x:v>
      </x:c>
      <x:c r="H310" s="11" t="n">
        <x:v>0.19269999999999998</x:v>
      </x:c>
      <x:c r="I310" s="11" t="n">
        <x:v>0.18109999999999998</x:v>
      </x:c>
      <x:c r="J310" s="13" t="n">
        <x:f>IF(OR(G310=0,G310=1),"",(H310-I310)*100)</x:f>
        <x:v>1.16</x:v>
      </x:c>
      <x:c r="K310" s="14" t="n">
        <x:v>1.14</x:v>
      </x:c>
      <x:c r="L310" s="15" t="n">
        <x:f>F310*G310</x:f>
        <x:v>2261.8683</x:v>
      </x:c>
      <x:c r="M310" s="15" t="n">
        <x:f>F310-L310</x:f>
        <x:v>3489.1317</x:v>
      </x:c>
      <x:c r="N310" s="17" t="str"/>
      <x:c r="O310" s="17" t="str">
        <x:v>https://sts2log.com/cards</x:v>
      </x:c>
      <x:c r="P310" s="17" t="str">
        <x:v>https://slaythespire2.net/ancient/neow</x:v>
      </x:c>
    </x:row>
    <x:row r="311" ht="25" customHeight="1">
      <x:c r="A311" s="2" t="str">
        <x:v>v0.107</x:v>
      </x:c>
      <x:c r="B311" s="2" t="str">
        <x:v>亡灵契约师</x:v>
      </x:c>
      <x:c r="C311" s="2" t="str">
        <x:v>涅奥</x:v>
      </x:c>
      <x:c r="D311" s="2" t="str">
        <x:v>羽翼之靴</x:v>
      </x:c>
      <x:c r="E311" s="16" t="n">
        <x:f>IF(G311=0,I311,IF(G311=1,H311,G311*H311+(1-G311)*I311))</x:f>
        <x:v>0.18481088</x:v>
      </x:c>
      <x:c r="F311" s="12" t="n">
        <x:v>6353</x:v>
      </x:c>
      <x:c r="G311" s="11" t="n">
        <x:v>0.2382</x:v>
      </x:c>
      <x:c r="H311" s="11" t="n">
        <x:v>0.2293</x:v>
      </x:c>
      <x:c r="I311" s="11" t="n">
        <x:v>0.1709</x:v>
      </x:c>
      <x:c r="J311" s="13" t="n">
        <x:f>IF(OR(G311=0,G311=1),"",(H311-I311)*100)</x:f>
        <x:v>5.840000000000001</x:v>
      </x:c>
      <x:c r="K311" s="14" t="n">
        <x:v>4.8</x:v>
      </x:c>
      <x:c r="L311" s="15" t="n">
        <x:f>F311*G311</x:f>
        <x:v>1513.2846</x:v>
      </x:c>
      <x:c r="M311" s="15" t="n">
        <x:f>F311-L311</x:f>
        <x:v>4839.7154</x:v>
      </x:c>
      <x:c r="N311" s="17" t="str"/>
      <x:c r="O311" s="17" t="str">
        <x:v>https://sts2log.com/cards</x:v>
      </x:c>
      <x:c r="P311" s="17" t="str">
        <x:v>https://slaythespire2.net/ancient/neow</x:v>
      </x:c>
    </x:row>
    <x:row r="312" ht="25" customHeight="1">
      <x:c r="A312" s="2" t="str">
        <x:v>v0.107</x:v>
      </x:c>
      <x:c r="B312" s="2" t="str">
        <x:v>亡灵契约师</x:v>
      </x:c>
      <x:c r="C312" s="2" t="str">
        <x:v>涅奥</x:v>
      </x:c>
      <x:c r="D312" s="2" t="str">
        <x:v>精准剪刀</x:v>
      </x:c>
      <x:c r="E312" s="16" t="n">
        <x:f>IF(G312=0,I312,IF(G312=1,H312,G312*H312+(1-G312)*I312))</x:f>
        <x:v>0.18476623999999997</x:v>
      </x:c>
      <x:c r="F312" s="12" t="n">
        <x:v>5711</x:v>
      </x:c>
      <x:c r="G312" s="11" t="n">
        <x:v>0.15039999999999998</x:v>
      </x:c>
      <x:c r="H312" s="11" t="n">
        <x:v>0.18739999999999998</x:v>
      </x:c>
      <x:c r="I312" s="11" t="n">
        <x:v>0.1843</x:v>
      </x:c>
      <x:c r="J312" s="13" t="n">
        <x:f>IF(OR(G312=0,G312=1),"",(H312-I312)*100)</x:f>
        <x:v>0.30999999999999917</x:v>
      </x:c>
      <x:c r="K312" s="14" t="n">
        <x:v>0.61</x:v>
      </x:c>
      <x:c r="L312" s="15" t="n">
        <x:f>F312*G312</x:f>
        <x:v>858.9343999999999</x:v>
      </x:c>
      <x:c r="M312" s="15" t="n">
        <x:f>F312-L312</x:f>
        <x:v>4852.0656</x:v>
      </x:c>
      <x:c r="N312" s="17" t="str"/>
      <x:c r="O312" s="17" t="str">
        <x:v>https://sts2log.com/cards</x:v>
      </x:c>
      <x:c r="P312" s="17" t="str">
        <x:v>https://slaythespire2.net/ancient/neow</x:v>
      </x:c>
    </x:row>
    <x:row r="313" ht="25" customHeight="1">
      <x:c r="A313" s="2" t="str">
        <x:v>v0.107</x:v>
      </x:c>
      <x:c r="B313" s="2" t="str">
        <x:v>亡灵契约师</x:v>
      </x:c>
      <x:c r="C313" s="2" t="str">
        <x:v>涅奥</x:v>
      </x:c>
      <x:c r="D313" s="2" t="str">
        <x:v>轰鸣海螺</x:v>
      </x:c>
      <x:c r="E313" s="16" t="n">
        <x:f>IF(G313=0,I313,IF(G313=1,H313,G313*H313+(1-G313)*I313))</x:f>
        <x:v>0.18212843999999997</x:v>
      </x:c>
      <x:c r="F313" s="12" t="n">
        <x:v>6442</x:v>
      </x:c>
      <x:c r="G313" s="11" t="n">
        <x:v>0.1188</x:v>
      </x:c>
      <x:c r="H313" s="11" t="n">
        <x:v>0.2758</x:v>
      </x:c>
      <x:c r="I313" s="11" t="n">
        <x:v>0.16949999999999998</x:v>
      </x:c>
      <x:c r="J313" s="13" t="n">
        <x:f>IF(OR(G313=0,G313=1),"",(H313-I313)*100)</x:f>
        <x:v>10.63</x:v>
      </x:c>
      <x:c r="K313" s="14" t="n">
        <x:v>9.45</x:v>
      </x:c>
      <x:c r="L313" s="15" t="n">
        <x:f>F313*G313</x:f>
        <x:v>765.3096</x:v>
      </x:c>
      <x:c r="M313" s="15" t="n">
        <x:f>F313-L313</x:f>
        <x:v>5676.6903999999995</x:v>
      </x:c>
      <x:c r="N313" s="17" t="str"/>
      <x:c r="O313" s="17" t="str">
        <x:v>https://sts2log.com/cards</x:v>
      </x:c>
      <x:c r="P313" s="17" t="str">
        <x:v>https://slaythespire2.net/ancient/neow</x:v>
      </x:c>
    </x:row>
    <x:row r="314" ht="25" customHeight="1">
      <x:c r="A314" s="2" t="str">
        <x:v>v0.107</x:v>
      </x:c>
      <x:c r="B314" s="2" t="str">
        <x:v>亡灵契约师</x:v>
      </x:c>
      <x:c r="C314" s="2" t="str">
        <x:v>涅奥</x:v>
      </x:c>
      <x:c r="D314" s="2" t="str">
        <x:v>巨大扭蛋</x:v>
      </x:c>
      <x:c r="E314" s="16" t="n">
        <x:f>IF(G314=0,I314,IF(G314=1,H314,G314*H314+(1-G314)*I314))</x:f>
        <x:v>0.18155544</x:v>
      </x:c>
      <x:c r="F314" s="12" t="n">
        <x:v>5442</x:v>
      </x:c>
      <x:c r="G314" s="11" t="n">
        <x:v>0.2727</x:v>
      </x:c>
      <x:c r="H314" s="11" t="n">
        <x:v>0.1577</x:v>
      </x:c>
      <x:c r="I314" s="11" t="n">
        <x:v>0.1905</x:v>
      </x:c>
      <x:c r="J314" s="13" t="n">
        <x:f>IF(OR(G314=0,G314=1),"",(H314-I314)*100)</x:f>
        <x:v>-3.2799999999999994</x:v>
      </x:c>
      <x:c r="K314" s="14" t="n">
        <x:v>-2.36</x:v>
      </x:c>
      <x:c r="L314" s="15" t="n">
        <x:f>F314*G314</x:f>
        <x:v>1484.0334</x:v>
      </x:c>
      <x:c r="M314" s="15" t="n">
        <x:f>F314-L314</x:f>
        <x:v>3957.9665999999997</x:v>
      </x:c>
      <x:c r="N314" s="17" t="str"/>
      <x:c r="O314" s="17" t="str">
        <x:v>https://sts2log.com/cards</x:v>
      </x:c>
      <x:c r="P314" s="17" t="str">
        <x:v>https://slaythespire2.net/ancient/neow</x:v>
      </x:c>
    </x:row>
    <x:row r="315" ht="25" customHeight="1">
      <x:c r="A315" s="2" t="str">
        <x:v>v0.107</x:v>
      </x:c>
      <x:c r="B315" s="2" t="str">
        <x:v>亡灵契约师</x:v>
      </x:c>
      <x:c r="C315" s="2" t="str">
        <x:v>涅奥</x:v>
      </x:c>
      <x:c r="D315" s="2" t="str">
        <x:v>药瓶皮套</x:v>
      </x:c>
      <x:c r="E315" s="16" t="n">
        <x:f>IF(G315=0,I315,IF(G315=1,H315,G315*H315+(1-G315)*I315))</x:f>
        <x:v>0.1805659</x:v>
      </x:c>
      <x:c r="F315" s="12" t="n">
        <x:v>6329</x:v>
      </x:c>
      <x:c r="G315" s="11" t="n">
        <x:v>0.1765</x:v>
      </x:c>
      <x:c r="H315" s="11" t="n">
        <x:v>0.214</x:v>
      </x:c>
      <x:c r="I315" s="11" t="n">
        <x:v>0.1734</x:v>
      </x:c>
      <x:c r="J315" s="13" t="n">
        <x:f>IF(OR(G315=0,G315=1),"",(H315-I315)*100)</x:f>
        <x:v>4.06</x:v>
      </x:c>
      <x:c r="K315" s="14" t="n">
        <x:v>3.27</x:v>
      </x:c>
      <x:c r="L315" s="15" t="n">
        <x:f>F315*G315</x:f>
        <x:v>1117.0684999999999</x:v>
      </x:c>
      <x:c r="M315" s="15" t="n">
        <x:f>F315-L315</x:f>
        <x:v>5211.931500000001</x:v>
      </x:c>
      <x:c r="N315" s="17" t="str"/>
      <x:c r="O315" s="17" t="str">
        <x:v>https://sts2log.com/cards</x:v>
      </x:c>
      <x:c r="P315" s="17" t="str">
        <x:v>https://slaythespire2.net/ancient/neow</x:v>
      </x:c>
    </x:row>
    <x:row r="316" ht="25" customHeight="1">
      <x:c r="A316" s="2" t="str">
        <x:v>v0.107</x:v>
      </x:c>
      <x:c r="B316" s="2" t="str">
        <x:v>亡灵契约师</x:v>
      </x:c>
      <x:c r="C316" s="2" t="str">
        <x:v>涅奥</x:v>
      </x:c>
      <x:c r="D316" s="2" t="str">
        <x:v>诅咒珍珠</x:v>
      </x:c>
      <x:c r="E316" s="16" t="n">
        <x:f>IF(G316=0,I316,IF(G316=1,H316,G316*H316+(1-G316)*I316))</x:f>
        <x:v>0.1798306</x:v>
      </x:c>
      <x:c r="F316" s="12" t="n">
        <x:v>6134</x:v>
      </x:c>
      <x:c r="G316" s="11" t="n">
        <x:v>0.517</x:v>
      </x:c>
      <x:c r="H316" s="11" t="n">
        <x:v>0.1807</x:v>
      </x:c>
      <x:c r="I316" s="11" t="n">
        <x:v>0.1789</x:v>
      </x:c>
      <x:c r="J316" s="13" t="n">
        <x:f>IF(OR(G316=0,G316=1),"",(H316-I316)*100)</x:f>
        <x:v>0.1799999999999996</x:v>
      </x:c>
      <x:c r="K316" s="14" t="n">
        <x:v>-0.06</x:v>
      </x:c>
      <x:c r="L316" s="15" t="n">
        <x:f>F316*G316</x:f>
        <x:v>3171.2780000000002</x:v>
      </x:c>
      <x:c r="M316" s="15" t="n">
        <x:f>F316-L316</x:f>
        <x:v>2962.7219999999998</x:v>
      </x:c>
      <x:c r="N316" s="17" t="str"/>
      <x:c r="O316" s="17" t="str">
        <x:v>https://sts2log.com/cards</x:v>
      </x:c>
      <x:c r="P316" s="17" t="str">
        <x:v>https://slaythespire2.net/ancient/neow</x:v>
      </x:c>
    </x:row>
    <x:row r="317" ht="25" customHeight="1">
      <x:c r="A317" s="2" t="str">
        <x:v>v0.107</x:v>
      </x:c>
      <x:c r="B317" s="2" t="str">
        <x:v>亡灵契约师</x:v>
      </x:c>
      <x:c r="C317" s="2" t="str">
        <x:v>涅奥</x:v>
      </x:c>
      <x:c r="D317" s="2" t="str">
        <x:v>钓鱼竿</x:v>
      </x:c>
      <x:c r="E317" s="16" t="n">
        <x:f>IF(G317=0,I317,IF(G317=1,H317,G317*H317+(1-G317)*I317))</x:f>
        <x:v>0.17969626</x:v>
      </x:c>
      <x:c r="F317" s="12" t="n">
        <x:v>6298</x:v>
      </x:c>
      <x:c r="G317" s="11" t="n">
        <x:v>0.16620000000000001</x:v>
      </x:c>
      <x:c r="H317" s="11" t="n">
        <x:v>0.1566</x:v>
      </x:c>
      <x:c r="I317" s="11" t="n">
        <x:v>0.1843</x:v>
      </x:c>
      <x:c r="J317" s="13" t="n">
        <x:f>IF(OR(G317=0,G317=1),"",(H317-I317)*100)</x:f>
        <x:v>-2.7700000000000005</x:v>
      </x:c>
      <x:c r="K317" s="14" t="n">
        <x:v>-2.47</x:v>
      </x:c>
      <x:c r="L317" s="15" t="n">
        <x:f>F317*G317</x:f>
        <x:v>1046.7276000000002</x:v>
      </x:c>
      <x:c r="M317" s="15" t="n">
        <x:f>F317-L317</x:f>
        <x:v>5251.2724</x:v>
      </x:c>
      <x:c r="N317" s="17" t="str"/>
      <x:c r="O317" s="17" t="str">
        <x:v>https://sts2log.com/cards</x:v>
      </x:c>
      <x:c r="P317" s="17" t="str">
        <x:v>https://slaythespire2.net/ancient/neow</x:v>
      </x:c>
    </x:row>
    <x:row r="318" ht="25" customHeight="1">
      <x:c r="A318" s="2" t="str">
        <x:v>v0.107</x:v>
      </x:c>
      <x:c r="B318" s="2" t="str">
        <x:v>亡灵契约师</x:v>
      </x:c>
      <x:c r="C318" s="2" t="str">
        <x:v>涅奥</x:v>
      </x:c>
      <x:c r="D318" s="2" t="str">
        <x:v>白银熔炉</x:v>
      </x:c>
      <x:c r="E318" s="16" t="n">
        <x:f>IF(G318=0,I318,IF(G318=1,H318,G318*H318+(1-G318)*I318))</x:f>
        <x:v>0.17928606</x:v>
      </x:c>
      <x:c r="F318" s="12" t="n">
        <x:v>6603</x:v>
      </x:c>
      <x:c r="G318" s="11" t="n">
        <x:v>0.6806</x:v>
      </x:c>
      <x:c r="H318" s="11" t="n">
        <x:v>0.1889</x:v>
      </x:c>
      <x:c r="I318" s="11" t="n">
        <x:v>0.1588</x:v>
      </x:c>
      <x:c r="J318" s="13" t="n">
        <x:f>IF(OR(G318=0,G318=1),"",(H318-I318)*100)</x:f>
        <x:v>3.0100000000000016</x:v>
      </x:c>
      <x:c r="K318" s="14" t="n">
        <x:v>0.76</x:v>
      </x:c>
      <x:c r="L318" s="15" t="n">
        <x:f>F318*G318</x:f>
        <x:v>4494.0018</x:v>
      </x:c>
      <x:c r="M318" s="15" t="n">
        <x:f>F318-L318</x:f>
        <x:v>2108.9982</x:v>
      </x:c>
      <x:c r="N318" s="17" t="str"/>
      <x:c r="O318" s="17" t="str">
        <x:v>https://sts2log.com/cards</x:v>
      </x:c>
      <x:c r="P318" s="17" t="str">
        <x:v>https://slaythespire2.net/ancient/neow</x:v>
      </x:c>
    </x:row>
    <x:row r="319" ht="25" customHeight="1">
      <x:c r="A319" s="2" t="str">
        <x:v>v0.107</x:v>
      </x:c>
      <x:c r="B319" s="2" t="str">
        <x:v>亡灵契约师</x:v>
      </x:c>
      <x:c r="C319" s="2" t="str">
        <x:v>涅奥</x:v>
      </x:c>
      <x:c r="D319" s="2" t="str">
        <x:v>卷轴箱</x:v>
      </x:c>
      <x:c r="E319" s="16" t="n">
        <x:f>IF(G319=0,I319,IF(G319=1,H319,G319*H319+(1-G319)*I319))</x:f>
        <x:v>0.17903988</x:v>
      </x:c>
      <x:c r="F319" s="12" t="n">
        <x:v>6556</x:v>
      </x:c>
      <x:c r="G319" s="11" t="n">
        <x:v>0.31129999999999997</x:v>
      </x:c>
      <x:c r="H319" s="11" t="n">
        <x:v>0.1705</x:v>
      </x:c>
      <x:c r="I319" s="11" t="n">
        <x:v>0.18289999999999998</x:v>
      </x:c>
      <x:c r="J319" s="13" t="n">
        <x:f>IF(OR(G319=0,G319=1),"",(H319-I319)*100)</x:f>
        <x:v>-1.2399999999999967</x:v>
      </x:c>
      <x:c r="K319" s="14" t="n">
        <x:v>-1.08</x:v>
      </x:c>
      <x:c r="L319" s="15" t="n">
        <x:f>F319*G319</x:f>
        <x:v>2040.8827999999999</x:v>
      </x:c>
      <x:c r="M319" s="15" t="n">
        <x:f>F319-L319</x:f>
        <x:v>4515.117200000001</x:v>
      </x:c>
      <x:c r="N319" s="17" t="str"/>
      <x:c r="O319" s="17" t="str">
        <x:v>https://sts2log.com/cards</x:v>
      </x:c>
      <x:c r="P319" s="17" t="str">
        <x:v>https://slaythespire2.net/ancient/neow</x:v>
      </x:c>
    </x:row>
    <x:row r="320" ht="25" customHeight="1">
      <x:c r="A320" s="2" t="str">
        <x:v>v0.107</x:v>
      </x:c>
      <x:c r="B320" s="2" t="str">
        <x:v>亡灵契约师</x:v>
      </x:c>
      <x:c r="C320" s="2" t="str">
        <x:v>涅奥</x:v>
      </x:c>
      <x:c r="D320" s="2" t="str">
        <x:v>金色珍珠</x:v>
      </x:c>
      <x:c r="E320" s="16" t="n">
        <x:f>IF(G320=0,I320,IF(G320=1,H320,G320*H320+(1-G320)*I320))</x:f>
        <x:v>0.1779716</x:v>
      </x:c>
      <x:c r="F320" s="12" t="n">
        <x:v>5804</x:v>
      </x:c>
      <x:c r="G320" s="11" t="n">
        <x:v>0.3508</x:v>
      </x:c>
      <x:c r="H320" s="11" t="n">
        <x:v>0.1955</x:v>
      </x:c>
      <x:c r="I320" s="11" t="n">
        <x:v>0.1685</x:v>
      </x:c>
      <x:c r="J320" s="13" t="n">
        <x:f>IF(OR(G320=0,G320=1),"",(H320-I320)*100)</x:f>
        <x:v>2.6999999999999997</x:v>
      </x:c>
      <x:c r="K320" s="14" t="n">
        <x:v>1.42</x:v>
      </x:c>
      <x:c r="L320" s="15" t="n">
        <x:f>F320*G320</x:f>
        <x:v>2036.0432</x:v>
      </x:c>
      <x:c r="M320" s="15" t="n">
        <x:f>F320-L320</x:f>
        <x:v>3767.9568</x:v>
      </x:c>
      <x:c r="N320" s="17" t="str"/>
      <x:c r="O320" s="17" t="str">
        <x:v>https://sts2log.com/cards</x:v>
      </x:c>
      <x:c r="P320" s="17" t="str">
        <x:v>https://slaythespire2.net/ancient/neow</x:v>
      </x:c>
    </x:row>
    <x:row r="321" ht="25" customHeight="1">
      <x:c r="A321" s="2" t="str">
        <x:v>v0.107</x:v>
      </x:c>
      <x:c r="B321" s="2" t="str">
        <x:v>亡灵契约师</x:v>
      </x:c>
      <x:c r="C321" s="2" t="str">
        <x:v>涅奥</x:v>
      </x:c>
      <x:c r="D321" s="2" t="str">
        <x:v>涅奥的苦痛</x:v>
      </x:c>
      <x:c r="E321" s="16" t="n">
        <x:f>IF(G321=0,I321,IF(G321=1,H321,G321*H321+(1-G321)*I321))</x:f>
        <x:v>0.1778644</x:v>
      </x:c>
      <x:c r="F321" s="12" t="n">
        <x:v>6303</x:v>
      </x:c>
      <x:c r="G321" s="11" t="n">
        <x:v>0.067</x:v>
      </x:c>
      <x:c r="H321" s="11" t="n">
        <x:v>0.2275</x:v>
      </x:c>
      <x:c r="I321" s="11" t="n">
        <x:v>0.1743</x:v>
      </x:c>
      <x:c r="J321" s="13" t="n">
        <x:f>IF(OR(G321=0,G321=1),"",(H321-I321)*100)</x:f>
        <x:v>5.319999999999999</x:v>
      </x:c>
      <x:c r="K321" s="14" t="n">
        <x:v>4.62</x:v>
      </x:c>
      <x:c r="L321" s="15" t="n">
        <x:f>F321*G321</x:f>
        <x:v>422.30100000000004</x:v>
      </x:c>
      <x:c r="M321" s="15" t="n">
        <x:f>F321-L321</x:f>
        <x:v>5880.699</x:v>
      </x:c>
      <x:c r="N321" s="17" t="str"/>
      <x:c r="O321" s="17" t="str">
        <x:v>https://sts2log.com/cards</x:v>
      </x:c>
      <x:c r="P321" s="17" t="str">
        <x:v>https://slaythespire2.net/ancient/neow</x:v>
      </x:c>
    </x:row>
    <x:row r="322" ht="25" customHeight="1">
      <x:c r="A322" s="2" t="str">
        <x:v>v0.107</x:v>
      </x:c>
      <x:c r="B322" s="2" t="str">
        <x:v>亡灵契约师</x:v>
      </x:c>
      <x:c r="C322" s="2" t="str">
        <x:v>涅奥</x:v>
      </x:c>
      <x:c r="D322" s="2" t="str">
        <x:v>熔岩石</x:v>
      </x:c>
      <x:c r="E322" s="16" t="n">
        <x:f>IF(G322=0,I322,IF(G322=1,H322,G322*H322+(1-G322)*I322))</x:f>
        <x:v>0.17760908</x:v>
      </x:c>
      <x:c r="F322" s="12" t="n">
        <x:v>2809</x:v>
      </x:c>
      <x:c r="G322" s="11" t="n">
        <x:v>0.09179999999999999</x:v>
      </x:c>
      <x:c r="H322" s="11" t="n">
        <x:v>0.2054</x:v>
      </x:c>
      <x:c r="I322" s="11" t="n">
        <x:v>0.1748</x:v>
      </x:c>
      <x:c r="J322" s="13" t="n">
        <x:f>IF(OR(G322=0,G322=1),"",(H322-I322)*100)</x:f>
        <x:v>3.0599999999999987</x:v>
      </x:c>
      <x:c r="K322" s="14" t="n">
        <x:v>2.41</x:v>
      </x:c>
      <x:c r="L322" s="15" t="n">
        <x:f>F322*G322</x:f>
        <x:v>257.8662</x:v>
      </x:c>
      <x:c r="M322" s="15" t="n">
        <x:f>F322-L322</x:f>
        <x:v>2551.1338</x:v>
      </x:c>
      <x:c r="N322" s="17" t="str"/>
      <x:c r="O322" s="17" t="str">
        <x:v>https://sts2log.com/cards</x:v>
      </x:c>
      <x:c r="P322" s="17" t="str">
        <x:v>https://slaythespire2.net/ancient/neow</x:v>
      </x:c>
    </x:row>
    <x:row r="323" ht="25" customHeight="1">
      <x:c r="A323" s="2" t="str">
        <x:v>v0.107</x:v>
      </x:c>
      <x:c r="B323" s="2" t="str">
        <x:v>亡灵契约师</x:v>
      </x:c>
      <x:c r="C323" s="2" t="str">
        <x:v>涅奥</x:v>
      </x:c>
      <x:c r="D323" s="2" t="str">
        <x:v>涅奥的护符</x:v>
      </x:c>
      <x:c r="E323" s="16" t="n">
        <x:f>IF(G323=0,I323,IF(G323=1,H323,G323*H323+(1-G323)*I323))</x:f>
        <x:v>0.1773088</x:v>
      </x:c>
      <x:c r="F323" s="12" t="n">
        <x:v>3125</x:v>
      </x:c>
      <x:c r="G323" s="11" t="n">
        <x:v>0.0698</x:v>
      </x:c>
      <x:c r="H323" s="11" t="n">
        <x:v>0.22940000000000002</x:v>
      </x:c>
      <x:c r="I323" s="11" t="n">
        <x:v>0.1734</x:v>
      </x:c>
      <x:c r="J323" s="13" t="n">
        <x:f>IF(OR(G323=0,G323=1),"",(H323-I323)*100)</x:f>
        <x:v>5.600000000000002</x:v>
      </x:c>
      <x:c r="K323" s="14" t="n">
        <x:v>4.81</x:v>
      </x:c>
      <x:c r="L323" s="15" t="n">
        <x:f>F323*G323</x:f>
        <x:v>218.125</x:v>
      </x:c>
      <x:c r="M323" s="15" t="n">
        <x:f>F323-L323</x:f>
        <x:v>2906.875</x:v>
      </x:c>
      <x:c r="N323" s="17" t="str"/>
      <x:c r="O323" s="17" t="str">
        <x:v>https://sts2log.com/cards</x:v>
      </x:c>
      <x:c r="P323" s="17" t="str">
        <x:v>https://slaythespire2.net/ancient/neow</x:v>
      </x:c>
    </x:row>
    <x:row r="324" ht="25" customHeight="1">
      <x:c r="A324" s="2" t="str">
        <x:v>v0.107</x:v>
      </x:c>
      <x:c r="B324" s="2" t="str">
        <x:v>亡灵契约师</x:v>
      </x:c>
      <x:c r="C324" s="2" t="str">
        <x:v>涅奥</x:v>
      </x:c>
      <x:c r="D324" s="2" t="str">
        <x:v>万花筒</x:v>
      </x:c>
      <x:c r="E324" s="16" t="n">
        <x:f>IF(G324=0,I324,IF(G324=1,H324,G324*H324+(1-G324)*I324))</x:f>
        <x:v>0.17716968000000002</x:v>
      </x:c>
      <x:c r="F324" s="12" t="n">
        <x:v>6021</x:v>
      </x:c>
      <x:c r="G324" s="11" t="n">
        <x:v>0.24760000000000001</x:v>
      </x:c>
      <x:c r="H324" s="11" t="n">
        <x:v>0.171</x:v>
      </x:c>
      <x:c r="I324" s="11" t="n">
        <x:v>0.17920000000000003</x:v>
      </x:c>
      <x:c r="J324" s="13" t="n">
        <x:f>IF(OR(G324=0,G324=1),"",(H324-I324)*100)</x:f>
        <x:v>-0.8200000000000013</x:v>
      </x:c>
      <x:c r="K324" s="14" t="n">
        <x:v>-1.03</x:v>
      </x:c>
      <x:c r="L324" s="15" t="n">
        <x:f>F324*G324</x:f>
        <x:v>1490.7996</x:v>
      </x:c>
      <x:c r="M324" s="15" t="n">
        <x:f>F324-L324</x:f>
        <x:v>4530.2004</x:v>
      </x:c>
      <x:c r="N324" s="17" t="str"/>
      <x:c r="O324" s="17" t="str">
        <x:v>https://sts2log.com/cards</x:v>
      </x:c>
      <x:c r="P324" s="17" t="str">
        <x:v>https://slaythespire2.net/ancient/neow</x:v>
      </x:c>
    </x:row>
    <x:row r="325" ht="25" customHeight="1">
      <x:c r="A325" s="2" t="str">
        <x:v>v0.107</x:v>
      </x:c>
      <x:c r="B325" s="2" t="str">
        <x:v>亡灵契约师</x:v>
      </x:c>
      <x:c r="C325" s="2" t="str">
        <x:v>涅奥</x:v>
      </x:c>
      <x:c r="D325" s="2" t="str">
        <x:v>橙型香盒</x:v>
      </x:c>
      <x:c r="E325" s="16" t="n">
        <x:f>IF(G325=0,I325,IF(G325=1,H325,G325*H325+(1-G325)*I325))</x:f>
        <x:v>0.17703600000000003</x:v>
      </x:c>
      <x:c r="F325" s="12" t="n">
        <x:v>3264</x:v>
      </x:c>
      <x:c r="G325" s="11" t="n">
        <x:v>0.11</x:v>
      </x:c>
      <x:c r="H325" s="11" t="n">
        <x:v>0.1838</x:v>
      </x:c>
      <x:c r="I325" s="11" t="n">
        <x:v>0.17620000000000002</x:v>
      </x:c>
      <x:c r="J325" s="13" t="n">
        <x:f>IF(OR(G325=0,G325=1),"",(H325-I325)*100)</x:f>
        <x:v>0.7599999999999968</x:v>
      </x:c>
      <x:c r="K325" s="14" t="n">
        <x:v>0.25</x:v>
      </x:c>
      <x:c r="L325" s="15" t="n">
        <x:f>F325*G325</x:f>
        <x:v>359.04</x:v>
      </x:c>
      <x:c r="M325" s="15" t="n">
        <x:f>F325-L325</x:f>
        <x:v>2904.96</x:v>
      </x:c>
      <x:c r="N325" s="17" t="str"/>
      <x:c r="O325" s="17" t="str">
        <x:v>https://sts2log.com/cards</x:v>
      </x:c>
      <x:c r="P325" s="17" t="str">
        <x:v>https://slaythespire2.net/ancient/neow</x:v>
      </x:c>
    </x:row>
    <x:row r="326" ht="25" customHeight="1">
      <x:c r="A326" s="2" t="str">
        <x:v>v0.107</x:v>
      </x:c>
      <x:c r="B326" s="2" t="str">
        <x:v>亡灵契约师</x:v>
      </x:c>
      <x:c r="C326" s="2" t="str">
        <x:v>涅奥</x:v>
      </x:c>
      <x:c r="D326" s="2" t="str">
        <x:v>营养牡蛎</x:v>
      </x:c>
      <x:c r="E326" s="16" t="n">
        <x:f>IF(G326=0,I326,IF(G326=1,H326,G326*H326+(1-G326)*I326))</x:f>
        <x:v>0.17581507999999998</x:v>
      </x:c>
      <x:c r="F326" s="12" t="n">
        <x:v>3344</x:v>
      </x:c>
      <x:c r="G326" s="11" t="n">
        <x:v>0.1124</x:v>
      </x:c>
      <x:c r="H326" s="11" t="n">
        <x:v>0.1862</x:v>
      </x:c>
      <x:c r="I326" s="11" t="n">
        <x:v>0.1745</x:v>
      </x:c>
      <x:c r="J326" s="13" t="n">
        <x:f>IF(OR(G326=0,G326=1),"",(H326-I326)*100)</x:f>
        <x:v>1.1700000000000017</x:v>
      </x:c>
      <x:c r="K326" s="14" t="n">
        <x:v>0.49</x:v>
      </x:c>
      <x:c r="L326" s="15" t="n">
        <x:f>F326*G326</x:f>
        <x:v>375.8656</x:v>
      </x:c>
      <x:c r="M326" s="15" t="n">
        <x:f>F326-L326</x:f>
        <x:v>2968.1344</x:v>
      </x:c>
      <x:c r="N326" s="17" t="str"/>
      <x:c r="O326" s="17" t="str">
        <x:v>https://sts2log.com/cards</x:v>
      </x:c>
      <x:c r="P326" s="17" t="str">
        <x:v>https://slaythespire2.net/ancient/neow</x:v>
      </x:c>
    </x:row>
    <x:row r="327" ht="25" customHeight="1">
      <x:c r="A327" s="2" t="str">
        <x:v>v0.107</x:v>
      </x:c>
      <x:c r="B327" s="2" t="str">
        <x:v>亡灵契约师</x:v>
      </x:c>
      <x:c r="C327" s="2" t="str">
        <x:v>涅奥</x:v>
      </x:c>
      <x:c r="D327" s="2" t="str">
        <x:v>铅制镇纸</x:v>
      </x:c>
      <x:c r="E327" s="16" t="n">
        <x:f>IF(G327=0,I327,IF(G327=1,H327,G327*H327+(1-G327)*I327))</x:f>
        <x:v>0.17560940000000003</x:v>
      </x:c>
      <x:c r="F327" s="12" t="n">
        <x:v>6378</x:v>
      </x:c>
      <x:c r="G327" s="11" t="n">
        <x:v>0.2788</x:v>
      </x:c>
      <x:c r="H327" s="11" t="n">
        <x:v>0.19399999999999998</x:v>
      </x:c>
      <x:c r="I327" s="11" t="n">
        <x:v>0.1685</x:v>
      </x:c>
      <x:c r="J327" s="13" t="n">
        <x:f>IF(OR(G327=0,G327=1),"",(H327-I327)*100)</x:f>
        <x:v>2.5499999999999967</x:v>
      </x:c>
      <x:c r="K327" s="14" t="n">
        <x:v>1.27</x:v>
      </x:c>
      <x:c r="L327" s="15" t="n">
        <x:f>F327*G327</x:f>
        <x:v>1778.1864</x:v>
      </x:c>
      <x:c r="M327" s="15" t="n">
        <x:f>F327-L327</x:f>
        <x:v>4599.8135999999995</x:v>
      </x:c>
      <x:c r="N327" s="17" t="str"/>
      <x:c r="O327" s="17" t="str">
        <x:v>https://sts2log.com/cards</x:v>
      </x:c>
      <x:c r="P327" s="17" t="str">
        <x:v>https://slaythespire2.net/ancient/neow</x:v>
      </x:c>
    </x:row>
    <x:row r="328" ht="25" customHeight="1">
      <x:c r="A328" s="2" t="str">
        <x:v>v0.107</x:v>
      </x:c>
      <x:c r="B328" s="2" t="str">
        <x:v>亡灵契约师</x:v>
      </x:c>
      <x:c r="C328" s="2" t="str">
        <x:v>涅奥</x:v>
      </x:c>
      <x:c r="D328" s="2" t="str">
        <x:v>涅奥骨骰</x:v>
      </x:c>
      <x:c r="E328" s="16" t="n">
        <x:f>IF(G328=0,I328,IF(G328=1,H328,G328*H328+(1-G328)*I328))</x:f>
        <x:v>0.17521776</x:v>
      </x:c>
      <x:c r="F328" s="12" t="n">
        <x:v>5707</x:v>
      </x:c>
      <x:c r="G328" s="11" t="n">
        <x:v>0.4742</x:v>
      </x:c>
      <x:c r="H328" s="11" t="n">
        <x:v>0.15039999999999998</x:v>
      </x:c>
      <x:c r="I328" s="11" t="n">
        <x:v>0.19760000000000003</x:v>
      </x:c>
      <x:c r="J328" s="13" t="n">
        <x:f>IF(OR(G328=0,G328=1),"",(H328-I328)*100)</x:f>
        <x:v>-4.720000000000005</x:v>
      </x:c>
      <x:c r="K328" s="14" t="n">
        <x:v>-3.09</x:v>
      </x:c>
      <x:c r="L328" s="15" t="n">
        <x:f>F328*G328</x:f>
        <x:v>2706.2594</x:v>
      </x:c>
      <x:c r="M328" s="15" t="n">
        <x:f>F328-L328</x:f>
        <x:v>3000.7406</x:v>
      </x:c>
      <x:c r="N328" s="17" t="str"/>
      <x:c r="O328" s="17" t="str">
        <x:v>https://sts2log.com/cards</x:v>
      </x:c>
      <x:c r="P328" s="17" t="str">
        <x:v>https://slaythespire2.net/ancient/neow</x:v>
      </x:c>
    </x:row>
    <x:row r="329" ht="25" customHeight="1">
      <x:c r="A329" s="2" t="str">
        <x:v>v0.107</x:v>
      </x:c>
      <x:c r="B329" s="2" t="str">
        <x:v>亡灵契约师</x:v>
      </x:c>
      <x:c r="C329" s="2" t="str">
        <x:v>涅奥</x:v>
      </x:c>
      <x:c r="D329" s="2" t="str">
        <x:v>沉重石板</x:v>
      </x:c>
      <x:c r="E329" s="16" t="n">
        <x:f>IF(G329=0,I329,IF(G329=1,H329,G329*H329+(1-G329)*I329))</x:f>
        <x:v>0.16735382</x:v>
      </x:c>
      <x:c r="F329" s="12" t="n">
        <x:v>6418</x:v>
      </x:c>
      <x:c r="G329" s="11" t="n">
        <x:v>0.6206</x:v>
      </x:c>
      <x:c r="H329" s="11" t="n">
        <x:v>0.1293</x:v>
      </x:c>
      <x:c r="I329" s="11" t="n">
        <x:v>0.2296</x:v>
      </x:c>
      <x:c r="J329" s="13" t="n">
        <x:f>IF(OR(G329=0,G329=1),"",(H329-I329)*100)</x:f>
        <x:v>-10.03</x:v>
      </x:c>
      <x:c r="K329" s="14" t="n">
        <x:v>-5.2</x:v>
      </x:c>
      <x:c r="L329" s="15" t="n">
        <x:f>F329*G329</x:f>
        <x:v>3983.0108000000005</x:v>
      </x:c>
      <x:c r="M329" s="15" t="n">
        <x:f>F329-L329</x:f>
        <x:v>2434.9891999999995</x:v>
      </x:c>
      <x:c r="N329" s="17" t="str"/>
      <x:c r="O329" s="17" t="str">
        <x:v>https://sts2log.com/cards</x:v>
      </x:c>
      <x:c r="P329" s="17" t="str">
        <x:v>https://slaythespire2.net/ancient/neow</x:v>
      </x:c>
    </x:row>
    <x:row r="330" ht="25" customHeight="1">
      <x:c r="A330" s="2" t="str">
        <x:v>v0.107</x:v>
      </x:c>
      <x:c r="B330" s="2" t="str">
        <x:v>亡灵契约师</x:v>
      </x:c>
      <x:c r="C330" s="2" t="str">
        <x:v>欧洛巴斯</x:v>
      </x:c>
      <x:c r="D330" s="2" t="str">
        <x:v>放电异虾</x:v>
      </x:c>
      <x:c r="E330" s="16" t="n">
        <x:f>IF(G330=0,I330,IF(G330=1,H330,G330*H330+(1-G330)*I330))</x:f>
        <x:v>0.28709332000000004</x:v>
      </x:c>
      <x:c r="F330" s="12" t="n">
        <x:v>2393</x:v>
      </x:c>
      <x:c r="G330" s="11" t="n">
        <x:v>0.40619999999999995</x:v>
      </x:c>
      <x:c r="H330" s="11" t="n">
        <x:v>0.2922</x:v>
      </x:c>
      <x:c r="I330" s="11" t="n">
        <x:v>0.2836</x:v>
      </x:c>
      <x:c r="J330" s="13" t="n">
        <x:f>IF(OR(G330=0,G330=1),"",(H330-I330)*100)</x:f>
        <x:v>0.8599999999999997</x:v>
      </x:c>
      <x:c r="K330" s="14" t="n">
        <x:v>11.09</x:v>
      </x:c>
      <x:c r="L330" s="15" t="n">
        <x:f>F330*G330</x:f>
        <x:v>972.0365999999999</x:v>
      </x:c>
      <x:c r="M330" s="15" t="n">
        <x:f>F330-L330</x:f>
        <x:v>1420.9634</x:v>
      </x:c>
      <x:c r="N330" s="17" t="str"/>
      <x:c r="O330" s="17" t="str">
        <x:v>https://sts2log.com/cards</x:v>
      </x:c>
      <x:c r="P330" s="17" t="str">
        <x:v>https://slaythespire2.net/ancient/orobas</x:v>
      </x:c>
    </x:row>
    <x:row r="331" ht="25" customHeight="1">
      <x:c r="A331" s="2" t="str">
        <x:v>v0.107</x:v>
      </x:c>
      <x:c r="B331" s="2" t="str">
        <x:v>亡灵契约师</x:v>
      </x:c>
      <x:c r="C331" s="2" t="str">
        <x:v>欧洛巴斯</x:v>
      </x:c>
      <x:c r="D331" s="2" t="str">
        <x:v>炼金箱</x:v>
      </x:c>
      <x:c r="E331" s="16" t="n">
        <x:f>IF(G331=0,I331,IF(G331=1,H331,G331*H331+(1-G331)*I331))</x:f>
        <x:v>0.2824608</x:v>
      </x:c>
      <x:c r="F331" s="12" t="n">
        <x:v>2712</x:v>
      </x:c>
      <x:c r="G331" s="11" t="n">
        <x:v>0.2636</x:v>
      </x:c>
      <x:c r="H331" s="11" t="n">
        <x:v>0.33990000000000004</x:v>
      </x:c>
      <x:c r="I331" s="11" t="n">
        <x:v>0.2619</x:v>
      </x:c>
      <x:c r="J331" s="13" t="n">
        <x:f>IF(OR(G331=0,G331=1),"",(H331-I331)*100)</x:f>
        <x:v>7.800000000000002</x:v>
      </x:c>
      <x:c r="K331" s="14" t="n">
        <x:v>15.86</x:v>
      </x:c>
      <x:c r="L331" s="15" t="n">
        <x:f>F331*G331</x:f>
        <x:v>714.8832</x:v>
      </x:c>
      <x:c r="M331" s="15" t="n">
        <x:f>F331-L331</x:f>
        <x:v>1997.1168</x:v>
      </x:c>
      <x:c r="N331" s="17" t="str"/>
      <x:c r="O331" s="17" t="str">
        <x:v>https://sts2log.com/cards</x:v>
      </x:c>
      <x:c r="P331" s="17" t="str">
        <x:v>https://slaythespire2.net/ancient/orobas</x:v>
      </x:c>
    </x:row>
    <x:row r="332" ht="25" customHeight="1">
      <x:c r="A332" s="2" t="str">
        <x:v>v0.107</x:v>
      </x:c>
      <x:c r="B332" s="2" t="str">
        <x:v>亡灵契约师</x:v>
      </x:c>
      <x:c r="C332" s="2" t="str">
        <x:v>欧洛巴斯</x:v>
      </x:c>
      <x:c r="D332" s="2" t="str">
        <x:v>发光珍珠</x:v>
      </x:c>
      <x:c r="E332" s="16" t="n">
        <x:f>IF(G332=0,I332,IF(G332=1,H332,G332*H332+(1-G332)*I332))</x:f>
        <x:v>0.28048824</x:v>
      </x:c>
      <x:c r="F332" s="12" t="n">
        <x:v>2606</x:v>
      </x:c>
      <x:c r="G332" s="11" t="n">
        <x:v>0.3062</x:v>
      </x:c>
      <x:c r="H332" s="11" t="n">
        <x:v>0.3396</x:v>
      </x:c>
      <x:c r="I332" s="11" t="n">
        <x:v>0.2544</x:v>
      </x:c>
      <x:c r="J332" s="13" t="n">
        <x:f>IF(OR(G332=0,G332=1),"",(H332-I332)*100)</x:f>
        <x:v>8.52</x:v>
      </x:c>
      <x:c r="K332" s="14" t="n">
        <x:v>15.83</x:v>
      </x:c>
      <x:c r="L332" s="15" t="n">
        <x:f>F332*G332</x:f>
        <x:v>797.9572000000001</x:v>
      </x:c>
      <x:c r="M332" s="15" t="n">
        <x:f>F332-L332</x:f>
        <x:v>1808.0428</x:v>
      </x:c>
      <x:c r="N332" s="17" t="str"/>
      <x:c r="O332" s="17" t="str">
        <x:v>https://sts2log.com/cards</x:v>
      </x:c>
      <x:c r="P332" s="17" t="str">
        <x:v>https://slaythespire2.net/ancient/orobas</x:v>
      </x:c>
    </x:row>
    <x:row r="333" ht="25" customHeight="1">
      <x:c r="A333" s="2" t="str">
        <x:v>v0.107</x:v>
      </x:c>
      <x:c r="B333" s="2" t="str">
        <x:v>亡灵契约师</x:v>
      </x:c>
      <x:c r="C333" s="2" t="str">
        <x:v>欧洛巴斯</x:v>
      </x:c>
      <x:c r="D333" s="2" t="str">
        <x:v>欧洛巴斯之触</x:v>
      </x:c>
      <x:c r="E333" s="16" t="n">
        <x:f>IF(G333=0,I333,IF(G333=1,H333,G333*H333+(1-G333)*I333))</x:f>
        <x:v>0.2744626</x:v>
      </x:c>
      <x:c r="F333" s="12" t="n">
        <x:v>4055</x:v>
      </x:c>
      <x:c r="G333" s="11" t="n">
        <x:v>0.34450000000000003</x:v>
      </x:c>
      <x:c r="H333" s="11" t="n">
        <x:v>0.2527</x:v>
      </x:c>
      <x:c r="I333" s="11" t="n">
        <x:v>0.2859</x:v>
      </x:c>
      <x:c r="J333" s="13" t="n">
        <x:f>IF(OR(G333=0,G333=1),"",(H333-I333)*100)</x:f>
        <x:v>-3.3200000000000007</x:v>
      </x:c>
      <x:c r="K333" s="14" t="n">
        <x:v>7.14</x:v>
      </x:c>
      <x:c r="L333" s="15" t="n">
        <x:f>F333*G333</x:f>
        <x:v>1396.9475000000002</x:v>
      </x:c>
      <x:c r="M333" s="15" t="n">
        <x:f>F333-L333</x:f>
        <x:v>2658.0525</x:v>
      </x:c>
      <x:c r="N333" s="17" t="str"/>
      <x:c r="O333" s="17" t="str">
        <x:v>https://sts2log.com/cards</x:v>
      </x:c>
      <x:c r="P333" s="17" t="str">
        <x:v>https://slaythespire2.net/ancient/orobas</x:v>
      </x:c>
    </x:row>
    <x:row r="334" ht="25" customHeight="1">
      <x:c r="A334" s="2" t="str">
        <x:v>v0.107</x:v>
      </x:c>
      <x:c r="B334" s="2" t="str">
        <x:v>亡灵契约师</x:v>
      </x:c>
      <x:c r="C334" s="2" t="str">
        <x:v>欧洛巴斯</x:v>
      </x:c>
      <x:c r="D334" s="2" t="str">
        <x:v>棱彩宝石</x:v>
      </x:c>
      <x:c r="E334" s="16" t="n">
        <x:f>IF(G334=0,I334,IF(G334=1,H334,G334*H334+(1-G334)*I334))</x:f>
        <x:v>0.27274783</x:v>
      </x:c>
      <x:c r="F334" s="12" t="n">
        <x:v>715</x:v>
      </x:c>
      <x:c r="G334" s="11" t="n">
        <x:v>0.4643</x:v>
      </x:c>
      <x:c r="H334" s="11" t="n">
        <x:v>0.32530000000000003</x:v>
      </x:c>
      <x:c r="I334" s="11" t="n">
        <x:v>0.22719999999999999</x:v>
      </x:c>
      <x:c r="J334" s="13" t="n">
        <x:f>IF(OR(G334=0,G334=1),"",(H334-I334)*100)</x:f>
        <x:v>9.810000000000004</x:v>
      </x:c>
      <x:c r="K334" s="14" t="n">
        <x:v>14.4</x:v>
      </x:c>
      <x:c r="L334" s="15" t="n">
        <x:f>F334*G334</x:f>
        <x:v>331.9745</x:v>
      </x:c>
      <x:c r="M334" s="15" t="n">
        <x:f>F334-L334</x:f>
        <x:v>383.0255</x:v>
      </x:c>
      <x:c r="N334" s="17" t="str"/>
      <x:c r="O334" s="17" t="str">
        <x:v>https://sts2log.com/cards</x:v>
      </x:c>
      <x:c r="P334" s="17" t="str">
        <x:v>https://slaythespire2.net/ancient/orobas</x:v>
      </x:c>
    </x:row>
    <x:row r="335" ht="25" customHeight="1">
      <x:c r="A335" s="2" t="str">
        <x:v>v0.107</x:v>
      </x:c>
      <x:c r="B335" s="2" t="str">
        <x:v>亡灵契约师</x:v>
      </x:c>
      <x:c r="C335" s="2" t="str">
        <x:v>欧洛巴斯</x:v>
      </x:c>
      <x:c r="D335" s="2" t="str">
        <x:v>古老牙齿</x:v>
      </x:c>
      <x:c r="E335" s="16" t="n">
        <x:f>IF(G335=0,I335,IF(G335=1,H335,G335*H335+(1-G335)*I335))</x:f>
        <x:v>0.26651201999999996</x:v>
      </x:c>
      <x:c r="F335" s="12" t="n">
        <x:v>3816</x:v>
      </x:c>
      <x:c r="G335" s="11" t="n">
        <x:v>0.3079</x:v>
      </x:c>
      <x:c r="H335" s="11" t="n">
        <x:v>0.2553</x:v>
      </x:c>
      <x:c r="I335" s="11" t="n">
        <x:v>0.27149999999999996</x:v>
      </x:c>
      <x:c r="J335" s="13" t="n">
        <x:f>IF(OR(G335=0,G335=1),"",(H335-I335)*100)</x:f>
        <x:v>-1.6199999999999937</x:v>
      </x:c>
      <x:c r="K335" s="14" t="n">
        <x:v>7.4</x:v>
      </x:c>
      <x:c r="L335" s="15" t="n">
        <x:f>F335*G335</x:f>
        <x:v>1174.9464</x:v>
      </x:c>
      <x:c r="M335" s="15" t="n">
        <x:f>F335-L335</x:f>
        <x:v>2641.0536</x:v>
      </x:c>
      <x:c r="N335" s="17" t="str"/>
      <x:c r="O335" s="17" t="str">
        <x:v>https://sts2log.com/cards</x:v>
      </x:c>
      <x:c r="P335" s="17" t="str">
        <x:v>https://slaythespire2.net/ancient/orobas</x:v>
      </x:c>
    </x:row>
    <x:row r="336" ht="25" customHeight="1">
      <x:c r="A336" s="2" t="str">
        <x:v>v0.107</x:v>
      </x:c>
      <x:c r="B336" s="2" t="str">
        <x:v>亡灵契约师</x:v>
      </x:c>
      <x:c r="C336" s="2" t="str">
        <x:v>欧洛巴斯</x:v>
      </x:c>
      <x:c r="D336" s="2" t="str">
        <x:v>玻璃眼珠</x:v>
      </x:c>
      <x:c r="E336" s="16" t="n">
        <x:f>IF(G336=0,I336,IF(G336=1,H336,G336*H336+(1-G336)*I336))</x:f>
        <x:v>0.26261875</x:v>
      </x:c>
      <x:c r="F336" s="12" t="n">
        <x:v>2315</x:v>
      </x:c>
      <x:c r="G336" s="11" t="n">
        <x:v>0.46950000000000003</x:v>
      </x:c>
      <x:c r="H336" s="11" t="n">
        <x:v>0.2162</x:v>
      </x:c>
      <x:c r="I336" s="11" t="n">
        <x:v>0.3037</x:v>
      </x:c>
      <x:c r="J336" s="13" t="n">
        <x:f>IF(OR(G336=0,G336=1),"",(H336-I336)*100)</x:f>
        <x:v>-8.750000000000002</x:v>
      </x:c>
      <x:c r="K336" s="14" t="n">
        <x:v>3.49</x:v>
      </x:c>
      <x:c r="L336" s="15" t="n">
        <x:f>F336*G336</x:f>
        <x:v>1086.8925000000002</x:v>
      </x:c>
      <x:c r="M336" s="15" t="n">
        <x:f>F336-L336</x:f>
        <x:v>1228.1074999999998</x:v>
      </x:c>
      <x:c r="N336" s="17" t="str"/>
      <x:c r="O336" s="17" t="str">
        <x:v>https://sts2log.com/cards</x:v>
      </x:c>
      <x:c r="P336" s="17" t="str">
        <x:v>https://slaythespire2.net/ancient/orobas</x:v>
      </x:c>
    </x:row>
    <x:row r="337" ht="25" customHeight="1">
      <x:c r="A337" s="2" t="str">
        <x:v>v0.107</x:v>
      </x:c>
      <x:c r="B337" s="2" t="str">
        <x:v>亡灵契约师</x:v>
      </x:c>
      <x:c r="C337" s="2" t="str">
        <x:v>欧洛巴斯</x:v>
      </x:c>
      <x:c r="D337" s="2" t="str">
        <x:v>沙堡</x:v>
      </x:c>
      <x:c r="E337" s="16" t="n">
        <x:f>IF(G337=0,I337,IF(G337=1,H337,G337*H337+(1-G337)*I337))</x:f>
        <x:v>0.26006092</x:v>
      </x:c>
      <x:c r="F337" s="12" t="n">
        <x:v>2457</x:v>
      </x:c>
      <x:c r="G337" s="11" t="n">
        <x:v>0.29710000000000003</x:v>
      </x:c>
      <x:c r="H337" s="11" t="n">
        <x:v>0.23559999999999998</x:v>
      </x:c>
      <x:c r="I337" s="11" t="n">
        <x:v>0.2704</x:v>
      </x:c>
      <x:c r="J337" s="13" t="n">
        <x:f>IF(OR(G337=0,G337=1),"",(H337-I337)*100)</x:f>
        <x:v>-3.4799999999999995</x:v>
      </x:c>
      <x:c r="K337" s="14" t="n">
        <x:v>5.43</x:v>
      </x:c>
      <x:c r="L337" s="15" t="n">
        <x:f>F337*G337</x:f>
        <x:v>729.9747000000001</x:v>
      </x:c>
      <x:c r="M337" s="15" t="n">
        <x:f>F337-L337</x:f>
        <x:v>1727.0252999999998</x:v>
      </x:c>
      <x:c r="N337" s="17" t="str"/>
      <x:c r="O337" s="17" t="str">
        <x:v>https://sts2log.com/cards</x:v>
      </x:c>
      <x:c r="P337" s="17" t="str">
        <x:v>https://slaythespire2.net/ancient/orobas</x:v>
      </x:c>
    </x:row>
    <x:row r="338" ht="25" customHeight="1">
      <x:c r="A338" s="2" t="str">
        <x:v>v0.107</x:v>
      </x:c>
      <x:c r="B338" s="2" t="str">
        <x:v>亡灵契约师</x:v>
      </x:c>
      <x:c r="C338" s="2" t="str">
        <x:v>欧洛巴斯</x:v>
      </x:c>
      <x:c r="D338" s="2" t="str">
        <x:v>浮木</x:v>
      </x:c>
      <x:c r="E338" s="16" t="n">
        <x:f>IF(G338=0,I338,IF(G338=1,H338,G338*H338+(1-G338)*I338))</x:f>
        <x:v>0.24829978999999996</x:v>
      </x:c>
      <x:c r="F338" s="12" t="n">
        <x:v>2553</x:v>
      </x:c>
      <x:c r="G338" s="11" t="n">
        <x:v>0.2609</x:v>
      </x:c>
      <x:c r="H338" s="11" t="n">
        <x:v>0.2432</x:v>
      </x:c>
      <x:c r="I338" s="11" t="n">
        <x:v>0.2501</x:v>
      </x:c>
      <x:c r="J338" s="13" t="n">
        <x:f>IF(OR(G338=0,G338=1),"",(H338-I338)*100)</x:f>
        <x:v>-0.689999999999999</x:v>
      </x:c>
      <x:c r="K338" s="14" t="n">
        <x:v>6.19</x:v>
      </x:c>
      <x:c r="L338" s="15" t="n">
        <x:f>F338*G338</x:f>
        <x:v>666.0777</x:v>
      </x:c>
      <x:c r="M338" s="15" t="n">
        <x:f>F338-L338</x:f>
        <x:v>1886.9223</x:v>
      </x:c>
      <x:c r="N338" s="17" t="str"/>
      <x:c r="O338" s="17" t="str">
        <x:v>https://sts2log.com/cards</x:v>
      </x:c>
      <x:c r="P338" s="17" t="str">
        <x:v>https://slaythespire2.net/ancient/orobas</x:v>
      </x:c>
    </x:row>
    <x:row r="339" ht="25" customHeight="1">
      <x:c r="A339" s="2" t="str">
        <x:v>v0.107</x:v>
      </x:c>
      <x:c r="B339" s="2" t="str">
        <x:v>亡灵契约师</x:v>
      </x:c>
      <x:c r="C339" s="2" t="str">
        <x:v>佩尔</x:v>
      </x:c>
      <x:c r="D339" s="2" t="str">
        <x:v>佩尔之血</x:v>
      </x:c>
      <x:c r="E339" s="16" t="n">
        <x:f>IF(G339=0,I339,IF(G339=1,H339,G339*H339+(1-G339)*I339))</x:f>
        <x:v>0.31674203</x:v>
      </x:c>
      <x:c r="F339" s="12" t="n">
        <x:v>3122</x:v>
      </x:c>
      <x:c r="G339" s="11" t="n">
        <x:v>0.4619</x:v>
      </x:c>
      <x:c r="H339" s="11" t="n">
        <x:v>0.3564</x:v>
      </x:c>
      <x:c r="I339" s="11" t="n">
        <x:v>0.2827</x:v>
      </x:c>
      <x:c r="J339" s="13" t="n">
        <x:f>IF(OR(G339=0,G339=1),"",(H339-I339)*100)</x:f>
        <x:v>7.369999999999999</x:v>
      </x:c>
      <x:c r="K339" s="14" t="n">
        <x:v>17.51</x:v>
      </x:c>
      <x:c r="L339" s="15" t="n">
        <x:f>F339*G339</x:f>
        <x:v>1442.0518</x:v>
      </x:c>
      <x:c r="M339" s="15" t="n">
        <x:f>F339-L339</x:f>
        <x:v>1679.9482</x:v>
      </x:c>
      <x:c r="N339" s="17" t="str"/>
      <x:c r="O339" s="17" t="str">
        <x:v>https://sts2log.com/cards</x:v>
      </x:c>
      <x:c r="P339" s="17" t="str">
        <x:v>https://slaythespire2.net/ancient/pael</x:v>
      </x:c>
    </x:row>
    <x:row r="340" ht="25" customHeight="1">
      <x:c r="A340" s="2" t="str">
        <x:v>v0.107</x:v>
      </x:c>
      <x:c r="B340" s="2" t="str">
        <x:v>亡灵契约师</x:v>
      </x:c>
      <x:c r="C340" s="2" t="str">
        <x:v>佩尔</x:v>
      </x:c>
      <x:c r="D340" s="2" t="str">
        <x:v>佩尔的增生组织</x:v>
      </x:c>
      <x:c r="E340" s="16" t="n">
        <x:f>IF(G340=0,I340,IF(G340=1,H340,G340*H340+(1-G340)*I340))</x:f>
        <x:v>0.304774</x:v>
      </x:c>
      <x:c r="F340" s="12" t="n">
        <x:v>1365</x:v>
      </x:c>
      <x:c r="G340" s="11" t="n">
        <x:v>0.285</x:v>
      </x:c>
      <x:c r="H340" s="11" t="n">
        <x:v>0.2879</x:v>
      </x:c>
      <x:c r="I340" s="11" t="n">
        <x:v>0.3115</x:v>
      </x:c>
      <x:c r="J340" s="13" t="n">
        <x:f>IF(OR(G340=0,G340=1),"",(H340-I340)*100)</x:f>
        <x:v>-2.360000000000001</x:v>
      </x:c>
      <x:c r="K340" s="14" t="n">
        <x:v>10.66</x:v>
      </x:c>
      <x:c r="L340" s="15" t="n">
        <x:f>F340*G340</x:f>
        <x:v>389.025</x:v>
      </x:c>
      <x:c r="M340" s="15" t="n">
        <x:f>F340-L340</x:f>
        <x:v>975.975</x:v>
      </x:c>
      <x:c r="N340" s="17" t="str"/>
      <x:c r="O340" s="17" t="str">
        <x:v>https://sts2log.com/cards</x:v>
      </x:c>
      <x:c r="P340" s="17" t="str">
        <x:v>https://slaythespire2.net/ancient/pael</x:v>
      </x:c>
    </x:row>
    <x:row r="341" ht="25" customHeight="1">
      <x:c r="A341" s="2" t="str">
        <x:v>v0.107</x:v>
      </x:c>
      <x:c r="B341" s="2" t="str">
        <x:v>亡灵契约师</x:v>
      </x:c>
      <x:c r="C341" s="2" t="str">
        <x:v>佩尔</x:v>
      </x:c>
      <x:c r="D341" s="2" t="str">
        <x:v>佩尔之爪</x:v>
      </x:c>
      <x:c r="E341" s="16" t="n">
        <x:f>IF(G341=0,I341,IF(G341=1,H341,G341*H341+(1-G341)*I341))</x:f>
        <x:v>0.28879487000000004</x:v>
      </x:c>
      <x:c r="F341" s="12" t="n">
        <x:v>2628</x:v>
      </x:c>
      <x:c r="G341" s="11" t="n">
        <x:v>0.2861</x:v>
      </x:c>
      <x:c r="H341" s="11" t="n">
        <x:v>0.2793</x:v>
      </x:c>
      <x:c r="I341" s="11" t="n">
        <x:v>0.2926</x:v>
      </x:c>
      <x:c r="J341" s="13" t="n">
        <x:f>IF(OR(G341=0,G341=1),"",(H341-I341)*100)</x:f>
        <x:v>-1.3300000000000034</x:v>
      </x:c>
      <x:c r="K341" s="14" t="n">
        <x:v>9.8</x:v>
      </x:c>
      <x:c r="L341" s="15" t="n">
        <x:f>F341*G341</x:f>
        <x:v>751.8708</x:v>
      </x:c>
      <x:c r="M341" s="15" t="n">
        <x:f>F341-L341</x:f>
        <x:v>1876.1291999999999</x:v>
      </x:c>
      <x:c r="N341" s="17" t="str"/>
      <x:c r="O341" s="17" t="str">
        <x:v>https://sts2log.com/cards</x:v>
      </x:c>
      <x:c r="P341" s="17" t="str">
        <x:v>https://slaythespire2.net/ancient/pael</x:v>
      </x:c>
    </x:row>
    <x:row r="342" ht="25" customHeight="1">
      <x:c r="A342" s="2" t="str">
        <x:v>v0.107</x:v>
      </x:c>
      <x:c r="B342" s="2" t="str">
        <x:v>亡灵契约师</x:v>
      </x:c>
      <x:c r="C342" s="2" t="str">
        <x:v>佩尔</x:v>
      </x:c>
      <x:c r="D342" s="2" t="str">
        <x:v>佩尔之泪</x:v>
      </x:c>
      <x:c r="E342" s="16" t="n">
        <x:f>IF(G342=0,I342,IF(G342=1,H342,G342*H342+(1-G342)*I342))</x:f>
        <x:v>0.2878248</x:v>
      </x:c>
      <x:c r="F342" s="12" t="n">
        <x:v>3158</x:v>
      </x:c>
      <x:c r="G342" s="11" t="n">
        <x:v>0.4576</x:v>
      </x:c>
      <x:c r="H342" s="11" t="n">
        <x:v>0.3003</x:v>
      </x:c>
      <x:c r="I342" s="11" t="n">
        <x:v>0.2773</x:v>
      </x:c>
      <x:c r="J342" s="13" t="n">
        <x:f>IF(OR(G342=0,G342=1),"",(H342-I342)*100)</x:f>
        <x:v>2.300000000000002</x:v>
      </x:c>
      <x:c r="K342" s="14" t="n">
        <x:v>11.9</x:v>
      </x:c>
      <x:c r="L342" s="15" t="n">
        <x:f>F342*G342</x:f>
        <x:v>1445.1008</x:v>
      </x:c>
      <x:c r="M342" s="15" t="n">
        <x:f>F342-L342</x:f>
        <x:v>1712.8992</x:v>
      </x:c>
      <x:c r="N342" s="17" t="str"/>
      <x:c r="O342" s="17" t="str">
        <x:v>https://sts2log.com/cards</x:v>
      </x:c>
      <x:c r="P342" s="17" t="str">
        <x:v>https://slaythespire2.net/ancient/pael</x:v>
      </x:c>
    </x:row>
    <x:row r="343" ht="25" customHeight="1">
      <x:c r="A343" s="2" t="str">
        <x:v>v0.107</x:v>
      </x:c>
      <x:c r="B343" s="2" t="str">
        <x:v>亡灵契约师</x:v>
      </x:c>
      <x:c r="C343" s="2" t="str">
        <x:v>佩尔</x:v>
      </x:c>
      <x:c r="D343" s="2" t="str">
        <x:v>佩尔的士兵</x:v>
      </x:c>
      <x:c r="E343" s="16" t="n">
        <x:f>IF(G343=0,I343,IF(G343=1,H343,G343*H343+(1-G343)*I343))</x:f>
        <x:v>0.28555395</x:v>
      </x:c>
      <x:c r="F343" s="12" t="n">
        <x:v>3176</x:v>
      </x:c>
      <x:c r="G343" s="11" t="n">
        <x:v>0.4465</x:v>
      </x:c>
      <x:c r="H343" s="11" t="n">
        <x:v>0.33</x:v>
      </x:c>
      <x:c r="I343" s="11" t="n">
        <x:v>0.24969999999999998</x:v>
      </x:c>
      <x:c r="J343" s="13" t="n">
        <x:f>IF(OR(G343=0,G343=1),"",(H343-I343)*100)</x:f>
        <x:v>8.030000000000005</x:v>
      </x:c>
      <x:c r="K343" s="14" t="n">
        <x:v>14.87</x:v>
      </x:c>
      <x:c r="L343" s="15" t="n">
        <x:f>F343*G343</x:f>
        <x:v>1418.084</x:v>
      </x:c>
      <x:c r="M343" s="15" t="n">
        <x:f>F343-L343</x:f>
        <x:v>1757.916</x:v>
      </x:c>
      <x:c r="N343" s="17" t="str"/>
      <x:c r="O343" s="17" t="str">
        <x:v>https://sts2log.com/cards</x:v>
      </x:c>
      <x:c r="P343" s="17" t="str">
        <x:v>https://slaythespire2.net/ancient/pael</x:v>
      </x:c>
    </x:row>
    <x:row r="344" ht="25" customHeight="1">
      <x:c r="A344" s="2" t="str">
        <x:v>v0.107</x:v>
      </x:c>
      <x:c r="B344" s="2" t="str">
        <x:v>亡灵契约师</x:v>
      </x:c>
      <x:c r="C344" s="2" t="str">
        <x:v>佩尔</x:v>
      </x:c>
      <x:c r="D344" s="2" t="str">
        <x:v>佩尔之肉</x:v>
      </x:c>
      <x:c r="E344" s="16" t="n">
        <x:f>IF(G344=0,I344,IF(G344=1,H344,G344*H344+(1-G344)*I344))</x:f>
        <x:v>0.2848818</x:v>
      </x:c>
      <x:c r="F344" s="12" t="n">
        <x:v>3036</x:v>
      </x:c>
      <x:c r="G344" s="11" t="n">
        <x:v>0.4279</x:v>
      </x:c>
      <x:c r="H344" s="11" t="n">
        <x:v>0.25170000000000003</x:v>
      </x:c>
      <x:c r="I344" s="11" t="n">
        <x:v>0.3097</x:v>
      </x:c>
      <x:c r="J344" s="13" t="n">
        <x:f>IF(OR(G344=0,G344=1),"",(H344-I344)*100)</x:f>
        <x:v>-5.799999999999994</x:v>
      </x:c>
      <x:c r="K344" s="14" t="n">
        <x:v>7.04</x:v>
      </x:c>
      <x:c r="L344" s="15" t="n">
        <x:f>F344*G344</x:f>
        <x:v>1299.1044</x:v>
      </x:c>
      <x:c r="M344" s="15" t="n">
        <x:f>F344-L344</x:f>
        <x:v>1736.8956</x:v>
      </x:c>
      <x:c r="N344" s="17" t="str"/>
      <x:c r="O344" s="17" t="str">
        <x:v>https://sts2log.com/cards</x:v>
      </x:c>
      <x:c r="P344" s="17" t="str">
        <x:v>https://slaythespire2.net/ancient/pael</x:v>
      </x:c>
    </x:row>
    <x:row r="345" ht="25" customHeight="1">
      <x:c r="A345" s="2" t="str">
        <x:v>v0.107</x:v>
      </x:c>
      <x:c r="B345" s="2" t="str">
        <x:v>亡灵契约师</x:v>
      </x:c>
      <x:c r="C345" s="2" t="str">
        <x:v>佩尔</x:v>
      </x:c>
      <x:c r="D345" s="2" t="str">
        <x:v>佩尔之角</x:v>
      </x:c>
      <x:c r="E345" s="16" t="n">
        <x:f>IF(G345=0,I345,IF(G345=1,H345,G345*H345+(1-G345)*I345))</x:f>
        <x:v>0.28310257</x:v>
      </x:c>
      <x:c r="F345" s="12" t="n">
        <x:v>3193</x:v>
      </x:c>
      <x:c r="G345" s="11" t="n">
        <x:v>0.1757</x:v>
      </x:c>
      <x:c r="H345" s="11" t="n">
        <x:v>0.32439999999999997</x:v>
      </x:c>
      <x:c r="I345" s="11" t="n">
        <x:v>0.2743</x:v>
      </x:c>
      <x:c r="J345" s="13" t="n">
        <x:f>IF(OR(G345=0,G345=1),"",(H345-I345)*100)</x:f>
        <x:v>5.009999999999998</x:v>
      </x:c>
      <x:c r="K345" s="14" t="n">
        <x:v>14.31</x:v>
      </x:c>
      <x:c r="L345" s="15" t="n">
        <x:f>F345*G345</x:f>
        <x:v>561.0101</x:v>
      </x:c>
      <x:c r="M345" s="15" t="n">
        <x:f>F345-L345</x:f>
        <x:v>2631.9899</x:v>
      </x:c>
      <x:c r="N345" s="17" t="str"/>
      <x:c r="O345" s="17" t="str">
        <x:v>https://sts2log.com/cards</x:v>
      </x:c>
      <x:c r="P345" s="17" t="str">
        <x:v>https://slaythespire2.net/ancient/pael</x:v>
      </x:c>
    </x:row>
    <x:row r="346" ht="25" customHeight="1">
      <x:c r="A346" s="2" t="str">
        <x:v>v0.107</x:v>
      </x:c>
      <x:c r="B346" s="2" t="str">
        <x:v>亡灵契约师</x:v>
      </x:c>
      <x:c r="C346" s="2" t="str">
        <x:v>佩尔</x:v>
      </x:c>
      <x:c r="D346" s="2" t="str">
        <x:v>佩尔之翼</x:v>
      </x:c>
      <x:c r="E346" s="16" t="n">
        <x:f>IF(G346=0,I346,IF(G346=1,H346,G346*H346+(1-G346)*I346))</x:f>
        <x:v>0.2802373</x:v>
      </x:c>
      <x:c r="F346" s="12" t="n">
        <x:v>2780</x:v>
      </x:c>
      <x:c r="G346" s="11" t="n">
        <x:v>0.377</x:v>
      </x:c>
      <x:c r="H346" s="11" t="n">
        <x:v>0.2023</x:v>
      </x:c>
      <x:c r="I346" s="11" t="n">
        <x:v>0.3274</x:v>
      </x:c>
      <x:c r="J346" s="13" t="n">
        <x:f>IF(OR(G346=0,G346=1),"",(H346-I346)*100)</x:f>
        <x:v>-12.510000000000002</x:v>
      </x:c>
      <x:c r="K346" s="14" t="n">
        <x:v>2.1</x:v>
      </x:c>
      <x:c r="L346" s="15" t="n">
        <x:f>F346*G346</x:f>
        <x:v>1048.06</x:v>
      </x:c>
      <x:c r="M346" s="15" t="n">
        <x:f>F346-L346</x:f>
        <x:v>1731.94</x:v>
      </x:c>
      <x:c r="N346" s="17" t="str"/>
      <x:c r="O346" s="17" t="str">
        <x:v>https://sts2log.com/cards</x:v>
      </x:c>
      <x:c r="P346" s="17" t="str">
        <x:v>https://slaythespire2.net/ancient/pael</x:v>
      </x:c>
    </x:row>
    <x:row r="347" ht="25" customHeight="1">
      <x:c r="A347" s="2" t="str">
        <x:v>v0.107</x:v>
      </x:c>
      <x:c r="B347" s="2" t="str">
        <x:v>亡灵契约师</x:v>
      </x:c>
      <x:c r="C347" s="2" t="str">
        <x:v>佩尔</x:v>
      </x:c>
      <x:c r="D347" s="2" t="str">
        <x:v>佩尔之牙</x:v>
      </x:c>
      <x:c r="E347" s="16" t="n">
        <x:f>IF(G347=0,I347,IF(G347=1,H347,G347*H347+(1-G347)*I347))</x:f>
        <x:v>0.2773328</x:v>
      </x:c>
      <x:c r="F347" s="12" t="n">
        <x:v>2636</x:v>
      </x:c>
      <x:c r="G347" s="11" t="n">
        <x:v>0.14679999999999999</x:v>
      </x:c>
      <x:c r="H347" s="11" t="n">
        <x:v>0.1886</x:v>
      </x:c>
      <x:c r="I347" s="11" t="n">
        <x:v>0.2926</x:v>
      </x:c>
      <x:c r="J347" s="13" t="n">
        <x:f>IF(OR(G347=0,G347=1),"",(H347-I347)*100)</x:f>
        <x:v>-10.400000000000004</x:v>
      </x:c>
      <x:c r="K347" s="14" t="n">
        <x:v>0.73</x:v>
      </x:c>
      <x:c r="L347" s="15" t="n">
        <x:f>F347*G347</x:f>
        <x:v>386.96479999999997</x:v>
      </x:c>
      <x:c r="M347" s="15" t="n">
        <x:f>F347-L347</x:f>
        <x:v>2249.0352000000003</x:v>
      </x:c>
      <x:c r="N347" s="17" t="str"/>
      <x:c r="O347" s="17" t="str">
        <x:v>https://sts2log.com/cards</x:v>
      </x:c>
      <x:c r="P347" s="17" t="str">
        <x:v>https://slaythespire2.net/ancient/pael</x:v>
      </x:c>
    </x:row>
    <x:row r="348" ht="25" customHeight="1">
      <x:c r="A348" s="2" t="str">
        <x:v>v0.107</x:v>
      </x:c>
      <x:c r="B348" s="2" t="str">
        <x:v>亡灵契约师</x:v>
      </x:c>
      <x:c r="C348" s="2" t="str">
        <x:v>佩尔</x:v>
      </x:c>
      <x:c r="D348" s="2" t="str">
        <x:v>佩尔之眼</x:v>
      </x:c>
      <x:c r="E348" s="16" t="n">
        <x:f>IF(G348=0,I348,IF(G348=1,H348,G348*H348+(1-G348)*I348))</x:f>
        <x:v>0.25298000000000004</x:v>
      </x:c>
      <x:c r="F348" s="12" t="n">
        <x:v>3095</x:v>
      </x:c>
      <x:c r="G348" s="11" t="n">
        <x:v>0.2</x:v>
      </x:c>
      <x:c r="H348" s="11" t="n">
        <x:v>0.2181</x:v>
      </x:c>
      <x:c r="I348" s="11" t="n">
        <x:v>0.26170000000000004</x:v>
      </x:c>
      <x:c r="J348" s="13" t="n">
        <x:f>IF(OR(G348=0,G348=1),"",(H348-I348)*100)</x:f>
        <x:v>-4.360000000000006</x:v>
      </x:c>
      <x:c r="K348" s="14" t="n">
        <x:v>3.68</x:v>
      </x:c>
      <x:c r="L348" s="15" t="n">
        <x:f>F348*G348</x:f>
        <x:v>619</x:v>
      </x:c>
      <x:c r="M348" s="15" t="n">
        <x:f>F348-L348</x:f>
        <x:v>2476</x:v>
      </x:c>
      <x:c r="N348" s="17" t="str"/>
      <x:c r="O348" s="17" t="str">
        <x:v>https://sts2log.com/cards</x:v>
      </x:c>
      <x:c r="P348" s="17" t="str">
        <x:v>https://slaythespire2.net/ancient/pael</x:v>
      </x:c>
    </x:row>
    <x:row r="349" ht="25" customHeight="1">
      <x:c r="A349" s="2" t="str">
        <x:v>v0.107</x:v>
      </x:c>
      <x:c r="B349" s="2" t="str">
        <x:v>亡灵契约师</x:v>
      </x:c>
      <x:c r="C349" s="2" t="str">
        <x:v>特兹卡塔拉</x:v>
      </x:c>
      <x:c r="D349" s="2" t="str">
        <x:v>故事书</x:v>
      </x:c>
      <x:c r="E349" s="16" t="n">
        <x:f>IF(G349=0,I349,IF(G349=1,H349,G349*H349+(1-G349)*I349))</x:f>
        <x:v>0.31643</x:v>
      </x:c>
      <x:c r="F349" s="12" t="n">
        <x:v>3138</x:v>
      </x:c>
      <x:c r="G349" s="11" t="n">
        <x:v>0.6315999999999999</x:v>
      </x:c>
      <x:c r="H349" s="11" t="n">
        <x:v>0.3809</x:v>
      </x:c>
      <x:c r="I349" s="11" t="n">
        <x:v>0.2059</x:v>
      </x:c>
      <x:c r="J349" s="13" t="n">
        <x:f>IF(OR(G349=0,G349=1),"",(H349-I349)*100)</x:f>
        <x:v>17.5</x:v>
      </x:c>
      <x:c r="K349" s="14" t="n">
        <x:v>19.96</x:v>
      </x:c>
      <x:c r="L349" s="15" t="n">
        <x:f>F349*G349</x:f>
        <x:v>1981.9607999999998</x:v>
      </x:c>
      <x:c r="M349" s="15" t="n">
        <x:f>F349-L349</x:f>
        <x:v>1156.0392000000002</x:v>
      </x:c>
      <x:c r="N349" s="17" t="str"/>
      <x:c r="O349" s="17" t="str">
        <x:v>https://sts2log.com/cards</x:v>
      </x:c>
      <x:c r="P349" s="17" t="str">
        <x:v>https://slaythespire2.net/ancient/tezcatara</x:v>
      </x:c>
    </x:row>
    <x:row r="350" ht="25" customHeight="1">
      <x:c r="A350" s="2" t="str">
        <x:v>v0.107</x:v>
      </x:c>
      <x:c r="B350" s="2" t="str">
        <x:v>亡灵契约师</x:v>
      </x:c>
      <x:c r="C350" s="2" t="str">
        <x:v>特兹卡塔拉</x:v>
      </x:c>
      <x:c r="D350" s="2" t="str">
        <x:v>烫嘴可可</x:v>
      </x:c>
      <x:c r="E350" s="16" t="n">
        <x:f>IF(G350=0,I350,IF(G350=1,H350,G350*H350+(1-G350)*I350))</x:f>
        <x:v>0.313318</x:v>
      </x:c>
      <x:c r="F350" s="12" t="n">
        <x:v>3042</x:v>
      </x:c>
      <x:c r="G350" s="11" t="n">
        <x:v>0.522</x:v>
      </x:c>
      <x:c r="H350" s="11" t="n">
        <x:v>0.2746</x:v>
      </x:c>
      <x:c r="I350" s="11" t="n">
        <x:v>0.3556</x:v>
      </x:c>
      <x:c r="J350" s="13" t="n">
        <x:f>IF(OR(G350=0,G350=1),"",(H350-I350)*100)</x:f>
        <x:v>-8.100000000000001</x:v>
      </x:c>
      <x:c r="K350" s="14" t="n">
        <x:v>9.33</x:v>
      </x:c>
      <x:c r="L350" s="15" t="n">
        <x:f>F350*G350</x:f>
        <x:v>1587.924</x:v>
      </x:c>
      <x:c r="M350" s="15" t="n">
        <x:f>F350-L350</x:f>
        <x:v>1454.076</x:v>
      </x:c>
      <x:c r="N350" s="17" t="str"/>
      <x:c r="O350" s="17" t="str">
        <x:v>https://sts2log.com/cards</x:v>
      </x:c>
      <x:c r="P350" s="17" t="str">
        <x:v>https://slaythespire2.net/ancient/tezcatara</x:v>
      </x:c>
    </x:row>
    <x:row r="351" ht="25" customHeight="1">
      <x:c r="A351" s="2" t="str">
        <x:v>v0.107</x:v>
      </x:c>
      <x:c r="B351" s="2" t="str">
        <x:v>亡灵契约师</x:v>
      </x:c>
      <x:c r="C351" s="2" t="str">
        <x:v>特兹卡塔拉</x:v>
      </x:c>
      <x:c r="D351" s="2" t="str">
        <x:v>黄金罗盘</x:v>
      </x:c>
      <x:c r="E351" s="16" t="n">
        <x:f>IF(G351=0,I351,IF(G351=1,H351,G351*H351+(1-G351)*I351))</x:f>
        <x:v>0.30842824</x:v>
      </x:c>
      <x:c r="F351" s="12" t="n">
        <x:v>2542</x:v>
      </x:c>
      <x:c r="G351" s="11" t="n">
        <x:v>0.3257</x:v>
      </x:c>
      <x:c r="H351" s="11" t="n">
        <x:v>0.29710000000000003</x:v>
      </x:c>
      <x:c r="I351" s="11" t="n">
        <x:v>0.3139</x:v>
      </x:c>
      <x:c r="J351" s="13" t="n">
        <x:f>IF(OR(G351=0,G351=1),"",(H351-I351)*100)</x:f>
        <x:v>-1.6799999999999982</x:v>
      </x:c>
      <x:c r="K351" s="14" t="n">
        <x:v>11.58</x:v>
      </x:c>
      <x:c r="L351" s="15" t="n">
        <x:f>F351*G351</x:f>
        <x:v>827.9294</x:v>
      </x:c>
      <x:c r="M351" s="15" t="n">
        <x:f>F351-L351</x:f>
        <x:v>1714.0706</x:v>
      </x:c>
      <x:c r="N351" s="17" t="str"/>
      <x:c r="O351" s="17" t="str">
        <x:v>https://sts2log.com/cards</x:v>
      </x:c>
      <x:c r="P351" s="17" t="str">
        <x:v>https://slaythespire2.net/ancient/tezcatara</x:v>
      </x:c>
    </x:row>
    <x:row r="352" ht="25" customHeight="1">
      <x:c r="A352" s="2" t="str">
        <x:v>v0.107</x:v>
      </x:c>
      <x:c r="B352" s="2" t="str">
        <x:v>亡灵契约师</x:v>
      </x:c>
      <x:c r="C352" s="2" t="str">
        <x:v>特兹卡塔拉</x:v>
      </x:c>
      <x:c r="D352" s="2" t="str">
        <x:v>南瓜蜡烛</x:v>
      </x:c>
      <x:c r="E352" s="16" t="n">
        <x:f>IF(G352=0,I352,IF(G352=1,H352,G352*H352+(1-G352)*I352))</x:f>
        <x:v>0.2977037</x:v>
      </x:c>
      <x:c r="F352" s="12" t="n">
        <x:v>2318</x:v>
      </x:c>
      <x:c r="G352" s="11" t="n">
        <x:v>0.4042</x:v>
      </x:c>
      <x:c r="H352" s="11" t="n">
        <x:v>0.32659999999999995</x:v>
      </x:c>
      <x:c r="I352" s="11" t="n">
        <x:v>0.2781</x:v>
      </x:c>
      <x:c r="J352" s="13" t="n">
        <x:f>IF(OR(G352=0,G352=1),"",(H352-I352)*100)</x:f>
        <x:v>4.849999999999993</x:v>
      </x:c>
      <x:c r="K352" s="14" t="n">
        <x:v>14.53</x:v>
      </x:c>
      <x:c r="L352" s="15" t="n">
        <x:f>F352*G352</x:f>
        <x:v>936.9356</x:v>
      </x:c>
      <x:c r="M352" s="15" t="n">
        <x:f>F352-L352</x:f>
        <x:v>1381.0644</x:v>
      </x:c>
      <x:c r="N352" s="17" t="str"/>
      <x:c r="O352" s="17" t="str">
        <x:v>https://sts2log.com/cards</x:v>
      </x:c>
      <x:c r="P352" s="17" t="str">
        <x:v>https://slaythespire2.net/ancient/tezcatara</x:v>
      </x:c>
    </x:row>
    <x:row r="353" ht="25" customHeight="1">
      <x:c r="A353" s="2" t="str">
        <x:v>v0.107</x:v>
      </x:c>
      <x:c r="B353" s="2" t="str">
        <x:v>亡灵契约师</x:v>
      </x:c>
      <x:c r="C353" s="2" t="str">
        <x:v>特兹卡塔拉</x:v>
      </x:c>
      <x:c r="D353" s="2" t="str">
        <x:v>美味饼干</x:v>
      </x:c>
      <x:c r="E353" s="16" t="n">
        <x:f>IF(G353=0,I353,IF(G353=1,H353,G353*H353+(1-G353)*I353))</x:f>
        <x:v>0.28246346</x:v>
      </x:c>
      <x:c r="F353" s="12" t="n">
        <x:v>3378</x:v>
      </x:c>
      <x:c r="G353" s="11" t="n">
        <x:v>0.5447</x:v>
      </x:c>
      <x:c r="H353" s="11" t="n">
        <x:v>0.2332</x:v>
      </x:c>
      <x:c r="I353" s="11" t="n">
        <x:v>0.3414</x:v>
      </x:c>
      <x:c r="J353" s="13" t="n">
        <x:f>IF(OR(G353=0,G353=1),"",(H353-I353)*100)</x:f>
        <x:v>-10.819999999999999</x:v>
      </x:c>
      <x:c r="K353" s="14" t="n">
        <x:v>5.19</x:v>
      </x:c>
      <x:c r="L353" s="15" t="n">
        <x:f>F353*G353</x:f>
        <x:v>1839.9966</x:v>
      </x:c>
      <x:c r="M353" s="15" t="n">
        <x:f>F353-L353</x:f>
        <x:v>1538.0034</x:v>
      </x:c>
      <x:c r="N353" s="17" t="str"/>
      <x:c r="O353" s="17" t="str">
        <x:v>https://sts2log.com/cards</x:v>
      </x:c>
      <x:c r="P353" s="17" t="str">
        <x:v>https://slaythespire2.net/ancient/tezcatara</x:v>
      </x:c>
    </x:row>
    <x:row r="354" ht="25" customHeight="1">
      <x:c r="A354" s="2" t="str">
        <x:v>v0.107</x:v>
      </x:c>
      <x:c r="B354" s="2" t="str">
        <x:v>亡灵契约师</x:v>
      </x:c>
      <x:c r="C354" s="2" t="str">
        <x:v>特兹卡塔拉</x:v>
      </x:c>
      <x:c r="D354" s="2" t="str">
        <x:v>玩具盒</x:v>
      </x:c>
      <x:c r="E354" s="16" t="n">
        <x:f>IF(G354=0,I354,IF(G354=1,H354,G354*H354+(1-G354)*I354))</x:f>
        <x:v>0.2810451</x:v>
      </x:c>
      <x:c r="F354" s="12" t="n">
        <x:v>2409</x:v>
      </x:c>
      <x:c r="G354" s="11" t="n">
        <x:v>0.26649999999999996</x:v>
      </x:c>
      <x:c r="H354" s="11" t="n">
        <x:v>0.2586</x:v>
      </x:c>
      <x:c r="I354" s="11" t="n">
        <x:v>0.2892</x:v>
      </x:c>
      <x:c r="J354" s="13" t="n">
        <x:f>IF(OR(G354=0,G354=1),"",(H354-I354)*100)</x:f>
        <x:v>-3.0600000000000014</x:v>
      </x:c>
      <x:c r="K354" s="14" t="n">
        <x:v>7.73</x:v>
      </x:c>
      <x:c r="L354" s="15" t="n">
        <x:f>F354*G354</x:f>
        <x:v>641.9984999999999</x:v>
      </x:c>
      <x:c r="M354" s="15" t="n">
        <x:f>F354-L354</x:f>
        <x:v>1767.0015</x:v>
      </x:c>
      <x:c r="N354" s="17" t="str"/>
      <x:c r="O354" s="17" t="str">
        <x:v>https://sts2log.com/cards</x:v>
      </x:c>
      <x:c r="P354" s="17" t="str">
        <x:v>https://slaythespire2.net/ancient/tezcatara</x:v>
      </x:c>
    </x:row>
    <x:row r="355" ht="25" customHeight="1">
      <x:c r="A355" s="2" t="str">
        <x:v>v0.107</x:v>
      </x:c>
      <x:c r="B355" s="2" t="str">
        <x:v>亡灵契约师</x:v>
      </x:c>
      <x:c r="C355" s="2" t="str">
        <x:v>特兹卡塔拉</x:v>
      </x:c>
      <x:c r="D355" s="2" t="str">
        <x:v>大～抱抱</x:v>
      </x:c>
      <x:c r="E355" s="16" t="n">
        <x:f>IF(G355=0,I355,IF(G355=1,H355,G355*H355+(1-G355)*I355))</x:f>
        <x:v>0.27976437</x:v>
      </x:c>
      <x:c r="F355" s="12" t="n">
        <x:v>3392</x:v>
      </x:c>
      <x:c r="G355" s="11" t="n">
        <x:v>0.20809999999999998</x:v>
      </x:c>
      <x:c r="H355" s="11" t="n">
        <x:v>0.3017</x:v>
      </x:c>
      <x:c r="I355" s="11" t="n">
        <x:v>0.27399999999999997</x:v>
      </x:c>
      <x:c r="J355" s="13" t="n">
        <x:f>IF(OR(G355=0,G355=1),"",(H355-I355)*100)</x:f>
        <x:v>2.770000000000006</x:v>
      </x:c>
      <x:c r="K355" s="14" t="n">
        <x:v>12.04</x:v>
      </x:c>
      <x:c r="L355" s="15" t="n">
        <x:f>F355*G355</x:f>
        <x:v>705.8752</x:v>
      </x:c>
      <x:c r="M355" s="15" t="n">
        <x:f>F355-L355</x:f>
        <x:v>2686.1248</x:v>
      </x:c>
      <x:c r="N355" s="17" t="str"/>
      <x:c r="O355" s="17" t="str">
        <x:v>https://sts2log.com/cards</x:v>
      </x:c>
      <x:c r="P355" s="17" t="str">
        <x:v>https://slaythespire2.net/ancient/tezcatara</x:v>
      </x:c>
    </x:row>
    <x:row r="356" ht="25" customHeight="1">
      <x:c r="A356" s="2" t="str">
        <x:v>v0.107</x:v>
      </x:c>
      <x:c r="B356" s="2" t="str">
        <x:v>亡灵契约师</x:v>
      </x:c>
      <x:c r="C356" s="2" t="str">
        <x:v>特兹卡塔拉</x:v>
      </x:c>
      <x:c r="D356" s="2" t="str">
        <x:v>营养汤</x:v>
      </x:c>
      <x:c r="E356" s="16" t="n">
        <x:f>IF(G356=0,I356,IF(G356=1,H356,G356*H356+(1-G356)*I356))</x:f>
        <x:v>0.2779418</x:v>
      </x:c>
      <x:c r="F356" s="12" t="n">
        <x:v>3317</x:v>
      </x:c>
      <x:c r="G356" s="11" t="n">
        <x:v>0.2159</x:v>
      </x:c>
      <x:c r="H356" s="11" t="n">
        <x:v>0.2011</x:v>
      </x:c>
      <x:c r="I356" s="11" t="n">
        <x:v>0.2991</x:v>
      </x:c>
      <x:c r="J356" s="13" t="n">
        <x:f>IF(OR(G356=0,G356=1),"",(H356-I356)*100)</x:f>
        <x:v>-9.799999999999997</x:v>
      </x:c>
      <x:c r="K356" s="14" t="n">
        <x:v>1.98</x:v>
      </x:c>
      <x:c r="L356" s="15" t="n">
        <x:f>F356*G356</x:f>
        <x:v>716.1403</x:v>
      </x:c>
      <x:c r="M356" s="15" t="n">
        <x:f>F356-L356</x:f>
        <x:v>2600.8597</x:v>
      </x:c>
      <x:c r="N356" s="17" t="str"/>
      <x:c r="O356" s="17" t="str">
        <x:v>https://sts2log.com/cards</x:v>
      </x:c>
      <x:c r="P356" s="17" t="str">
        <x:v>https://slaythespire2.net/ancient/tezcatara</x:v>
      </x:c>
    </x:row>
    <x:row r="357" ht="25" customHeight="1">
      <x:c r="A357" s="2" t="str">
        <x:v>v0.107</x:v>
      </x:c>
      <x:c r="B357" s="2" t="str">
        <x:v>亡灵契约师</x:v>
      </x:c>
      <x:c r="C357" s="2" t="str">
        <x:v>特兹卡塔拉</x:v>
      </x:c>
      <x:c r="D357" s="2" t="str">
        <x:v>烘焙手套</x:v>
      </x:c>
      <x:c r="E357" s="16" t="n">
        <x:f>IF(G357=0,I357,IF(G357=1,H357,G357*H357+(1-G357)*I357))</x:f>
        <x:v>0.27727527999999996</x:v>
      </x:c>
      <x:c r="F357" s="12" t="n">
        <x:v>3202</x:v>
      </x:c>
      <x:c r="G357" s="11" t="n">
        <x:v>0.0172</x:v>
      </x:c>
      <x:c r="H357" s="11" t="n">
        <x:v>0.1273</x:v>
      </x:c>
      <x:c r="I357" s="11" t="n">
        <x:v>0.2799</x:v>
      </x:c>
      <x:c r="J357" s="13" t="n">
        <x:f>IF(OR(G357=0,G357=1),"",(H357-I357)*100)</x:f>
        <x:v>-15.259999999999998</x:v>
      </x:c>
      <x:c r="K357" s="14" t="n">
        <x:v>-5.4</x:v>
      </x:c>
      <x:c r="L357" s="15" t="n">
        <x:f>F357*G357</x:f>
        <x:v>55.0744</x:v>
      </x:c>
      <x:c r="M357" s="15" t="n">
        <x:f>F357-L357</x:f>
        <x:v>3146.9256</x:v>
      </x:c>
      <x:c r="N357" s="17" t="str"/>
      <x:c r="O357" s="17" t="str">
        <x:v>https://sts2log.com/cards</x:v>
      </x:c>
      <x:c r="P357" s="17" t="str">
        <x:v>https://slaythespire2.net/ancient/tezcatara</x:v>
      </x:c>
    </x:row>
    <x:row r="358" ht="25" customHeight="1">
      <x:c r="A358" s="2" t="str">
        <x:v>v0.107</x:v>
      </x:c>
      <x:c r="B358" s="2" t="str">
        <x:v>亡灵契约师</x:v>
      </x:c>
      <x:c r="C358" s="2" t="str">
        <x:v>特兹卡塔拉</x:v>
      </x:c>
      <x:c r="D358" s="2" t="str">
        <x:v>黄金印</x:v>
      </x:c>
      <x:c r="E358" s="16" t="n">
        <x:f>IF(G358=0,I358,IF(G358=1,H358,G358*H358+(1-G358)*I358))</x:f>
        <x:v>0.27476136</x:v>
      </x:c>
      <x:c r="F358" s="12" t="n">
        <x:v>2486</x:v>
      </x:c>
      <x:c r="G358" s="11" t="n">
        <x:v>0.17059999999999997</x:v>
      </x:c>
      <x:c r="H358" s="11" t="n">
        <x:v>0.2877</x:v>
      </x:c>
      <x:c r="I358" s="11" t="n">
        <x:v>0.2721</x:v>
      </x:c>
      <x:c r="J358" s="13" t="n">
        <x:f>IF(OR(G358=0,G358=1),"",(H358-I358)*100)</x:f>
        <x:v>1.5600000000000003</x:v>
      </x:c>
      <x:c r="K358" s="14" t="n">
        <x:v>10.64</x:v>
      </x:c>
      <x:c r="L358" s="15" t="n">
        <x:f>F358*G358</x:f>
        <x:v>424.11159999999995</x:v>
      </x:c>
      <x:c r="M358" s="15" t="n">
        <x:f>F358-L358</x:f>
        <x:v>2061.8884</x:v>
      </x:c>
      <x:c r="N358" s="17" t="str"/>
      <x:c r="O358" s="17" t="str">
        <x:v>https://sts2log.com/cards</x:v>
      </x:c>
      <x:c r="P358" s="17" t="str">
        <x:v>https://slaythespire2.net/ancient/tezcatara</x:v>
      </x:c>
    </x:row>
    <x:row r="359" ht="25" customHeight="1">
      <x:c r="A359" s="2" t="str">
        <x:v>v0.107</x:v>
      </x:c>
      <x:c r="B359" s="2" t="str">
        <x:v>亡灵契约师</x:v>
      </x:c>
      <x:c r="C359" s="2" t="str">
        <x:v>诺奴佩普</x:v>
      </x:c>
      <x:c r="D359" s="2" t="str">
        <x:v>华美手镯</x:v>
      </x:c>
      <x:c r="E359" s="16" t="n">
        <x:f>IF(G359=0,I359,IF(G359=1,H359,G359*H359+(1-G359)*I359))</x:f>
        <x:v>0.5398641</x:v>
      </x:c>
      <x:c r="F359" s="12" t="n">
        <x:v>1656</x:v>
      </x:c>
      <x:c r="G359" s="11" t="n">
        <x:v>0.35450000000000004</x:v>
      </x:c>
      <x:c r="H359" s="11" t="n">
        <x:v>0.6881999999999999</x:v>
      </x:c>
      <x:c r="I359" s="11" t="n">
        <x:v>0.45840000000000003</x:v>
      </x:c>
      <x:c r="J359" s="13" t="n">
        <x:f>IF(OR(G359=0,G359=1),"",(H359-I359)*100)</x:f>
        <x:v>22.97999999999999</x:v>
      </x:c>
      <x:c r="K359" s="14" t="n">
        <x:v>50.69</x:v>
      </x:c>
      <x:c r="L359" s="15" t="n">
        <x:f>F359*G359</x:f>
        <x:v>587.052</x:v>
      </x:c>
      <x:c r="M359" s="15" t="n">
        <x:f>F359-L359</x:f>
        <x:v>1068.9479999999999</x:v>
      </x:c>
      <x:c r="N359" s="17" t="str"/>
      <x:c r="O359" s="17" t="str">
        <x:v>https://sts2log.com/cards</x:v>
      </x:c>
      <x:c r="P359" s="17" t="str">
        <x:v>https://slaythespire2.net/ancient/nonupeipe</x:v>
      </x:c>
    </x:row>
    <x:row r="360" ht="25" customHeight="1">
      <x:c r="A360" s="2" t="str">
        <x:v>v0.107</x:v>
      </x:c>
      <x:c r="B360" s="2" t="str">
        <x:v>亡灵契约师</x:v>
      </x:c>
      <x:c r="C360" s="2" t="str">
        <x:v>诺奴佩普</x:v>
      </x:c>
      <x:c r="D360" s="2" t="str">
        <x:v>图章戒指</x:v>
      </x:c>
      <x:c r="E360" s="16" t="n">
        <x:f>IF(G360=0,I360,IF(G360=1,H360,G360*H360+(1-G360)*I360))</x:f>
        <x:v>0.51053938</x:v>
      </x:c>
      <x:c r="F360" s="12" t="n">
        <x:v>1712</x:v>
      </x:c>
      <x:c r="G360" s="11" t="n">
        <x:v>0.5239</x:v>
      </x:c>
      <x:c r="H360" s="11" t="n">
        <x:v>0.5173</x:v>
      </x:c>
      <x:c r="I360" s="11" t="n">
        <x:v>0.5031</x:v>
      </x:c>
      <x:c r="J360" s="13" t="n">
        <x:f>IF(OR(G360=0,G360=1),"",(H360-I360)*100)</x:f>
        <x:v>1.419999999999999</x:v>
      </x:c>
      <x:c r="K360" s="14" t="n">
        <x:v>33.6</x:v>
      </x:c>
      <x:c r="L360" s="15" t="n">
        <x:f>F360*G360</x:f>
        <x:v>896.9168000000001</x:v>
      </x:c>
      <x:c r="M360" s="15" t="n">
        <x:f>F360-L360</x:f>
        <x:v>815.0831999999999</x:v>
      </x:c>
      <x:c r="N360" s="17" t="str"/>
      <x:c r="O360" s="17" t="str">
        <x:v>https://sts2log.com/cards</x:v>
      </x:c>
      <x:c r="P360" s="17" t="str">
        <x:v>https://slaythespire2.net/ancient/nonupeipe</x:v>
      </x:c>
    </x:row>
    <x:row r="361" ht="25" customHeight="1">
      <x:c r="A361" s="2" t="str">
        <x:v>v0.107</x:v>
      </x:c>
      <x:c r="B361" s="2" t="str">
        <x:v>亡灵契约师</x:v>
      </x:c>
      <x:c r="C361" s="2" t="str">
        <x:v>诺奴佩普</x:v>
      </x:c>
      <x:c r="D361" s="2" t="str">
        <x:v>艳丽围巾</x:v>
      </x:c>
      <x:c r="E361" s="16" t="n">
        <x:f>IF(G361=0,I361,IF(G361=1,H361,G361*H361+(1-G361)*I361))</x:f>
        <x:v>0.5100256000000001</x:v>
      </x:c>
      <x:c r="F361" s="12" t="n">
        <x:v>1647</x:v>
      </x:c>
      <x:c r="G361" s="11" t="n">
        <x:v>0.408</x:v>
      </x:c>
      <x:c r="H361" s="11" t="n">
        <x:v>0.5134000000000001</x:v>
      </x:c>
      <x:c r="I361" s="11" t="n">
        <x:v>0.5077</x:v>
      </x:c>
      <x:c r="J361" s="13" t="n">
        <x:f>IF(OR(G361=0,G361=1),"",(H361-I361)*100)</x:f>
        <x:v>0.5700000000000038</x:v>
      </x:c>
      <x:c r="K361" s="14" t="n">
        <x:v>33.21</x:v>
      </x:c>
      <x:c r="L361" s="15" t="n">
        <x:f>F361*G361</x:f>
        <x:v>671.976</x:v>
      </x:c>
      <x:c r="M361" s="15" t="n">
        <x:f>F361-L361</x:f>
        <x:v>975.024</x:v>
      </x:c>
      <x:c r="N361" s="17" t="str"/>
      <x:c r="O361" s="17" t="str">
        <x:v>https://sts2log.com/cards</x:v>
      </x:c>
      <x:c r="P361" s="17" t="str">
        <x:v>https://slaythespire2.net/ancient/nonupeipe</x:v>
      </x:c>
    </x:row>
    <x:row r="362" ht="25" customHeight="1">
      <x:c r="A362" s="2" t="str">
        <x:v>v0.107</x:v>
      </x:c>
      <x:c r="B362" s="2" t="str">
        <x:v>亡灵契约师</x:v>
      </x:c>
      <x:c r="C362" s="2" t="str">
        <x:v>诺奴佩普</x:v>
      </x:c>
      <x:c r="D362" s="2" t="str">
        <x:v>亮片</x:v>
      </x:c>
      <x:c r="E362" s="16" t="n">
        <x:f>IF(G362=0,I362,IF(G362=1,H362,G362*H362+(1-G362)*I362))</x:f>
        <x:v>0.49912152000000004</x:v>
      </x:c>
      <x:c r="F362" s="12" t="n">
        <x:v>1691</x:v>
      </x:c>
      <x:c r="G362" s="11" t="n">
        <x:v>0.4648</x:v>
      </x:c>
      <x:c r="H362" s="11" t="n">
        <x:v>0.5178</x:v>
      </x:c>
      <x:c r="I362" s="11" t="n">
        <x:v>0.4829</x:v>
      </x:c>
      <x:c r="J362" s="13" t="n">
        <x:f>IF(OR(G362=0,G362=1),"",(H362-I362)*100)</x:f>
        <x:v>3.490000000000004</x:v>
      </x:c>
      <x:c r="K362" s="14" t="n">
        <x:v>33.65</x:v>
      </x:c>
      <x:c r="L362" s="15" t="n">
        <x:f>F362*G362</x:f>
        <x:v>785.9768</x:v>
      </x:c>
      <x:c r="M362" s="15" t="n">
        <x:f>F362-L362</x:f>
        <x:v>905.0232</x:v>
      </x:c>
      <x:c r="N362" s="17" t="str"/>
      <x:c r="O362" s="17" t="str">
        <x:v>https://sts2log.com/cards</x:v>
      </x:c>
      <x:c r="P362" s="17" t="str">
        <x:v>https://slaythespire2.net/ancient/nonupeipe</x:v>
      </x:c>
    </x:row>
    <x:row r="363" ht="25" customHeight="1">
      <x:c r="A363" s="2" t="str">
        <x:v>v0.107</x:v>
      </x:c>
      <x:c r="B363" s="2" t="str">
        <x:v>亡灵契约师</x:v>
      </x:c>
      <x:c r="C363" s="2" t="str">
        <x:v>诺奴佩普</x:v>
      </x:c>
      <x:c r="D363" s="2" t="str">
        <x:v>珠宝盒</x:v>
      </x:c>
      <x:c r="E363" s="16" t="n">
        <x:f>IF(G363=0,I363,IF(G363=1,H363,G363*H363+(1-G363)*I363))</x:f>
        <x:v>0.4941257600000001</x:v>
      </x:c>
      <x:c r="F363" s="12" t="n">
        <x:v>1793</x:v>
      </x:c>
      <x:c r="G363" s="11" t="n">
        <x:v>0.24480000000000002</x:v>
      </x:c>
      <x:c r="H363" s="11" t="n">
        <x:v>0.4214</x:v>
      </x:c>
      <x:c r="I363" s="11" t="n">
        <x:v>0.5177</x:v>
      </x:c>
      <x:c r="J363" s="13" t="n">
        <x:f>IF(OR(G363=0,G363=1),"",(H363-I363)*100)</x:f>
        <x:v>-9.630000000000006</x:v>
      </x:c>
      <x:c r="K363" s="14" t="n">
        <x:v>24.01</x:v>
      </x:c>
      <x:c r="L363" s="15" t="n">
        <x:f>F363*G363</x:f>
        <x:v>438.92640000000006</x:v>
      </x:c>
      <x:c r="M363" s="15" t="n">
        <x:f>F363-L363</x:f>
        <x:v>1354.0736</x:v>
      </x:c>
      <x:c r="N363" s="17" t="str"/>
      <x:c r="O363" s="17" t="str">
        <x:v>https://sts2log.com/cards</x:v>
      </x:c>
      <x:c r="P363" s="17" t="str">
        <x:v>https://slaythespire2.net/ancient/nonupeipe</x:v>
      </x:c>
    </x:row>
    <x:row r="364" ht="25" customHeight="1">
      <x:c r="A364" s="2" t="str">
        <x:v>v0.107</x:v>
      </x:c>
      <x:c r="B364" s="2" t="str">
        <x:v>亡灵契约师</x:v>
      </x:c>
      <x:c r="C364" s="2" t="str">
        <x:v>诺奴佩普</x:v>
      </x:c>
      <x:c r="D364" s="2" t="str">
        <x:v>娇嫩蕨草</x:v>
      </x:c>
      <x:c r="E364" s="16" t="n">
        <x:f>IF(G364=0,I364,IF(G364=1,H364,G364*H364+(1-G364)*I364))</x:f>
        <x:v>0.48780577</x:v>
      </x:c>
      <x:c r="F364" s="12" t="n">
        <x:v>1636</x:v>
      </x:c>
      <x:c r="G364" s="11" t="n">
        <x:v>0.14730000000000001</x:v>
      </x:c>
      <x:c r="H364" s="11" t="n">
        <x:v>0.5602</x:v>
      </x:c>
      <x:c r="I364" s="11" t="n">
        <x:v>0.4753</x:v>
      </x:c>
      <x:c r="J364" s="13" t="n">
        <x:f>IF(OR(G364=0,G364=1),"",(H364-I364)*100)</x:f>
        <x:v>8.490000000000004</x:v>
      </x:c>
      <x:c r="K364" s="14" t="n">
        <x:v>37.89</x:v>
      </x:c>
      <x:c r="L364" s="15" t="n">
        <x:f>F364*G364</x:f>
        <x:v>240.98280000000003</x:v>
      </x:c>
      <x:c r="M364" s="15" t="n">
        <x:f>F364-L364</x:f>
        <x:v>1395.0172</x:v>
      </x:c>
      <x:c r="N364" s="17" t="str"/>
      <x:c r="O364" s="17" t="str">
        <x:v>https://sts2log.com/cards</x:v>
      </x:c>
      <x:c r="P364" s="17" t="str">
        <x:v>https://slaythespire2.net/ancient/nonupeipe</x:v>
      </x:c>
    </x:row>
    <x:row r="365" ht="25" customHeight="1">
      <x:c r="A365" s="2" t="str">
        <x:v>v0.107</x:v>
      </x:c>
      <x:c r="B365" s="2" t="str">
        <x:v>亡灵契约师</x:v>
      </x:c>
      <x:c r="C365" s="2" t="str">
        <x:v>诺奴佩普</x:v>
      </x:c>
      <x:c r="D365" s="2" t="str">
        <x:v>赐福鹿角</x:v>
      </x:c>
      <x:c r="E365" s="16" t="n">
        <x:f>IF(G365=0,I365,IF(G365=1,H365,G365*H365+(1-G365)*I365))</x:f>
        <x:v>0.48712042</x:v>
      </x:c>
      <x:c r="F365" s="12" t="n">
        <x:v>1706</x:v>
      </x:c>
      <x:c r="G365" s="11" t="n">
        <x:v>0.2966</x:v>
      </x:c>
      <x:c r="H365" s="11" t="n">
        <x:v>0.4229</x:v>
      </x:c>
      <x:c r="I365" s="11" t="n">
        <x:v>0.5142</x:v>
      </x:c>
      <x:c r="J365" s="13" t="n">
        <x:f>IF(OR(G365=0,G365=1),"",(H365-I365)*100)</x:f>
        <x:v>-9.129999999999999</x:v>
      </x:c>
      <x:c r="K365" s="14" t="n">
        <x:v>24.16</x:v>
      </x:c>
      <x:c r="L365" s="15" t="n">
        <x:f>F365*G365</x:f>
        <x:v>505.99959999999993</x:v>
      </x:c>
      <x:c r="M365" s="15" t="n">
        <x:f>F365-L365</x:f>
        <x:v>1200.0004000000001</x:v>
      </x:c>
      <x:c r="N365" s="17" t="str"/>
      <x:c r="O365" s="17" t="str">
        <x:v>https://sts2log.com/cards</x:v>
      </x:c>
      <x:c r="P365" s="17" t="str">
        <x:v>https://slaythespire2.net/ancient/nonupeipe</x:v>
      </x:c>
    </x:row>
    <x:row r="366" ht="25" customHeight="1">
      <x:c r="A366" s="2" t="str">
        <x:v>v0.107</x:v>
      </x:c>
      <x:c r="B366" s="2" t="str">
        <x:v>亡灵契约师</x:v>
      </x:c>
      <x:c r="C366" s="2" t="str">
        <x:v>诺奴佩普</x:v>
      </x:c>
      <x:c r="D366" s="2" t="str">
        <x:v>布质果实</x:v>
      </x:c>
      <x:c r="E366" s="16" t="n">
        <x:f>IF(G366=0,I366,IF(G366=1,H366,G366*H366+(1-G366)*I366))</x:f>
        <x:v>0.48477332000000006</x:v>
      </x:c>
      <x:c r="F366" s="12" t="n">
        <x:v>1677</x:v>
      </x:c>
      <x:c r="G366" s="11" t="n">
        <x:v>0.3011</x:v>
      </x:c>
      <x:c r="H366" s="11" t="n">
        <x:v>0.42969999999999997</x:v>
      </x:c>
      <x:c r="I366" s="11" t="n">
        <x:v>0.5085000000000001</x:v>
      </x:c>
      <x:c r="J366" s="13" t="n">
        <x:f>IF(OR(G366=0,G366=1),"",(H366-I366)*100)</x:f>
        <x:v>-7.88000000000001</x:v>
      </x:c>
      <x:c r="K366" s="14" t="n">
        <x:v>24.84</x:v>
      </x:c>
      <x:c r="L366" s="15" t="n">
        <x:f>F366*G366</x:f>
        <x:v>504.94469999999995</x:v>
      </x:c>
      <x:c r="M366" s="15" t="n">
        <x:f>F366-L366</x:f>
        <x:v>1172.0553</x:v>
      </x:c>
      <x:c r="N366" s="17" t="str"/>
      <x:c r="O366" s="17" t="str">
        <x:v>https://sts2log.com/cards</x:v>
      </x:c>
      <x:c r="P366" s="17" t="str">
        <x:v>https://slaythespire2.net/ancient/nonupeipe</x:v>
      </x:c>
    </x:row>
    <x:row r="367" ht="25" customHeight="1">
      <x:c r="A367" s="2" t="str">
        <x:v>v0.107</x:v>
      </x:c>
      <x:c r="B367" s="2" t="str">
        <x:v>亡灵契约师</x:v>
      </x:c>
      <x:c r="C367" s="2" t="str">
        <x:v>诺奴佩普</x:v>
      </x:c>
      <x:c r="D367" s="2" t="str">
        <x:v>皮草大衣</x:v>
      </x:c>
      <x:c r="E367" s="16" t="n">
        <x:f>IF(G367=0,I367,IF(G367=1,H367,G367*H367+(1-G367)*I367))</x:f>
        <x:v>0.48319680000000004</x:v>
      </x:c>
      <x:c r="F367" s="12" t="n">
        <x:v>1637</x:v>
      </x:c>
      <x:c r="G367" s="11" t="n">
        <x:v>0.2792</x:v>
      </x:c>
      <x:c r="H367" s="11" t="n">
        <x:v>0.3239</x:v>
      </x:c>
      <x:c r="I367" s="11" t="n">
        <x:v>0.5449</x:v>
      </x:c>
      <x:c r="J367" s="13" t="n">
        <x:f>IF(OR(G367=0,G367=1),"",(H367-I367)*100)</x:f>
        <x:v>-22.1</x:v>
      </x:c>
      <x:c r="K367" s="14" t="n">
        <x:v>14.26</x:v>
      </x:c>
      <x:c r="L367" s="15" t="n">
        <x:f>F367*G367</x:f>
        <x:v>457.0504</x:v>
      </x:c>
      <x:c r="M367" s="15" t="n">
        <x:f>F367-L367</x:f>
        <x:v>1179.9496</x:v>
      </x:c>
      <x:c r="N367" s="17" t="str"/>
      <x:c r="O367" s="17" t="str">
        <x:v>https://sts2log.com/cards</x:v>
      </x:c>
      <x:c r="P367" s="17" t="str">
        <x:v>https://slaythespire2.net/ancient/nonupeipe</x:v>
      </x:c>
    </x:row>
    <x:row r="368" ht="25" customHeight="1">
      <x:c r="A368" s="2" t="str">
        <x:v>v0.107</x:v>
      </x:c>
      <x:c r="B368" s="2" t="str">
        <x:v>亡灵契约师</x:v>
      </x:c>
      <x:c r="C368" s="2" t="str">
        <x:v>诺奴佩普</x:v>
      </x:c>
      <x:c r="D368" s="2" t="str">
        <x:v>钻石头冠</x:v>
      </x:c>
      <x:c r="E368" s="16" t="n">
        <x:f>IF(G368=0,I368,IF(G368=1,H368,G368*H368+(1-G368)*I368))</x:f>
        <x:v>0.47544111</x:v>
      </x:c>
      <x:c r="F368" s="12" t="n">
        <x:v>1729</x:v>
      </x:c>
      <x:c r="G368" s="11" t="n">
        <x:v>0.3031</x:v>
      </x:c>
      <x:c r="H368" s="11" t="n">
        <x:v>0.5229</x:v>
      </x:c>
      <x:c r="I368" s="11" t="n">
        <x:v>0.4548</x:v>
      </x:c>
      <x:c r="J368" s="13" t="n">
        <x:f>IF(OR(G368=0,G368=1),"",(H368-I368)*100)</x:f>
        <x:v>6.810000000000005</x:v>
      </x:c>
      <x:c r="K368" s="14" t="n">
        <x:v>34.16</x:v>
      </x:c>
      <x:c r="L368" s="15" t="n">
        <x:f>F368*G368</x:f>
        <x:v>524.0599</x:v>
      </x:c>
      <x:c r="M368" s="15" t="n">
        <x:f>F368-L368</x:f>
        <x:v>1204.9401</x:v>
      </x:c>
      <x:c r="N368" s="17" t="str"/>
      <x:c r="O368" s="17" t="str">
        <x:v>https://sts2log.com/cards</x:v>
      </x:c>
      <x:c r="P368" s="17" t="str">
        <x:v>https://slaythespire2.net/ancient/nonupeipe</x:v>
      </x:c>
    </x:row>
    <x:row r="369" ht="25" customHeight="1">
      <x:c r="A369" s="2" t="str">
        <x:v>v0.107</x:v>
      </x:c>
      <x:c r="B369" s="2" t="str">
        <x:v>亡灵契约师</x:v>
      </x:c>
      <x:c r="C369" s="2" t="str">
        <x:v>坦克斯</x:v>
      </x:c>
      <x:c r="D369" s="2" t="str">
        <x:v>三刃回旋镖</x:v>
      </x:c>
      <x:c r="E369" s="16" t="n">
        <x:f>IF(G369=0,I369,IF(G369=1,H369,G369*H369+(1-G369)*I369))</x:f>
        <x:v>0.58181761</x:v>
      </x:c>
      <x:c r="F369" s="12" t="n">
        <x:v>1674</x:v>
      </x:c>
      <x:c r="G369" s="11" t="n">
        <x:v>0.5753</x:v>
      </x:c>
      <x:c r="H369" s="11" t="n">
        <x:v>0.6386</x:v>
      </x:c>
      <x:c r="I369" s="11" t="n">
        <x:v>0.5049</x:v>
      </x:c>
      <x:c r="J369" s="13" t="n">
        <x:f>IF(OR(G369=0,G369=1),"",(H369-I369)*100)</x:f>
        <x:v>13.369999999999994</x:v>
      </x:c>
      <x:c r="K369" s="14" t="n">
        <x:v>45.73</x:v>
      </x:c>
      <x:c r="L369" s="15" t="n">
        <x:f>F369*G369</x:f>
        <x:v>963.0522000000001</x:v>
      </x:c>
      <x:c r="M369" s="15" t="n">
        <x:f>F369-L369</x:f>
        <x:v>710.9477999999999</x:v>
      </x:c>
      <x:c r="N369" s="17" t="str"/>
      <x:c r="O369" s="17" t="str">
        <x:v>https://sts2log.com/cards</x:v>
      </x:c>
      <x:c r="P369" s="17" t="str">
        <x:v>https://slaythespire2.net/ancient/tanx</x:v>
      </x:c>
    </x:row>
    <x:row r="370" ht="25" customHeight="1">
      <x:c r="A370" s="2" t="str">
        <x:v>v0.107</x:v>
      </x:c>
      <x:c r="B370" s="2" t="str">
        <x:v>亡灵契约师</x:v>
      </x:c>
      <x:c r="C370" s="2" t="str">
        <x:v>坦克斯</x:v>
      </x:c>
      <x:c r="D370" s="2" t="str">
        <x:v>钗</x:v>
      </x:c>
      <x:c r="E370" s="16" t="n">
        <x:f>IF(G370=0,I370,IF(G370=1,H370,G370*H370+(1-G370)*I370))</x:f>
        <x:v>0.577492</x:v>
      </x:c>
      <x:c r="F370" s="12" t="n">
        <x:v>1704</x:v>
      </x:c>
      <x:c r="G370" s="11" t="n">
        <x:v>0.52</x:v>
      </x:c>
      <x:c r="H370" s="11" t="n">
        <x:v>0.6061</x:v>
      </x:c>
      <x:c r="I370" s="11" t="n">
        <x:v>0.5465</x:v>
      </x:c>
      <x:c r="J370" s="13" t="n">
        <x:f>IF(OR(G370=0,G370=1),"",(H370-I370)*100)</x:f>
        <x:v>5.959999999999999</x:v>
      </x:c>
      <x:c r="K370" s="14" t="n">
        <x:v>42.48</x:v>
      </x:c>
      <x:c r="L370" s="15" t="n">
        <x:f>F370*G370</x:f>
        <x:v>886.08</x:v>
      </x:c>
      <x:c r="M370" s="15" t="n">
        <x:f>F370-L370</x:f>
        <x:v>817.92</x:v>
      </x:c>
      <x:c r="N370" s="17" t="str"/>
      <x:c r="O370" s="17" t="str">
        <x:v>https://sts2log.com/cards</x:v>
      </x:c>
      <x:c r="P370" s="17" t="str">
        <x:v>https://slaythespire2.net/ancient/tanx</x:v>
      </x:c>
    </x:row>
    <x:row r="371" ht="25" customHeight="1">
      <x:c r="A371" s="2" t="str">
        <x:v>v0.107</x:v>
      </x:c>
      <x:c r="B371" s="2" t="str">
        <x:v>亡灵契约师</x:v>
      </x:c>
      <x:c r="C371" s="2" t="str">
        <x:v>坦克斯</x:v>
      </x:c>
      <x:c r="D371" s="2" t="str">
        <x:v>铁棒</x:v>
      </x:c>
      <x:c r="E371" s="16" t="n">
        <x:f>IF(G371=0,I371,IF(G371=1,H371,G371*H371+(1-G371)*I371))</x:f>
        <x:v>0.55818208</x:v>
      </x:c>
      <x:c r="F371" s="12" t="n">
        <x:v>1684</x:v>
      </x:c>
      <x:c r="G371" s="11" t="n">
        <x:v>0.4192</x:v>
      </x:c>
      <x:c r="H371" s="11" t="n">
        <x:v>0.6133</x:v>
      </x:c>
      <x:c r="I371" s="11" t="n">
        <x:v>0.5184000000000001</x:v>
      </x:c>
      <x:c r="J371" s="13" t="n">
        <x:f>IF(OR(G371=0,G371=1),"",(H371-I371)*100)</x:f>
        <x:v>9.489999999999988</x:v>
      </x:c>
      <x:c r="K371" s="14" t="n">
        <x:v>43.2</x:v>
      </x:c>
      <x:c r="L371" s="15" t="n">
        <x:f>F371*G371</x:f>
        <x:v>705.9328</x:v>
      </x:c>
      <x:c r="M371" s="15" t="n">
        <x:f>F371-L371</x:f>
        <x:v>978.0672</x:v>
      </x:c>
      <x:c r="N371" s="17" t="str"/>
      <x:c r="O371" s="17" t="str">
        <x:v>https://sts2log.com/cards</x:v>
      </x:c>
      <x:c r="P371" s="17" t="str">
        <x:v>https://slaythespire2.net/ancient/tanx</x:v>
      </x:c>
    </x:row>
    <x:row r="372" ht="25" customHeight="1">
      <x:c r="A372" s="2" t="str">
        <x:v>v0.107</x:v>
      </x:c>
      <x:c r="B372" s="2" t="str">
        <x:v>亡灵契约师</x:v>
      </x:c>
      <x:c r="C372" s="2" t="str">
        <x:v>坦克斯</x:v>
      </x:c>
      <x:c r="D372" s="2" t="str">
        <x:v>十字弓</x:v>
      </x:c>
      <x:c r="E372" s="16" t="n">
        <x:f>IF(G372=0,I372,IF(G372=1,H372,G372*H372+(1-G372)*I372))</x:f>
        <x:v>0.54891416</x:v>
      </x:c>
      <x:c r="F372" s="12" t="n">
        <x:v>1698</x:v>
      </x:c>
      <x:c r="G372" s="11" t="n">
        <x:v>0.1578</x:v>
      </x:c>
      <x:c r="H372" s="11" t="n">
        <x:v>0.5634</x:v>
      </x:c>
      <x:c r="I372" s="11" t="n">
        <x:v>0.5462</x:v>
      </x:c>
      <x:c r="J372" s="13" t="n">
        <x:f>IF(OR(G372=0,G372=1),"",(H372-I372)*100)</x:f>
        <x:v>1.7199999999999993</x:v>
      </x:c>
      <x:c r="K372" s="14" t="n">
        <x:v>38.21</x:v>
      </x:c>
      <x:c r="L372" s="15" t="n">
        <x:f>F372*G372</x:f>
        <x:v>267.9444</x:v>
      </x:c>
      <x:c r="M372" s="15" t="n">
        <x:f>F372-L372</x:f>
        <x:v>1430.0556000000001</x:v>
      </x:c>
      <x:c r="N372" s="17" t="str"/>
      <x:c r="O372" s="17" t="str">
        <x:v>https://sts2log.com/cards</x:v>
      </x:c>
      <x:c r="P372" s="17" t="str">
        <x:v>https://slaythespire2.net/ancient/tanx</x:v>
      </x:c>
    </x:row>
    <x:row r="373" ht="25" customHeight="1">
      <x:c r="A373" s="2" t="str">
        <x:v>v0.107</x:v>
      </x:c>
      <x:c r="B373" s="2" t="str">
        <x:v>亡灵契约师</x:v>
      </x:c>
      <x:c r="C373" s="2" t="str">
        <x:v>坦克斯</x:v>
      </x:c>
      <x:c r="D373" s="2" t="str">
        <x:v>利爪</x:v>
      </x:c>
      <x:c r="E373" s="16" t="n">
        <x:f>IF(G373=0,I373,IF(G373=1,H373,G373*H373+(1-G373)*I373))</x:f>
        <x:v>0.53320062</x:v>
      </x:c>
      <x:c r="F373" s="12" t="n">
        <x:v>1714</x:v>
      </x:c>
      <x:c r="G373" s="11" t="n">
        <x:v>0.0858</x:v>
      </x:c>
      <x:c r="H373" s="11" t="n">
        <x:v>0.3265</x:v>
      </x:c>
      <x:c r="I373" s="11" t="n">
        <x:v>0.5526</x:v>
      </x:c>
      <x:c r="J373" s="13" t="n">
        <x:f>IF(OR(G373=0,G373=1),"",(H373-I373)*100)</x:f>
        <x:v>-22.609999999999996</x:v>
      </x:c>
      <x:c r="K373" s="14" t="n">
        <x:v>14.52</x:v>
      </x:c>
      <x:c r="L373" s="15" t="n">
        <x:f>F373*G373</x:f>
        <x:v>147.0612</x:v>
      </x:c>
      <x:c r="M373" s="15" t="n">
        <x:f>F373-L373</x:f>
        <x:v>1566.9388</x:v>
      </x:c>
      <x:c r="N373" s="17" t="str"/>
      <x:c r="O373" s="17" t="str">
        <x:v>https://sts2log.com/cards</x:v>
      </x:c>
      <x:c r="P373" s="17" t="str">
        <x:v>https://slaythespire2.net/ancient/tanx</x:v>
      </x:c>
    </x:row>
    <x:row r="374" ht="25" customHeight="1">
      <x:c r="A374" s="2" t="str">
        <x:v>v0.107</x:v>
      </x:c>
      <x:c r="B374" s="2" t="str">
        <x:v>亡灵契约师</x:v>
      </x:c>
      <x:c r="C374" s="2" t="str">
        <x:v>坦克斯</x:v>
      </x:c>
      <x:c r="D374" s="2" t="str">
        <x:v>切肉刀</x:v>
      </x:c>
      <x:c r="E374" s="16" t="n">
        <x:f>IF(G374=0,I374,IF(G374=1,H374,G374*H374+(1-G374)*I374))</x:f>
        <x:v>0.52188864</x:v>
      </x:c>
      <x:c r="F374" s="12" t="n">
        <x:v>1713</x:v>
      </x:c>
      <x:c r="G374" s="11" t="n">
        <x:v>0.5032</x:v>
      </x:c>
      <x:c r="H374" s="11" t="n">
        <x:v>0.5046</x:v>
      </x:c>
      <x:c r="I374" s="11" t="n">
        <x:v>0.5394</x:v>
      </x:c>
      <x:c r="J374" s="13" t="n">
        <x:f>IF(OR(G374=0,G374=1),"",(H374-I374)*100)</x:f>
        <x:v>-3.479999999999994</x:v>
      </x:c>
      <x:c r="K374" s="14" t="n">
        <x:v>32.33</x:v>
      </x:c>
      <x:c r="L374" s="15" t="n">
        <x:f>F374*G374</x:f>
        <x:v>861.9816</x:v>
      </x:c>
      <x:c r="M374" s="15" t="n">
        <x:f>F374-L374</x:f>
        <x:v>851.0184</x:v>
      </x:c>
      <x:c r="N374" s="17" t="str"/>
      <x:c r="O374" s="17" t="str">
        <x:v>https://sts2log.com/cards</x:v>
      </x:c>
      <x:c r="P374" s="17" t="str">
        <x:v>https://slaythespire2.net/ancient/tanx</x:v>
      </x:c>
    </x:row>
    <x:row r="375" ht="25" customHeight="1">
      <x:c r="A375" s="2" t="str">
        <x:v>v0.107</x:v>
      </x:c>
      <x:c r="B375" s="2" t="str">
        <x:v>亡灵契约师</x:v>
      </x:c>
      <x:c r="C375" s="2" t="str">
        <x:v>坦克斯</x:v>
      </x:c>
      <x:c r="D375" s="2" t="str">
        <x:v>投斧</x:v>
      </x:c>
      <x:c r="E375" s="16" t="n">
        <x:f>IF(G375=0,I375,IF(G375=1,H375,G375*H375+(1-G375)*I375))</x:f>
        <x:v>0.51843678</x:v>
      </x:c>
      <x:c r="F375" s="12" t="n">
        <x:v>1655</x:v>
      </x:c>
      <x:c r="G375" s="11" t="n">
        <x:v>0.4326</x:v>
      </x:c>
      <x:c r="H375" s="11" t="n">
        <x:v>0.4874</x:v>
      </x:c>
      <x:c r="I375" s="11" t="n">
        <x:v>0.5421</x:v>
      </x:c>
      <x:c r="J375" s="13" t="n">
        <x:f>IF(OR(G375=0,G375=1),"",(H375-I375)*100)</x:f>
        <x:v>-5.470000000000002</x:v>
      </x:c>
      <x:c r="K375" s="14" t="n">
        <x:v>30.61</x:v>
      </x:c>
      <x:c r="L375" s="15" t="n">
        <x:f>F375*G375</x:f>
        <x:v>715.953</x:v>
      </x:c>
      <x:c r="M375" s="15" t="n">
        <x:f>F375-L375</x:f>
        <x:v>939.047</x:v>
      </x:c>
      <x:c r="N375" s="17" t="str"/>
      <x:c r="O375" s="17" t="str">
        <x:v>https://sts2log.com/cards</x:v>
      </x:c>
      <x:c r="P375" s="17" t="str">
        <x:v>https://slaythespire2.net/ancient/tanx</x:v>
      </x:c>
    </x:row>
    <x:row r="376" ht="25" customHeight="1">
      <x:c r="A376" s="2" t="str">
        <x:v>v0.107</x:v>
      </x:c>
      <x:c r="B376" s="2" t="str">
        <x:v>亡灵契约师</x:v>
      </x:c>
      <x:c r="C376" s="2" t="str">
        <x:v>坦克斯</x:v>
      </x:c>
      <x:c r="D376" s="2" t="str">
        <x:v>带刺手甲</x:v>
      </x:c>
      <x:c r="E376" s="16" t="n">
        <x:f>IF(G376=0,I376,IF(G376=1,H376,G376*H376+(1-G376)*I376))</x:f>
        <x:v>0.51698</x:v>
      </x:c>
      <x:c r="F376" s="12" t="n">
        <x:v>1681</x:v>
      </x:c>
      <x:c r="G376" s="11" t="n">
        <x:v>0.26</x:v>
      </x:c>
      <x:c r="H376" s="11" t="n">
        <x:v>0.4119</x:v>
      </x:c>
      <x:c r="I376" s="11" t="n">
        <x:v>0.5539000000000001</x:v>
      </x:c>
      <x:c r="J376" s="13" t="n">
        <x:f>IF(OR(G376=0,G376=1),"",(H376-I376)*100)</x:f>
        <x:v>-14.200000000000006</x:v>
      </x:c>
      <x:c r="K376" s="14" t="n">
        <x:v>23.06</x:v>
      </x:c>
      <x:c r="L376" s="15" t="n">
        <x:f>F376*G376</x:f>
        <x:v>437.06</x:v>
      </x:c>
      <x:c r="M376" s="15" t="n">
        <x:f>F376-L376</x:f>
        <x:v>1243.94</x:v>
      </x:c>
      <x:c r="N376" s="17" t="str"/>
      <x:c r="O376" s="17" t="str">
        <x:v>https://sts2log.com/cards</x:v>
      </x:c>
      <x:c r="P376" s="17" t="str">
        <x:v>https://slaythespire2.net/ancient/tanx</x:v>
      </x:c>
    </x:row>
    <x:row r="377" ht="25" customHeight="1">
      <x:c r="A377" s="2" t="str">
        <x:v>v0.107</x:v>
      </x:c>
      <x:c r="B377" s="2" t="str">
        <x:v>亡灵契约师</x:v>
      </x:c>
      <x:c r="C377" s="2" t="str">
        <x:v>坦克斯</x:v>
      </x:c>
      <x:c r="D377" s="2" t="str">
        <x:v>战锤</x:v>
      </x:c>
      <x:c r="E377" s="16" t="n">
        <x:f>IF(G377=0,I377,IF(G377=1,H377,G377*H377+(1-G377)*I377))</x:f>
        <x:v>0.516596</x:v>
      </x:c>
      <x:c r="F377" s="12" t="n">
        <x:v>1659</x:v>
      </x:c>
      <x:c r="G377" s="11" t="n">
        <x:v>0.17</x:v>
      </x:c>
      <x:c r="H377" s="11" t="n">
        <x:v>0.4326</x:v>
      </x:c>
      <x:c r="I377" s="11" t="n">
        <x:v>0.5338</x:v>
      </x:c>
      <x:c r="J377" s="13" t="n">
        <x:f>IF(OR(G377=0,G377=1),"",(H377-I377)*100)</x:f>
        <x:v>-10.120000000000006</x:v>
      </x:c>
      <x:c r="K377" s="14" t="n">
        <x:v>25.13</x:v>
      </x:c>
      <x:c r="L377" s="15" t="n">
        <x:f>F377*G377</x:f>
        <x:v>282.03000000000003</x:v>
      </x:c>
      <x:c r="M377" s="15" t="n">
        <x:f>F377-L377</x:f>
        <x:v>1376.97</x:v>
      </x:c>
      <x:c r="N377" s="17" t="str"/>
      <x:c r="O377" s="17" t="str">
        <x:v>https://sts2log.com/cards</x:v>
      </x:c>
      <x:c r="P377" s="17" t="str">
        <x:v>https://slaythespire2.net/ancient/tanx</x:v>
      </x:c>
    </x:row>
    <x:row r="378" ht="25" customHeight="1">
      <x:c r="A378" s="2" t="str">
        <x:v>v0.107</x:v>
      </x:c>
      <x:c r="B378" s="2" t="str">
        <x:v>亡灵契约师</x:v>
      </x:c>
      <x:c r="C378" s="2" t="str">
        <x:v>坦克斯</x:v>
      </x:c>
      <x:c r="D378" s="2" t="str">
        <x:v>坦克斯的哨子</x:v>
      </x:c>
      <x:c r="E378" s="16" t="n">
        <x:f>IF(G378=0,I378,IF(G378=1,H378,G378*H378+(1-G378)*I378))</x:f>
        <x:v>0.5161199</x:v>
      </x:c>
      <x:c r="F378" s="12" t="n">
        <x:v>1709</x:v>
      </x:c>
      <x:c r="G378" s="11" t="n">
        <x:v>0.20420000000000002</x:v>
      </x:c>
      <x:c r="H378" s="11" t="n">
        <x:v>0.44409999999999994</x:v>
      </x:c>
      <x:c r="I378" s="11" t="n">
        <x:v>0.5346</x:v>
      </x:c>
      <x:c r="J378" s="13" t="n">
        <x:f>IF(OR(G378=0,G378=1),"",(H378-I378)*100)</x:f>
        <x:v>-9.050000000000002</x:v>
      </x:c>
      <x:c r="K378" s="14" t="n">
        <x:v>26.28</x:v>
      </x:c>
      <x:c r="L378" s="15" t="n">
        <x:f>F378*G378</x:f>
        <x:v>348.97780000000006</x:v>
      </x:c>
      <x:c r="M378" s="15" t="n">
        <x:f>F378-L378</x:f>
        <x:v>1360.0221999999999</x:v>
      </x:c>
      <x:c r="N378" s="17" t="str"/>
      <x:c r="O378" s="17" t="str">
        <x:v>https://sts2log.com/cards</x:v>
      </x:c>
      <x:c r="P378" s="17" t="str">
        <x:v>https://slaythespire2.net/ancient/tanx</x:v>
      </x:c>
    </x:row>
    <x:row r="379" ht="25" customHeight="1">
      <x:c r="A379" s="2" t="str">
        <x:v>v0.107</x:v>
      </x:c>
      <x:c r="B379" s="2" t="str">
        <x:v>亡灵契约师</x:v>
      </x:c>
      <x:c r="C379" s="2" t="str">
        <x:v>瓦库</x:v>
      </x:c>
      <x:c r="D379" s="2" t="str">
        <x:v>卓越斗篷</x:v>
      </x:c>
      <x:c r="E379" s="16" t="n">
        <x:f>IF(G379=0,I379,IF(G379=1,H379,G379*H379+(1-G379)*I379))</x:f>
        <x:v>0.49804009000000005</x:v>
      </x:c>
      <x:c r="F379" s="12" t="n">
        <x:v>1777</x:v>
      </x:c>
      <x:c r="G379" s="11" t="n">
        <x:v>0.5571</x:v>
      </x:c>
      <x:c r="H379" s="11" t="n">
        <x:v>0.5414</x:v>
      </x:c>
      <x:c r="I379" s="11" t="n">
        <x:v>0.4435</x:v>
      </x:c>
      <x:c r="J379" s="13" t="n">
        <x:f>IF(OR(G379=0,G379=1),"",(H379-I379)*100)</x:f>
        <x:v>9.79</x:v>
      </x:c>
      <x:c r="K379" s="14" t="n">
        <x:v>36.01</x:v>
      </x:c>
      <x:c r="L379" s="15" t="n">
        <x:f>F379*G379</x:f>
        <x:v>989.9667000000001</x:v>
      </x:c>
      <x:c r="M379" s="15" t="n">
        <x:f>F379-L379</x:f>
        <x:v>787.0332999999999</x:v>
      </x:c>
      <x:c r="N379" s="17" t="str"/>
      <x:c r="O379" s="17" t="str">
        <x:v>https://sts2log.com/cards</x:v>
      </x:c>
      <x:c r="P379" s="17" t="str">
        <x:v>https://slaythespire2.net/ancient/vakuu</x:v>
      </x:c>
    </x:row>
    <x:row r="380" ht="25" customHeight="1">
      <x:c r="A380" s="2" t="str">
        <x:v>v0.107</x:v>
      </x:c>
      <x:c r="B380" s="2" t="str">
        <x:v>亡灵契约师</x:v>
      </x:c>
      <x:c r="C380" s="2" t="str">
        <x:v>瓦库</x:v>
      </x:c>
      <x:c r="D380" s="2" t="str">
        <x:v>音乐盒</x:v>
      </x:c>
      <x:c r="E380" s="16" t="n">
        <x:f>IF(G380=0,I380,IF(G380=1,H380,G380*H380+(1-G380)*I380))</x:f>
        <x:v>0.49674368</x:v>
      </x:c>
      <x:c r="F380" s="12" t="n">
        <x:v>1385</x:v>
      </x:c>
      <x:c r="G380" s="11" t="n">
        <x:v>0.4736</x:v>
      </x:c>
      <x:c r="H380" s="11" t="n">
        <x:v>0.5197999999999999</x:v>
      </x:c>
      <x:c r="I380" s="11" t="n">
        <x:v>0.47600000000000003</x:v>
      </x:c>
      <x:c r="J380" s="13" t="n">
        <x:f>IF(OR(G380=0,G380=1),"",(H380-I380)*100)</x:f>
        <x:v>4.379999999999989</x:v>
      </x:c>
      <x:c r="K380" s="14" t="n">
        <x:v>33.85</x:v>
      </x:c>
      <x:c r="L380" s="15" t="n">
        <x:f>F380*G380</x:f>
        <x:v>655.936</x:v>
      </x:c>
      <x:c r="M380" s="15" t="n">
        <x:f>F380-L380</x:f>
        <x:v>729.064</x:v>
      </x:c>
      <x:c r="N380" s="17" t="str"/>
      <x:c r="O380" s="17" t="str">
        <x:v>https://sts2log.com/cards</x:v>
      </x:c>
      <x:c r="P380" s="17" t="str">
        <x:v>https://slaythespire2.net/ancient/vakuu</x:v>
      </x:c>
    </x:row>
    <x:row r="381" ht="25" customHeight="1">
      <x:c r="A381" s="2" t="str">
        <x:v>v0.107</x:v>
      </x:c>
      <x:c r="B381" s="2" t="str">
        <x:v>亡灵契约师</x:v>
      </x:c>
      <x:c r="C381" s="2" t="str">
        <x:v>瓦库</x:v>
      </x:c>
      <x:c r="D381" s="2" t="str">
        <x:v>宝石面具</x:v>
      </x:c>
      <x:c r="E381" s="16" t="n">
        <x:f>IF(G381=0,I381,IF(G381=1,H381,G381*H381+(1-G381)*I381))</x:f>
        <x:v>0.48597648</x:v>
      </x:c>
      <x:c r="F381" s="12" t="n">
        <x:v>1422</x:v>
      </x:c>
      <x:c r="G381" s="11" t="n">
        <x:v>0.6709</x:v>
      </x:c>
      <x:c r="H381" s="11" t="n">
        <x:v>0.4686</x:v>
      </x:c>
      <x:c r="I381" s="11" t="n">
        <x:v>0.5214</x:v>
      </x:c>
      <x:c r="J381" s="13" t="n">
        <x:f>IF(OR(G381=0,G381=1),"",(H381-I381)*100)</x:f>
        <x:v>-5.279999999999996</x:v>
      </x:c>
      <x:c r="K381" s="14" t="n">
        <x:v>28.73</x:v>
      </x:c>
      <x:c r="L381" s="15" t="n">
        <x:f>F381*G381</x:f>
        <x:v>954.0198</x:v>
      </x:c>
      <x:c r="M381" s="15" t="n">
        <x:f>F381-L381</x:f>
        <x:v>467.98019999999997</x:v>
      </x:c>
      <x:c r="N381" s="17" t="str"/>
      <x:c r="O381" s="17" t="str">
        <x:v>https://sts2log.com/cards</x:v>
      </x:c>
      <x:c r="P381" s="17" t="str">
        <x:v>https://slaythespire2.net/ancient/vakuu</x:v>
      </x:c>
    </x:row>
    <x:row r="382" ht="25" customHeight="1">
      <x:c r="A382" s="2" t="str">
        <x:v>v0.107</x:v>
      </x:c>
      <x:c r="B382" s="2" t="str">
        <x:v>亡灵契约师</x:v>
      </x:c>
      <x:c r="C382" s="2" t="str">
        <x:v>瓦库</x:v>
      </x:c>
      <x:c r="D382" s="2" t="str">
        <x:v>小提琴</x:v>
      </x:c>
      <x:c r="E382" s="16" t="n">
        <x:f>IF(G382=0,I382,IF(G382=1,H382,G382*H382+(1-G382)*I382))</x:f>
        <x:v>0.47722216</x:v>
      </x:c>
      <x:c r="F382" s="12" t="n">
        <x:v>1867</x:v>
      </x:c>
      <x:c r="G382" s="11" t="n">
        <x:v>0.1564</x:v>
      </x:c>
      <x:c r="H382" s="11" t="n">
        <x:v>0.637</x:v>
      </x:c>
      <x:c r="I382" s="11" t="n">
        <x:v>0.4476</x:v>
      </x:c>
      <x:c r="J382" s="13" t="n">
        <x:f>IF(OR(G382=0,G382=1),"",(H382-I382)*100)</x:f>
        <x:v>18.94</x:v>
      </x:c>
      <x:c r="K382" s="14" t="n">
        <x:v>45.57</x:v>
      </x:c>
      <x:c r="L382" s="15" t="n">
        <x:f>F382*G382</x:f>
        <x:v>291.9988</x:v>
      </x:c>
      <x:c r="M382" s="15" t="n">
        <x:f>F382-L382</x:f>
        <x:v>1575.0012</x:v>
      </x:c>
      <x:c r="N382" s="17" t="str"/>
      <x:c r="O382" s="17" t="str">
        <x:v>https://sts2log.com/cards</x:v>
      </x:c>
      <x:c r="P382" s="17" t="str">
        <x:v>https://slaythespire2.net/ancient/vakuu</x:v>
      </x:c>
    </x:row>
    <x:row r="383" ht="25" customHeight="1">
      <x:c r="A383" s="2" t="str">
        <x:v>v0.107</x:v>
      </x:c>
      <x:c r="B383" s="2" t="str">
        <x:v>亡灵契约师</x:v>
      </x:c>
      <x:c r="C383" s="2" t="str">
        <x:v>瓦库</x:v>
      </x:c>
      <x:c r="D383" s="2" t="str">
        <x:v>低语耳环</x:v>
      </x:c>
      <x:c r="E383" s="16" t="n">
        <x:f>IF(G383=0,I383,IF(G383=1,H383,G383*H383+(1-G383)*I383))</x:f>
        <x:v>0.472678</x:v>
      </x:c>
      <x:c r="F383" s="12" t="n">
        <x:v>1758</x:v>
      </x:c>
      <x:c r="G383" s="11" t="n">
        <x:v>0.1229</x:v>
      </x:c>
      <x:c r="H383" s="11" t="n">
        <x:v>0.3148</x:v>
      </x:c>
      <x:c r="I383" s="11" t="n">
        <x:v>0.49479999999999996</x:v>
      </x:c>
      <x:c r="J383" s="13" t="n">
        <x:f>IF(OR(G383=0,G383=1),"",(H383-I383)*100)</x:f>
        <x:v>-17.999999999999993</x:v>
      </x:c>
      <x:c r="K383" s="14" t="n">
        <x:v>13.35</x:v>
      </x:c>
      <x:c r="L383" s="15" t="n">
        <x:f>F383*G383</x:f>
        <x:v>216.0582</x:v>
      </x:c>
      <x:c r="M383" s="15" t="n">
        <x:f>F383-L383</x:f>
        <x:v>1541.9418</x:v>
      </x:c>
      <x:c r="N383" s="17" t="str"/>
      <x:c r="O383" s="17" t="str">
        <x:v>https://sts2log.com/cards</x:v>
      </x:c>
      <x:c r="P383" s="17" t="str">
        <x:v>https://slaythespire2.net/ancient/vakuu</x:v>
      </x:c>
    </x:row>
    <x:row r="384" ht="25" customHeight="1">
      <x:c r="A384" s="2" t="str">
        <x:v>v0.107</x:v>
      </x:c>
      <x:c r="B384" s="2" t="str">
        <x:v>亡灵契约师</x:v>
      </x:c>
      <x:c r="C384" s="2" t="str">
        <x:v>瓦库</x:v>
      </x:c>
      <x:c r="D384" s="2" t="str">
        <x:v>血染玫瑰</x:v>
      </x:c>
      <x:c r="E384" s="16" t="n">
        <x:f>IF(G384=0,I384,IF(G384=1,H384,G384*H384+(1-G384)*I384))</x:f>
        <x:v>0.46233175</x:v>
      </x:c>
      <x:c r="F384" s="12" t="n">
        <x:v>1897</x:v>
      </x:c>
      <x:c r="G384" s="11" t="n">
        <x:v>0.2225</x:v>
      </x:c>
      <x:c r="H384" s="11" t="n">
        <x:v>0.3957</x:v>
      </x:c>
      <x:c r="I384" s="11" t="n">
        <x:v>0.4814</x:v>
      </x:c>
      <x:c r="J384" s="13" t="n">
        <x:f>IF(OR(G384=0,G384=1),"",(H384-I384)*100)</x:f>
        <x:v>-8.57</x:v>
      </x:c>
      <x:c r="K384" s="14" t="n">
        <x:v>21.44</x:v>
      </x:c>
      <x:c r="L384" s="15" t="n">
        <x:f>F384*G384</x:f>
        <x:v>422.0825</x:v>
      </x:c>
      <x:c r="M384" s="15" t="n">
        <x:f>F384-L384</x:f>
        <x:v>1474.9175</x:v>
      </x:c>
      <x:c r="N384" s="17" t="str"/>
      <x:c r="O384" s="17" t="str">
        <x:v>https://sts2log.com/cards</x:v>
      </x:c>
      <x:c r="P384" s="17" t="str">
        <x:v>https://slaythespire2.net/ancient/vakuu</x:v>
      </x:c>
    </x:row>
    <x:row r="385" ht="25" customHeight="1">
      <x:c r="A385" s="2" t="str">
        <x:v>v0.107</x:v>
      </x:c>
      <x:c r="B385" s="2" t="str">
        <x:v>亡灵契约师</x:v>
      </x:c>
      <x:c r="C385" s="2" t="str">
        <x:v>瓦库</x:v>
      </x:c>
      <x:c r="D385" s="2" t="str">
        <x:v>腌制活雾</x:v>
      </x:c>
      <x:c r="E385" s="16" t="n">
        <x:f>IF(G385=0,I385,IF(G385=1,H385,G385*H385+(1-G385)*I385))</x:f>
        <x:v>0.46175644</x:v>
      </x:c>
      <x:c r="F385" s="12" t="n">
        <x:v>1908</x:v>
      </x:c>
      <x:c r="G385" s="11" t="n">
        <x:v>0.46490000000000004</x:v>
      </x:c>
      <x:c r="H385" s="11" t="n">
        <x:v>0.4487</x:v>
      </x:c>
      <x:c r="I385" s="11" t="n">
        <x:v>0.4731</x:v>
      </x:c>
      <x:c r="J385" s="13" t="n">
        <x:f>IF(OR(G385=0,G385=1),"",(H385-I385)*100)</x:f>
        <x:v>-2.440000000000003</x:v>
      </x:c>
      <x:c r="K385" s="14" t="n">
        <x:v>26.74</x:v>
      </x:c>
      <x:c r="L385" s="15" t="n">
        <x:f>F385*G385</x:f>
        <x:v>887.0292000000001</x:v>
      </x:c>
      <x:c r="M385" s="15" t="n">
        <x:f>F385-L385</x:f>
        <x:v>1020.9707999999999</x:v>
      </x:c>
      <x:c r="N385" s="17" t="str"/>
      <x:c r="O385" s="17" t="str">
        <x:v>https://sts2log.com/cards</x:v>
      </x:c>
      <x:c r="P385" s="17" t="str">
        <x:v>https://slaythespire2.net/ancient/vakuu</x:v>
      </x:c>
    </x:row>
    <x:row r="386" ht="25" customHeight="1">
      <x:c r="A386" s="2" t="str">
        <x:v>v0.107</x:v>
      </x:c>
      <x:c r="B386" s="2" t="str">
        <x:v>亡灵契约师</x:v>
      </x:c>
      <x:c r="C386" s="2" t="str">
        <x:v>瓦库</x:v>
      </x:c>
      <x:c r="D386" s="2" t="str">
        <x:v>原初之爪</x:v>
      </x:c>
      <x:c r="E386" s="16" t="n">
        <x:f>IF(G386=0,I386,IF(G386=1,H386,G386*H386+(1-G386)*I386))</x:f>
        <x:v>0.45285071</x:v>
      </x:c>
      <x:c r="F386" s="12" t="n">
        <x:v>1835</x:v>
      </x:c>
      <x:c r="G386" s="11" t="n">
        <x:v>0.16570000000000001</x:v>
      </x:c>
      <x:c r="H386" s="11" t="n">
        <x:v>0.3947</x:v>
      </x:c>
      <x:c r="I386" s="11" t="n">
        <x:v>0.4644</x:v>
      </x:c>
      <x:c r="J386" s="13" t="n">
        <x:f>IF(OR(G386=0,G386=1),"",(H386-I386)*100)</x:f>
        <x:v>-6.969999999999999</x:v>
      </x:c>
      <x:c r="K386" s="14" t="n">
        <x:v>21.34</x:v>
      </x:c>
      <x:c r="L386" s="15" t="n">
        <x:f>F386*G386</x:f>
        <x:v>304.0595</x:v>
      </x:c>
      <x:c r="M386" s="15" t="n">
        <x:f>F386-L386</x:f>
        <x:v>1530.9405</x:v>
      </x:c>
      <x:c r="N386" s="17" t="str"/>
      <x:c r="O386" s="17" t="str">
        <x:v>https://sts2log.com/cards</x:v>
      </x:c>
      <x:c r="P386" s="17" t="str">
        <x:v>https://slaythespire2.net/ancient/vakuu</x:v>
      </x:c>
    </x:row>
    <x:row r="387" ht="25" customHeight="1">
      <x:c r="A387" s="2" t="str">
        <x:v>v0.107</x:v>
      </x:c>
      <x:c r="B387" s="2" t="str">
        <x:v>亡灵契约师</x:v>
      </x:c>
      <x:c r="C387" s="2" t="str">
        <x:v>瓦库</x:v>
      </x:c>
      <x:c r="D387" s="2" t="str">
        <x:v>选择悖论</x:v>
      </x:c>
      <x:c r="E387" s="16" t="n">
        <x:f>IF(G387=0,I387,IF(G387=1,H387,G387*H387+(1-G387)*I387))</x:f>
        <x:v>0.45276604</x:v>
      </x:c>
      <x:c r="F387" s="12" t="n">
        <x:v>1409</x:v>
      </x:c>
      <x:c r="G387" s="11" t="n">
        <x:v>0.42229999999999995</x:v>
      </x:c>
      <x:c r="H387" s="11" t="n">
        <x:v>0.41509999999999997</x:v>
      </x:c>
      <x:c r="I387" s="11" t="n">
        <x:v>0.4803</x:v>
      </x:c>
      <x:c r="J387" s="13" t="n">
        <x:f>IF(OR(G387=0,G387=1),"",(H387-I387)*100)</x:f>
        <x:v>-6.520000000000003</x:v>
      </x:c>
      <x:c r="K387" s="14" t="n">
        <x:v>23.38</x:v>
      </x:c>
      <x:c r="L387" s="15" t="n">
        <x:f>F387*G387</x:f>
        <x:v>595.0206999999999</x:v>
      </x:c>
      <x:c r="M387" s="15" t="n">
        <x:f>F387-L387</x:f>
        <x:v>813.9793000000001</x:v>
      </x:c>
      <x:c r="N387" s="17" t="str"/>
      <x:c r="O387" s="17" t="str">
        <x:v>https://sts2log.com/cards</x:v>
      </x:c>
      <x:c r="P387" s="17" t="str">
        <x:v>https://slaythespire2.net/ancient/vakuu</x:v>
      </x:c>
    </x:row>
    <x:row r="388" ht="25" customHeight="1">
      <x:c r="A388" s="2" t="str">
        <x:v>v0.107</x:v>
      </x:c>
      <x:c r="B388" s="2" t="str">
        <x:v>亡灵契约师</x:v>
      </x:c>
      <x:c r="C388" s="2" t="str">
        <x:v>瓦库</x:v>
      </x:c>
      <x:c r="D388" s="2" t="str">
        <x:v>领主阳伞</x:v>
      </x:c>
      <x:c r="E388" s="16" t="n">
        <x:f>IF(G388=0,I388,IF(G388=1,H388,G388*H388+(1-G388)*I388))</x:f>
        <x:v>0.44765601</x:v>
      </x:c>
      <x:c r="F388" s="12" t="n">
        <x:v>1318</x:v>
      </x:c>
      <x:c r="G388" s="11" t="n">
        <x:v>0.1457</x:v>
      </x:c>
      <x:c r="H388" s="11" t="n">
        <x:v>0.3958</x:v>
      </x:c>
      <x:c r="I388" s="11" t="n">
        <x:v>0.45649999999999996</x:v>
      </x:c>
      <x:c r="J388" s="13" t="n">
        <x:f>IF(OR(G388=0,G388=1),"",(H388-I388)*100)</x:f>
        <x:v>-6.069999999999998</x:v>
      </x:c>
      <x:c r="K388" s="14" t="n">
        <x:v>21.45</x:v>
      </x:c>
      <x:c r="L388" s="15" t="n">
        <x:f>F388*G388</x:f>
        <x:v>192.0326</x:v>
      </x:c>
      <x:c r="M388" s="15" t="n">
        <x:f>F388-L388</x:f>
        <x:v>1125.9674</x:v>
      </x:c>
      <x:c r="N388" s="17" t="str"/>
      <x:c r="O388" s="17" t="str">
        <x:v>https://sts2log.com/cards</x:v>
      </x:c>
      <x:c r="P388" s="17" t="str">
        <x:v>https://slaythespire2.net/ancient/vakuu</x:v>
      </x:c>
    </x:row>
    <x:row r="389" ht="42" customHeight="1">
      <x:c r="A389" s="2" t="str">
        <x:v>v0.107</x:v>
      </x:c>
      <x:c r="B389" s="2" t="str">
        <x:v>亡灵契约师</x:v>
      </x:c>
      <x:c r="C389" s="2" t="str">
        <x:v>达弗</x:v>
      </x:c>
      <x:c r="D389" s="2" t="str">
        <x:v>贤者之石</x:v>
      </x:c>
      <x:c r="E389" s="16" t="n">
        <x:f>IF(G389=0,I389,IF(G389=1,H389,G389*H389+(1-G389)*I389))</x:f>
        <x:v>0.47894862000000005</x:v>
      </x:c>
      <x:c r="F389" s="12" t="n">
        <x:v>190</x:v>
      </x:c>
      <x:c r="G389" s="11" t="n">
        <x:v>0.2842</x:v>
      </x:c>
      <x:c r="H389" s="11" t="n">
        <x:v>0.537</x:v>
      </x:c>
      <x:c r="I389" s="11" t="n">
        <x:v>0.4559</x:v>
      </x:c>
      <x:c r="J389" s="13" t="n">
        <x:f>IF(OR(G389=0,G389=1),"",(H389-I389)*100)</x:f>
        <x:v>8.110000000000001</x:v>
      </x:c>
      <x:c r="K389" s="14" t="n">
        <x:v>35.57</x:v>
      </x:c>
      <x:c r="L389" s="15" t="n">
        <x:f>F389*G389</x:f>
        <x:v>53.998000000000005</x:v>
      </x:c>
      <x:c r="M389" s="15" t="n">
        <x:f>F389-L389</x:f>
        <x:v>136.002</x:v>
      </x:c>
      <x:c r="N389" s="17" t="str">
        <x:v>不同幕混合，勿直接解释为纯强度</x:v>
      </x:c>
      <x:c r="O389" s="17" t="str">
        <x:v>https://sts2log.com/cards</x:v>
      </x:c>
      <x:c r="P389" s="17" t="str">
        <x:v>https://op.gg/zh-cn/slay-the-spire2/events/Darv</x:v>
      </x:c>
    </x:row>
    <x:row r="390" ht="42" customHeight="1">
      <x:c r="A390" s="2" t="str">
        <x:v>v0.107</x:v>
      </x:c>
      <x:c r="B390" s="2" t="str">
        <x:v>亡灵契约师</x:v>
      </x:c>
      <x:c r="C390" s="2" t="str">
        <x:v>达弗</x:v>
      </x:c>
      <x:c r="D390" s="2" t="str">
        <x:v>天鹅绒颈圈</x:v>
      </x:c>
      <x:c r="E390" s="16" t="n">
        <x:f>IF(G390=0,I390,IF(G390=1,H390,G390*H390+(1-G390)*I390))</x:f>
        <x:v>0.44150022000000005</x:v>
      </x:c>
      <x:c r="F390" s="12" t="n">
        <x:v>188</x:v>
      </x:c>
      <x:c r="G390" s="11" t="n">
        <x:v>0.0691</x:v>
      </x:c>
      <x:c r="H390" s="11" t="n">
        <x:v>0.5385</x:v>
      </x:c>
      <x:c r="I390" s="11" t="n">
        <x:v>0.4343</x:v>
      </x:c>
      <x:c r="J390" s="13" t="n">
        <x:f>IF(OR(G390=0,G390=1),"",(H390-I390)*100)</x:f>
        <x:v>10.419999999999996</x:v>
      </x:c>
      <x:c r="K390" s="14" t="n">
        <x:v>35.72</x:v>
      </x:c>
      <x:c r="L390" s="15" t="n">
        <x:f>F390*G390</x:f>
        <x:v>12.990799999999998</x:v>
      </x:c>
      <x:c r="M390" s="15" t="n">
        <x:f>F390-L390</x:f>
        <x:v>175.0092</x:v>
      </x:c>
      <x:c r="N390" s="17" t="str">
        <x:v>不同幕混合，勿直接解释为纯强度</x:v>
      </x:c>
      <x:c r="O390" s="17" t="str">
        <x:v>https://sts2log.com/cards</x:v>
      </x:c>
      <x:c r="P390" s="17" t="str">
        <x:v>https://op.gg/zh-cn/slay-the-spire2/events/Darv</x:v>
      </x:c>
    </x:row>
    <x:row r="391" ht="42" customHeight="1">
      <x:c r="A391" s="2" t="str">
        <x:v>v0.107</x:v>
      </x:c>
      <x:c r="B391" s="2" t="str">
        <x:v>亡灵契约师</x:v>
      </x:c>
      <x:c r="C391" s="2" t="str">
        <x:v>达弗</x:v>
      </x:c>
      <x:c r="D391" s="2" t="str">
        <x:v>异蛇之眼</x:v>
      </x:c>
      <x:c r="E391" s="16" t="n">
        <x:f>IF(G391=0,I391,IF(G391=1,H391,G391*H391+(1-G391)*I391))</x:f>
        <x:v>0.36236698</x:v>
      </x:c>
      <x:c r="F391" s="12" t="n">
        <x:v>1664</x:v>
      </x:c>
      <x:c r="G391" s="11" t="n">
        <x:v>0.0499</x:v>
      </x:c>
      <x:c r="H391" s="11" t="n">
        <x:v>0.7711</x:v>
      </x:c>
      <x:c r="I391" s="11" t="n">
        <x:v>0.34090000000000004</x:v>
      </x:c>
      <x:c r="J391" s="13" t="n">
        <x:f>IF(OR(G391=0,G391=1),"",(H391-I391)*100)</x:f>
        <x:v>43.019999999999996</x:v>
      </x:c>
      <x:c r="K391" s="14" t="n">
        <x:v>58.98</x:v>
      </x:c>
      <x:c r="L391" s="15" t="n">
        <x:f>F391*G391</x:f>
        <x:v>83.0336</x:v>
      </x:c>
      <x:c r="M391" s="15" t="n">
        <x:f>F391-L391</x:f>
        <x:v>1580.9664</x:v>
      </x:c>
      <x:c r="N391" s="17" t="str">
        <x:v>不同幕混合，勿直接解释为纯强度</x:v>
      </x:c>
      <x:c r="O391" s="17" t="str">
        <x:v>https://sts2log.com/cards</x:v>
      </x:c>
      <x:c r="P391" s="17" t="str">
        <x:v>https://slaythespire2.net/ancient/darv</x:v>
      </x:c>
    </x:row>
    <x:row r="392" ht="42" customHeight="1">
      <x:c r="A392" s="2" t="str">
        <x:v>v0.107</x:v>
      </x:c>
      <x:c r="B392" s="2" t="str">
        <x:v>亡灵契约师</x:v>
      </x:c>
      <x:c r="C392" s="2" t="str">
        <x:v>达弗</x:v>
      </x:c>
      <x:c r="D392" s="2" t="str">
        <x:v>潘多拉魔盒</x:v>
      </x:c>
      <x:c r="E392" s="16" t="n">
        <x:f>IF(G392=0,I392,IF(G392=1,H392,G392*H392+(1-G392)*I392))</x:f>
        <x:v>0.36224369</x:v>
      </x:c>
      <x:c r="F392" s="12" t="n">
        <x:v>1623</x:v>
      </x:c>
      <x:c r="G392" s="11" t="n">
        <x:v>0.3931</x:v>
      </x:c>
      <x:c r="H392" s="11" t="n">
        <x:v>0.3197</x:v>
      </x:c>
      <x:c r="I392" s="11" t="n">
        <x:v>0.3898</x:v>
      </x:c>
      <x:c r="J392" s="13" t="n">
        <x:f>IF(OR(G392=0,G392=1),"",(H392-I392)*100)</x:f>
        <x:v>-7.01</x:v>
      </x:c>
      <x:c r="K392" s="14" t="n">
        <x:v>13.84</x:v>
      </x:c>
      <x:c r="L392" s="15" t="n">
        <x:f>F392*G392</x:f>
        <x:v>638.0013</x:v>
      </x:c>
      <x:c r="M392" s="15" t="n">
        <x:f>F392-L392</x:f>
        <x:v>984.9987</x:v>
      </x:c>
      <x:c r="N392" s="17" t="str">
        <x:v>不同幕混合，勿直接解释为纯强度</x:v>
      </x:c>
      <x:c r="O392" s="17" t="str">
        <x:v>https://sts2log.com/cards</x:v>
      </x:c>
      <x:c r="P392" s="17" t="str">
        <x:v>https://slaythespire2.net/ancient/darv</x:v>
      </x:c>
    </x:row>
    <x:row r="393" ht="42" customHeight="1">
      <x:c r="A393" s="2" t="str">
        <x:v>v0.107</x:v>
      </x:c>
      <x:c r="B393" s="2" t="str">
        <x:v>亡灵契约师</x:v>
      </x:c>
      <x:c r="C393" s="2" t="str">
        <x:v>达弗</x:v>
      </x:c>
      <x:c r="D393" s="2" t="str">
        <x:v>尘封魔典</x:v>
      </x:c>
      <x:c r="E393" s="16" t="n">
        <x:f>IF(G393=0,I393,IF(G393=1,H393,G393*H393+(1-G393)*I393))</x:f>
        <x:v>0.35490700000000003</x:v>
      </x:c>
      <x:c r="F393" s="12" t="n">
        <x:v>2685</x:v>
      </x:c>
      <x:c r="G393" s="11" t="n">
        <x:v>0.657</x:v>
      </x:c>
      <x:c r="H393" s="11" t="n">
        <x:v>0.3724</x:v>
      </x:c>
      <x:c r="I393" s="11" t="n">
        <x:v>0.3214</x:v>
      </x:c>
      <x:c r="J393" s="13" t="n">
        <x:f>IF(OR(G393=0,G393=1),"",(H393-I393)*100)</x:f>
        <x:v>5.099999999999999</x:v>
      </x:c>
      <x:c r="K393" s="14" t="n">
        <x:v>19.11</x:v>
      </x:c>
      <x:c r="L393" s="15" t="n">
        <x:f>F393*G393</x:f>
        <x:v>1764.045</x:v>
      </x:c>
      <x:c r="M393" s="15" t="n">
        <x:f>F393-L393</x:f>
        <x:v>920.9549999999999</x:v>
      </x:c>
      <x:c r="N393" s="17" t="str">
        <x:v>不同幕混合，勿直接解释为纯强度</x:v>
      </x:c>
      <x:c r="O393" s="17" t="str">
        <x:v>https://sts2log.com/cards</x:v>
      </x:c>
      <x:c r="P393" s="17" t="str">
        <x:v>https://slaythespire2.net/ancient/darv</x:v>
      </x:c>
    </x:row>
    <x:row r="394" ht="42" customHeight="1">
      <x:c r="A394" s="2" t="str">
        <x:v>v0.107</x:v>
      </x:c>
      <x:c r="B394" s="2" t="str">
        <x:v>亡灵契约师</x:v>
      </x:c>
      <x:c r="C394" s="2" t="str">
        <x:v>达弗</x:v>
      </x:c>
      <x:c r="D394" s="2" t="str">
        <x:v>星盘</x:v>
      </x:c>
      <x:c r="E394" s="16" t="n">
        <x:f>IF(G394=0,I394,IF(G394=1,H394,G394*H394+(1-G394)*I394))</x:f>
        <x:v>0.34942735999999996</x:v>
      </x:c>
      <x:c r="F394" s="12" t="n">
        <x:v>1694</x:v>
      </x:c>
      <x:c r="G394" s="11" t="n">
        <x:v>0.5266</x:v>
      </x:c>
      <x:c r="H394" s="11" t="n">
        <x:v>0.3161</x:v>
      </x:c>
      <x:c r="I394" s="11" t="n">
        <x:v>0.3865</x:v>
      </x:c>
      <x:c r="J394" s="13" t="n">
        <x:f>IF(OR(G394=0,G394=1),"",(H394-I394)*100)</x:f>
        <x:v>-7.040000000000002</x:v>
      </x:c>
      <x:c r="K394" s="14" t="n">
        <x:v>13.48</x:v>
      </x:c>
      <x:c r="L394" s="15" t="n">
        <x:f>F394*G394</x:f>
        <x:v>892.0604</x:v>
      </x:c>
      <x:c r="M394" s="15" t="n">
        <x:f>F394-L394</x:f>
        <x:v>801.9396</x:v>
      </x:c>
      <x:c r="N394" s="17" t="str">
        <x:v>不同幕混合，勿直接解释为纯强度</x:v>
      </x:c>
      <x:c r="O394" s="17" t="str">
        <x:v>https://sts2log.com/cards</x:v>
      </x:c>
      <x:c r="P394" s="17" t="str">
        <x:v>https://slaythespire2.net/ancient/darv</x:v>
      </x:c>
    </x:row>
    <x:row r="395" ht="42" customHeight="1">
      <x:c r="A395" s="2" t="str">
        <x:v>v0.107</x:v>
      </x:c>
      <x:c r="B395" s="2" t="str">
        <x:v>亡灵契约师</x:v>
      </x:c>
      <x:c r="C395" s="2" t="str">
        <x:v>达弗</x:v>
      </x:c>
      <x:c r="D395" s="2" t="str">
        <x:v>召唤铃铛</x:v>
      </x:c>
      <x:c r="E395" s="16" t="n">
        <x:f>IF(G395=0,I395,IF(G395=1,H395,G395*H395+(1-G395)*I395))</x:f>
        <x:v>0.33555376000000003</x:v>
      </x:c>
      <x:c r="F395" s="12" t="n">
        <x:v>1666</x:v>
      </x:c>
      <x:c r="G395" s="11" t="n">
        <x:v>0.22870000000000001</x:v>
      </x:c>
      <x:c r="H395" s="11" t="n">
        <x:v>0.24670000000000003</x:v>
      </x:c>
      <x:c r="I395" s="11" t="n">
        <x:v>0.3619</x:v>
      </x:c>
      <x:c r="J395" s="13" t="n">
        <x:f>IF(OR(G395=0,G395=1),"",(H395-I395)*100)</x:f>
        <x:v>-11.519999999999996</x:v>
      </x:c>
      <x:c r="K395" s="14" t="n">
        <x:v>6.54</x:v>
      </x:c>
      <x:c r="L395" s="15" t="n">
        <x:f>F395*G395</x:f>
        <x:v>381.0142</x:v>
      </x:c>
      <x:c r="M395" s="15" t="n">
        <x:f>F395-L395</x:f>
        <x:v>1284.9858</x:v>
      </x:c>
      <x:c r="N395" s="17" t="str">
        <x:v>不同幕混合，勿直接解释为纯强度</x:v>
      </x:c>
      <x:c r="O395" s="17" t="str">
        <x:v>https://sts2log.com/cards</x:v>
      </x:c>
      <x:c r="P395" s="17" t="str">
        <x:v>https://slaythespire2.net/ancient/darv</x:v>
      </x:c>
    </x:row>
    <x:row r="396" ht="42" customHeight="1">
      <x:c r="A396" s="2" t="str">
        <x:v>v0.107</x:v>
      </x:c>
      <x:c r="B396" s="2" t="str">
        <x:v>亡灵契约师</x:v>
      </x:c>
      <x:c r="C396" s="2" t="str">
        <x:v>达弗</x:v>
      </x:c>
      <x:c r="D396" s="2" t="str">
        <x:v>符文金字塔</x:v>
      </x:c>
      <x:c r="E396" s="16" t="n">
        <x:f>IF(G396=0,I396,IF(G396=1,H396,G396*H396+(1-G396)*I396))</x:f>
        <x:v>0.33538920000000005</x:v>
      </x:c>
      <x:c r="F396" s="12" t="n">
        <x:v>1616</x:v>
      </x:c>
      <x:c r="G396" s="11" t="n">
        <x:v>0.36200000000000004</x:v>
      </x:c>
      <x:c r="H396" s="11" t="n">
        <x:v>0.40340000000000004</x:v>
      </x:c>
      <x:c r="I396" s="11" t="n">
        <x:v>0.2968</x:v>
      </x:c>
      <x:c r="J396" s="13" t="n">
        <x:f>IF(OR(G396=0,G396=1),"",(H396-I396)*100)</x:f>
        <x:v>10.660000000000004</x:v>
      </x:c>
      <x:c r="K396" s="14" t="n">
        <x:v>22.21</x:v>
      </x:c>
      <x:c r="L396" s="15" t="n">
        <x:f>F396*G396</x:f>
        <x:v>584.9920000000001</x:v>
      </x:c>
      <x:c r="M396" s="15" t="n">
        <x:f>F396-L396</x:f>
        <x:v>1031.0079999999998</x:v>
      </x:c>
      <x:c r="N396" s="17" t="str">
        <x:v>不同幕混合，勿直接解释为纯强度</x:v>
      </x:c>
      <x:c r="O396" s="17" t="str">
        <x:v>https://sts2log.com/cards</x:v>
      </x:c>
      <x:c r="P396" s="17" t="str">
        <x:v>https://slaythespire2.net/ancient/darv</x:v>
      </x:c>
    </x:row>
    <x:row r="397" ht="42" customHeight="1">
      <x:c r="A397" s="2" t="str">
        <x:v>v0.107</x:v>
      </x:c>
      <x:c r="B397" s="2" t="str">
        <x:v>亡灵契约师</x:v>
      </x:c>
      <x:c r="C397" s="2" t="str">
        <x:v>达弗</x:v>
      </x:c>
      <x:c r="D397" s="2" t="str">
        <x:v>空鸟笼</x:v>
      </x:c>
      <x:c r="E397" s="16" t="n">
        <x:f>IF(G397=0,I397,IF(G397=1,H397,G397*H397+(1-G397)*I397))</x:f>
        <x:v>0.31881462</x:v>
      </x:c>
      <x:c r="F397" s="12" t="n">
        <x:v>1656</x:v>
      </x:c>
      <x:c r="G397" s="11" t="n">
        <x:v>0.31579999999999997</x:v>
      </x:c>
      <x:c r="H397" s="11" t="n">
        <x:v>0.24280000000000002</x:v>
      </x:c>
      <x:c r="I397" s="11" t="n">
        <x:v>0.3539</x:v>
      </x:c>
      <x:c r="J397" s="13" t="n">
        <x:f>IF(OR(G397=0,G397=1),"",(H397-I397)*100)</x:f>
        <x:v>-11.109999999999998</x:v>
      </x:c>
      <x:c r="K397" s="14" t="n">
        <x:v>6.15</x:v>
      </x:c>
      <x:c r="L397" s="15" t="n">
        <x:f>F397*G397</x:f>
        <x:v>522.9648</x:v>
      </x:c>
      <x:c r="M397" s="15" t="n">
        <x:f>F397-L397</x:f>
        <x:v>1133.0352</x:v>
      </x:c>
      <x:c r="N397" s="17" t="str">
        <x:v>不同幕混合，勿直接解释为纯强度</x:v>
      </x:c>
      <x:c r="O397" s="17" t="str">
        <x:v>https://sts2log.com/cards</x:v>
      </x:c>
      <x:c r="P397" s="17" t="str">
        <x:v>https://slaythespire2.net/ancient/darv</x:v>
      </x:c>
    </x:row>
    <x:row r="398" ht="42" customHeight="1">
      <x:c r="A398" s="2" t="str">
        <x:v>v0.107</x:v>
      </x:c>
      <x:c r="B398" s="2" t="str">
        <x:v>亡灵契约师</x:v>
      </x:c>
      <x:c r="C398" s="2" t="str">
        <x:v>达弗</x:v>
      </x:c>
      <x:c r="D398" s="2" t="str">
        <x:v>黑星</x:v>
      </x:c>
      <x:c r="E398" s="16" t="n">
        <x:f>IF(G398=0,I398,IF(G398=1,H398,G398*H398+(1-G398)*I398))</x:f>
        <x:v>0.31676204999999996</x:v>
      </x:c>
      <x:c r="F398" s="12" t="n">
        <x:v>1673</x:v>
      </x:c>
      <x:c r="G398" s="11" t="n">
        <x:v>0.1315</x:v>
      </x:c>
      <x:c r="H398" s="11" t="n">
        <x:v>0.3</x:v>
      </x:c>
      <x:c r="I398" s="11" t="n">
        <x:v>0.3193</x:v>
      </x:c>
      <x:c r="J398" s="13" t="n">
        <x:f>IF(OR(G398=0,G398=1),"",(H398-I398)*100)</x:f>
        <x:v>-1.9299999999999984</x:v>
      </x:c>
      <x:c r="K398" s="14" t="n">
        <x:v>11.87</x:v>
      </x:c>
      <x:c r="L398" s="15" t="n">
        <x:f>F398*G398</x:f>
        <x:v>219.9995</x:v>
      </x:c>
      <x:c r="M398" s="15" t="n">
        <x:f>F398-L398</x:f>
        <x:v>1453.0005</x:v>
      </x:c>
      <x:c r="N398" s="17" t="str">
        <x:v>不同幕混合，勿直接解释为纯强度</x:v>
      </x:c>
      <x:c r="O398" s="17" t="str">
        <x:v>https://sts2log.com/cards</x:v>
      </x:c>
      <x:c r="P398" s="17" t="str">
        <x:v>https://slaythespire2.net/ancient/darv</x:v>
      </x:c>
    </x:row>
    <x:row r="399" ht="42" customHeight="1">
      <x:c r="A399" s="2" t="str">
        <x:v>v0.107</x:v>
      </x:c>
      <x:c r="B399" s="2" t="str">
        <x:v>亡灵契约师</x:v>
      </x:c>
      <x:c r="C399" s="2" t="str">
        <x:v>达弗</x:v>
      </x:c>
      <x:c r="D399" s="2" t="str">
        <x:v>添水</x:v>
      </x:c>
      <x:c r="E399" s="16" t="n">
        <x:f>IF(G399=0,I399,IF(G399=1,H399,G399*H399+(1-G399)*I399))</x:f>
        <x:v>0.31416763000000003</x:v>
      </x:c>
      <x:c r="F399" s="12" t="n">
        <x:v>678</x:v>
      </x:c>
      <x:c r="G399" s="11" t="n">
        <x:v>0.1283</x:v>
      </x:c>
      <x:c r="H399" s="11" t="n">
        <x:v>0.2759</x:v>
      </x:c>
      <x:c r="I399" s="11" t="n">
        <x:v>0.31980000000000003</x:v>
      </x:c>
      <x:c r="J399" s="13" t="n">
        <x:f>IF(OR(G399=0,G399=1),"",(H399-I399)*100)</x:f>
        <x:v>-4.390000000000005</x:v>
      </x:c>
      <x:c r="K399" s="14" t="n">
        <x:v>9.46</x:v>
      </x:c>
      <x:c r="L399" s="15" t="n">
        <x:f>F399*G399</x:f>
        <x:v>86.9874</x:v>
      </x:c>
      <x:c r="M399" s="15" t="n">
        <x:f>F399-L399</x:f>
        <x:v>591.0126</x:v>
      </x:c>
      <x:c r="N399" s="17" t="str">
        <x:v>不同幕混合，勿直接解释为纯强度</x:v>
      </x:c>
      <x:c r="O399" s="17" t="str">
        <x:v>https://sts2log.com/cards</x:v>
      </x:c>
      <x:c r="P399" s="17" t="str">
        <x:v>https://op.gg/zh-cn/slay-the-spire2/events/Darv</x:v>
      </x:c>
    </x:row>
    <x:row r="400" ht="42" customHeight="1">
      <x:c r="A400" s="2" t="str">
        <x:v>v0.107</x:v>
      </x:c>
      <x:c r="B400" s="2" t="str">
        <x:v>亡灵契约师</x:v>
      </x:c>
      <x:c r="C400" s="2" t="str">
        <x:v>达弗</x:v>
      </x:c>
      <x:c r="D400" s="2" t="str">
        <x:v>灵体外质</x:v>
      </x:c>
      <x:c r="E400" s="16" t="n">
        <x:f>IF(G400=0,I400,IF(G400=1,H400,G400*H400+(1-G400)*I400))</x:f>
        <x:v>0.30873716000000007</x:v>
      </x:c>
      <x:c r="F400" s="12" t="n">
        <x:v>596</x:v>
      </x:c>
      <x:c r="G400" s="11" t="n">
        <x:v>0.0604</x:v>
      </x:c>
      <x:c r="H400" s="11" t="n">
        <x:v>0.22219999999999998</x:v>
      </x:c>
      <x:c r="I400" s="11" t="n">
        <x:v>0.3143</x:v>
      </x:c>
      <x:c r="J400" s="13" t="n">
        <x:f>IF(OR(G400=0,G400=1),"",(H400-I400)*100)</x:f>
        <x:v>-9.210000000000004</x:v>
      </x:c>
      <x:c r="K400" s="14" t="n">
        <x:v>4.09</x:v>
      </x:c>
      <x:c r="L400" s="15" t="n">
        <x:f>F400*G400</x:f>
        <x:v>35.998400000000004</x:v>
      </x:c>
      <x:c r="M400" s="15" t="n">
        <x:f>F400-L400</x:f>
        <x:v>560.0016</x:v>
      </x:c>
      <x:c r="N400" s="17" t="str">
        <x:v>不同幕混合，勿直接解释为纯强度</x:v>
      </x:c>
      <x:c r="O400" s="17" t="str">
        <x:v>https://sts2log.com/cards</x:v>
      </x:c>
      <x:c r="P400" s="17" t="str">
        <x:v>https://op.gg/zh-cn/slay-the-spire2/events/Darv</x:v>
      </x:c>
    </x:row>
    <x:row r="401" ht="42" customHeight="1">
      <x:c r="A401" s="2" t="str">
        <x:v>v0.107</x:v>
      </x:c>
      <x:c r="B401" s="2" t="str">
        <x:v>储君</x:v>
      </x:c>
      <x:c r="C401" s="2" t="str">
        <x:v>涅奥</x:v>
      </x:c>
      <x:c r="D401" s="2" t="str">
        <x:v>巨大卷轴</x:v>
      </x:c>
      <x:c r="E401" s="18" t="n">
        <x:f>IF(G401=0,I401,IF(G401=1,H401,G401*H401+(1-G401)*I401))</x:f>
        <x:v>0.3125</x:v>
      </x:c>
      <x:c r="F401" s="19" t="n">
        <x:v>16</x:v>
      </x:c>
      <x:c r="G401" s="11" t="n">
        <x:v>0</x:v>
      </x:c>
      <x:c r="H401" s="11"/>
      <x:c r="I401" s="11" t="n">
        <x:v>0.3125</x:v>
      </x:c>
      <x:c r="J401" s="13" t="str">
        <x:f>IF(OR(G401=0,G401=1),"",(H401-I401)*100)</x:f>
      </x:c>
      <x:c r="K401" s="14" t="n">
        <x:v>-22.85</x:v>
      </x:c>
      <x:c r="L401" s="15" t="n">
        <x:f>F401*G401</x:f>
        <x:v>0</x:v>
      </x:c>
      <x:c r="M401" s="15" t="n">
        <x:f>F401-L401</x:f>
        <x:v>16</x:v>
      </x:c>
      <x:c r="N401" s="17" t="str">
        <x:v>出现次数&lt;100；一组占比显示为零，其胜率及选跳差留空</x:v>
      </x:c>
      <x:c r="O401" s="17" t="str">
        <x:v>https://sts2log.com/cards</x:v>
      </x:c>
      <x:c r="P401" s="17" t="str">
        <x:v>https://slaythespire2.net/ancient/neow</x:v>
      </x:c>
    </x:row>
    <x:row r="402" ht="25" customHeight="1">
      <x:c r="A402" s="2" t="str">
        <x:v>v0.107</x:v>
      </x:c>
      <x:c r="B402" s="2" t="str">
        <x:v>储君</x:v>
      </x:c>
      <x:c r="C402" s="2" t="str">
        <x:v>涅奥</x:v>
      </x:c>
      <x:c r="D402" s="2" t="str">
        <x:v>树叶药膏</x:v>
      </x:c>
      <x:c r="E402" s="16" t="n">
        <x:f>IF(G402=0,I402,IF(G402=1,H402,G402*H402+(1-G402)*I402))</x:f>
        <x:v>0.24214800000000003</x:v>
      </x:c>
      <x:c r="F402" s="12" t="n">
        <x:v>8958</x:v>
      </x:c>
      <x:c r="G402" s="11" t="n">
        <x:v>0.6096</x:v>
      </x:c>
      <x:c r="H402" s="11" t="n">
        <x:v>0.2441</x:v>
      </x:c>
      <x:c r="I402" s="11" t="n">
        <x:v>0.2391</x:v>
      </x:c>
      <x:c r="J402" s="13" t="n">
        <x:f>IF(OR(G402=0,G402=1),"",(H402-I402)*100)</x:f>
        <x:v>0.5000000000000004</x:v>
      </x:c>
      <x:c r="K402" s="14" t="n">
        <x:v>1.56</x:v>
      </x:c>
      <x:c r="L402" s="15" t="n">
        <x:f>F402*G402</x:f>
        <x:v>5460.7968</x:v>
      </x:c>
      <x:c r="M402" s="15" t="n">
        <x:f>F402-L402</x:f>
        <x:v>3497.2032</x:v>
      </x:c>
      <x:c r="N402" s="17" t="str"/>
      <x:c r="O402" s="17" t="str">
        <x:v>https://sts2log.com/cards</x:v>
      </x:c>
      <x:c r="P402" s="17" t="str">
        <x:v>https://slaythespire2.net/ancient/neow</x:v>
      </x:c>
    </x:row>
    <x:row r="403" ht="25" customHeight="1">
      <x:c r="A403" s="2" t="str">
        <x:v>v0.107</x:v>
      </x:c>
      <x:c r="B403" s="2" t="str">
        <x:v>储君</x:v>
      </x:c>
      <x:c r="C403" s="2" t="str">
        <x:v>涅奥</x:v>
      </x:c>
      <x:c r="D403" s="2" t="str">
        <x:v>华美发束</x:v>
      </x:c>
      <x:c r="E403" s="16" t="n">
        <x:f>IF(G403=0,I403,IF(G403=1,H403,G403*H403+(1-G403)*I403))</x:f>
        <x:v>0.23896768000000002</x:v>
      </x:c>
      <x:c r="F403" s="12" t="n">
        <x:v>9700</x:v>
      </x:c>
      <x:c r="G403" s="11" t="n">
        <x:v>0.7568</x:v>
      </x:c>
      <x:c r="H403" s="11" t="n">
        <x:v>0.2396</x:v>
      </x:c>
      <x:c r="I403" s="11" t="n">
        <x:v>0.237</x:v>
      </x:c>
      <x:c r="J403" s="13" t="n">
        <x:f>IF(OR(G403=0,G403=1),"",(H403-I403)*100)</x:f>
        <x:v>0.2600000000000019</x:v>
      </x:c>
      <x:c r="K403" s="14" t="n">
        <x:v>1.11</x:v>
      </x:c>
      <x:c r="L403" s="15" t="n">
        <x:f>F403*G403</x:f>
        <x:v>7340.96</x:v>
      </x:c>
      <x:c r="M403" s="15" t="n">
        <x:f>F403-L403</x:f>
        <x:v>2359.04</x:v>
      </x:c>
      <x:c r="N403" s="17" t="str"/>
      <x:c r="O403" s="17" t="str">
        <x:v>https://sts2log.com/cards</x:v>
      </x:c>
      <x:c r="P403" s="17" t="str">
        <x:v>https://slaythespire2.net/ancient/neow</x:v>
      </x:c>
    </x:row>
    <x:row r="404" ht="25" customHeight="1">
      <x:c r="A404" s="2" t="str">
        <x:v>v0.107</x:v>
      </x:c>
      <x:c r="B404" s="2" t="str">
        <x:v>储君</x:v>
      </x:c>
      <x:c r="C404" s="2" t="str">
        <x:v>涅奥</x:v>
      </x:c>
      <x:c r="D404" s="2" t="str">
        <x:v>松动羊毛剪</x:v>
      </x:c>
      <x:c r="E404" s="16" t="n">
        <x:f>IF(G404=0,I404,IF(G404=1,H404,G404*H404+(1-G404)*I404))</x:f>
        <x:v>0.2381952</x:v>
      </x:c>
      <x:c r="F404" s="12" t="n">
        <x:v>8836</x:v>
      </x:c>
      <x:c r="G404" s="11" t="n">
        <x:v>0.30079999999999996</x:v>
      </x:c>
      <x:c r="H404" s="11" t="n">
        <x:v>0.23399999999999999</x:v>
      </x:c>
      <x:c r="I404" s="11" t="n">
        <x:v>0.24</x:v>
      </x:c>
      <x:c r="J404" s="13" t="n">
        <x:f>IF(OR(G404=0,G404=1),"",(H404-I404)*100)</x:f>
        <x:v>-0.6000000000000005</x:v>
      </x:c>
      <x:c r="K404" s="14" t="n">
        <x:v>0.55</x:v>
      </x:c>
      <x:c r="L404" s="15" t="n">
        <x:f>F404*G404</x:f>
        <x:v>2657.8687999999997</x:v>
      </x:c>
      <x:c r="M404" s="15" t="n">
        <x:f>F404-L404</x:f>
        <x:v>6178.1312</x:v>
      </x:c>
      <x:c r="N404" s="17" t="str"/>
      <x:c r="O404" s="17" t="str">
        <x:v>https://sts2log.com/cards</x:v>
      </x:c>
      <x:c r="P404" s="17" t="str">
        <x:v>https://slaythespire2.net/ancient/neow</x:v>
      </x:c>
    </x:row>
    <x:row r="405" ht="25" customHeight="1">
      <x:c r="A405" s="2" t="str">
        <x:v>v0.107</x:v>
      </x:c>
      <x:c r="B405" s="2" t="str">
        <x:v>储君</x:v>
      </x:c>
      <x:c r="C405" s="2" t="str">
        <x:v>涅奥</x:v>
      </x:c>
      <x:c r="D405" s="2" t="str">
        <x:v>精准剪刀</x:v>
      </x:c>
      <x:c r="E405" s="16" t="n">
        <x:f>IF(G405=0,I405,IF(G405=1,H405,G405*H405+(1-G405)*I405))</x:f>
        <x:v>0.23778639999999998</x:v>
      </x:c>
      <x:c r="F405" s="12" t="n">
        <x:v>8149</x:v>
      </x:c>
      <x:c r="G405" s="11" t="n">
        <x:v>0.1115</x:v>
      </x:c>
      <x:c r="H405" s="11" t="n">
        <x:v>0.2321</x:v>
      </x:c>
      <x:c r="I405" s="11" t="n">
        <x:v>0.23850000000000002</x:v>
      </x:c>
      <x:c r="J405" s="13" t="n">
        <x:f>IF(OR(G405=0,G405=1),"",(H405-I405)*100)</x:f>
        <x:v>-0.6400000000000017</x:v>
      </x:c>
      <x:c r="K405" s="14" t="n">
        <x:v>0.36</x:v>
      </x:c>
      <x:c r="L405" s="15" t="n">
        <x:f>F405*G405</x:f>
        <x:v>908.6135</x:v>
      </x:c>
      <x:c r="M405" s="15" t="n">
        <x:f>F405-L405</x:f>
        <x:v>7240.3865</x:v>
      </x:c>
      <x:c r="N405" s="17" t="str"/>
      <x:c r="O405" s="17" t="str">
        <x:v>https://sts2log.com/cards</x:v>
      </x:c>
      <x:c r="P405" s="17" t="str">
        <x:v>https://slaythespire2.net/ancient/neow</x:v>
      </x:c>
    </x:row>
    <x:row r="406" ht="25" customHeight="1">
      <x:c r="A406" s="2" t="str">
        <x:v>v0.107</x:v>
      </x:c>
      <x:c r="B406" s="2" t="str">
        <x:v>储君</x:v>
      </x:c>
      <x:c r="C406" s="2" t="str">
        <x:v>涅奥</x:v>
      </x:c>
      <x:c r="D406" s="2" t="str">
        <x:v>新叶</x:v>
      </x:c>
      <x:c r="E406" s="16" t="n">
        <x:f>IF(G406=0,I406,IF(G406=1,H406,G406*H406+(1-G406)*I406))</x:f>
        <x:v>0.23759958</x:v>
      </x:c>
      <x:c r="F406" s="12" t="n">
        <x:v>8305</x:v>
      </x:c>
      <x:c r="G406" s="11" t="n">
        <x:v>0.37810000000000005</x:v>
      </x:c>
      <x:c r="H406" s="11" t="n">
        <x:v>0.2325</x:v>
      </x:c>
      <x:c r="I406" s="11" t="n">
        <x:v>0.2407</x:v>
      </x:c>
      <x:c r="J406" s="13" t="n">
        <x:f>IF(OR(G406=0,G406=1),"",(H406-I406)*100)</x:f>
        <x:v>-0.8199999999999985</x:v>
      </x:c>
      <x:c r="K406" s="14" t="n">
        <x:v>0.4</x:v>
      </x:c>
      <x:c r="L406" s="15" t="n">
        <x:f>F406*G406</x:f>
        <x:v>3140.1205000000004</x:v>
      </x:c>
      <x:c r="M406" s="15" t="n">
        <x:f>F406-L406</x:f>
        <x:v>5164.879499999999</x:v>
      </x:c>
      <x:c r="N406" s="17" t="str"/>
      <x:c r="O406" s="17" t="str">
        <x:v>https://sts2log.com/cards</x:v>
      </x:c>
      <x:c r="P406" s="17" t="str">
        <x:v>https://slaythespire2.net/ancient/neow</x:v>
      </x:c>
    </x:row>
    <x:row r="407" ht="25" customHeight="1">
      <x:c r="A407" s="2" t="str">
        <x:v>v0.107</x:v>
      </x:c>
      <x:c r="B407" s="2" t="str">
        <x:v>储君</x:v>
      </x:c>
      <x:c r="C407" s="2" t="str">
        <x:v>涅奥</x:v>
      </x:c>
      <x:c r="D407" s="2" t="str">
        <x:v>石炉加湿器</x:v>
      </x:c>
      <x:c r="E407" s="16" t="n">
        <x:f>IF(G407=0,I407,IF(G407=1,H407,G407*H407+(1-G407)*I407))</x:f>
        <x:v>0.2375117</x:v>
      </x:c>
      <x:c r="F407" s="12" t="n">
        <x:v>4757</x:v>
      </x:c>
      <x:c r="G407" s="11" t="n">
        <x:v>0.1326</x:v>
      </x:c>
      <x:c r="H407" s="11" t="n">
        <x:v>0.2631</x:v>
      </x:c>
      <x:c r="I407" s="11" t="n">
        <x:v>0.2336</x:v>
      </x:c>
      <x:c r="J407" s="13" t="n">
        <x:f>IF(OR(G407=0,G407=1),"",(H407-I407)*100)</x:f>
        <x:v>2.9499999999999997</x:v>
      </x:c>
      <x:c r="K407" s="14" t="n">
        <x:v>3.46</x:v>
      </x:c>
      <x:c r="L407" s="15" t="n">
        <x:f>F407*G407</x:f>
        <x:v>630.7782</x:v>
      </x:c>
      <x:c r="M407" s="15" t="n">
        <x:f>F407-L407</x:f>
        <x:v>4126.2218</x:v>
      </x:c>
      <x:c r="N407" s="17" t="str"/>
      <x:c r="O407" s="17" t="str">
        <x:v>https://sts2log.com/cards</x:v>
      </x:c>
      <x:c r="P407" s="17" t="str">
        <x:v>https://slaythespire2.net/ancient/neow</x:v>
      </x:c>
    </x:row>
    <x:row r="408" ht="25" customHeight="1">
      <x:c r="A408" s="2" t="str">
        <x:v>v0.107</x:v>
      </x:c>
      <x:c r="B408" s="2" t="str">
        <x:v>储君</x:v>
      </x:c>
      <x:c r="C408" s="2" t="str">
        <x:v>涅奥</x:v>
      </x:c>
      <x:c r="D408" s="2" t="str">
        <x:v>金色珍珠</x:v>
      </x:c>
      <x:c r="E408" s="16" t="n">
        <x:f>IF(G408=0,I408,IF(G408=1,H408,G408*H408+(1-G408)*I408))</x:f>
        <x:v>0.236174</x:v>
      </x:c>
      <x:c r="F408" s="12" t="n">
        <x:v>8650</x:v>
      </x:c>
      <x:c r="G408" s="11" t="n">
        <x:v>0.365</x:v>
      </x:c>
      <x:c r="H408" s="11" t="n">
        <x:v>0.2664</x:v>
      </x:c>
      <x:c r="I408" s="11" t="n">
        <x:v>0.2188</x:v>
      </x:c>
      <x:c r="J408" s="13" t="n">
        <x:f>IF(OR(G408=0,G408=1),"",(H408-I408)*100)</x:f>
        <x:v>4.760000000000003</x:v>
      </x:c>
      <x:c r="K408" s="14" t="n">
        <x:v>3.79</x:v>
      </x:c>
      <x:c r="L408" s="15" t="n">
        <x:f>F408*G408</x:f>
        <x:v>3157.25</x:v>
      </x:c>
      <x:c r="M408" s="15" t="n">
        <x:f>F408-L408</x:f>
        <x:v>5492.75</x:v>
      </x:c>
      <x:c r="N408" s="17" t="str"/>
      <x:c r="O408" s="17" t="str">
        <x:v>https://sts2log.com/cards</x:v>
      </x:c>
      <x:c r="P408" s="17" t="str">
        <x:v>https://slaythespire2.net/ancient/neow</x:v>
      </x:c>
    </x:row>
    <x:row r="409" ht="25" customHeight="1">
      <x:c r="A409" s="2" t="str">
        <x:v>v0.107</x:v>
      </x:c>
      <x:c r="B409" s="2" t="str">
        <x:v>储君</x:v>
      </x:c>
      <x:c r="C409" s="2" t="str">
        <x:v>涅奥</x:v>
      </x:c>
      <x:c r="D409" s="2" t="str">
        <x:v>涅奥的护符</x:v>
      </x:c>
      <x:c r="E409" s="16" t="n">
        <x:f>IF(G409=0,I409,IF(G409=1,H409,G409*H409+(1-G409)*I409))</x:f>
        <x:v>0.23314079999999998</x:v>
      </x:c>
      <x:c r="F409" s="12" t="n">
        <x:v>4623</x:v>
      </x:c>
      <x:c r="G409" s="11" t="n">
        <x:v>0.077</x:v>
      </x:c>
      <x:c r="H409" s="11" t="n">
        <x:v>0.2612</x:v>
      </x:c>
      <x:c r="I409" s="11" t="n">
        <x:v>0.23079999999999998</x:v>
      </x:c>
      <x:c r="J409" s="13" t="n">
        <x:f>IF(OR(G409=0,G409=1),"",(H409-I409)*100)</x:f>
        <x:v>3.040000000000001</x:v>
      </x:c>
      <x:c r="K409" s="14" t="n">
        <x:v>3.27</x:v>
      </x:c>
      <x:c r="L409" s="15" t="n">
        <x:f>F409*G409</x:f>
        <x:v>355.971</x:v>
      </x:c>
      <x:c r="M409" s="15" t="n">
        <x:f>F409-L409</x:f>
        <x:v>4267.029</x:v>
      </x:c>
      <x:c r="N409" s="17" t="str"/>
      <x:c r="O409" s="17" t="str">
        <x:v>https://sts2log.com/cards</x:v>
      </x:c>
      <x:c r="P409" s="17" t="str">
        <x:v>https://slaythespire2.net/ancient/neow</x:v>
      </x:c>
    </x:row>
    <x:row r="410" ht="25" customHeight="1">
      <x:c r="A410" s="2" t="str">
        <x:v>v0.107</x:v>
      </x:c>
      <x:c r="B410" s="2" t="str">
        <x:v>储君</x:v>
      </x:c>
      <x:c r="C410" s="2" t="str">
        <x:v>涅奥</x:v>
      </x:c>
      <x:c r="D410" s="2" t="str">
        <x:v>奥术卷轴</x:v>
      </x:c>
      <x:c r="E410" s="16" t="n">
        <x:f>IF(G410=0,I410,IF(G410=1,H410,G410*H410+(1-G410)*I410))</x:f>
        <x:v>0.23192586</x:v>
      </x:c>
      <x:c r="F410" s="12" t="n">
        <x:v>8209</x:v>
      </x:c>
      <x:c r="G410" s="11" t="n">
        <x:v>0.4882</x:v>
      </x:c>
      <x:c r="H410" s="11" t="n">
        <x:v>0.18960000000000002</x:v>
      </x:c>
      <x:c r="I410" s="11" t="n">
        <x:v>0.2723</x:v>
      </x:c>
      <x:c r="J410" s="13" t="n">
        <x:f>IF(OR(G410=0,G410=1),"",(H410-I410)*100)</x:f>
        <x:v>-8.269999999999996</x:v>
      </x:c>
      <x:c r="K410" s="14" t="n">
        <x:v>-3.89</x:v>
      </x:c>
      <x:c r="L410" s="15" t="n">
        <x:f>F410*G410</x:f>
        <x:v>4007.6338</x:v>
      </x:c>
      <x:c r="M410" s="15" t="n">
        <x:f>F410-L410</x:f>
        <x:v>4201.3662</x:v>
      </x:c>
      <x:c r="N410" s="17" t="str"/>
      <x:c r="O410" s="17" t="str">
        <x:v>https://sts2log.com/cards</x:v>
      </x:c>
      <x:c r="P410" s="17" t="str">
        <x:v>https://slaythespire2.net/ancient/neow</x:v>
      </x:c>
    </x:row>
    <x:row r="411" ht="25" customHeight="1">
      <x:c r="A411" s="2" t="str">
        <x:v>v0.107</x:v>
      </x:c>
      <x:c r="B411" s="2" t="str">
        <x:v>储君</x:v>
      </x:c>
      <x:c r="C411" s="2" t="str">
        <x:v>涅奥</x:v>
      </x:c>
      <x:c r="D411" s="2" t="str">
        <x:v>熔岩石</x:v>
      </x:c>
      <x:c r="E411" s="16" t="n">
        <x:f>IF(G411=0,I411,IF(G411=1,H411,G411*H411+(1-G411)*I411))</x:f>
        <x:v>0.23124674999999997</x:v>
      </x:c>
      <x:c r="F411" s="12" t="n">
        <x:v>4147</x:v>
      </x:c>
      <x:c r="G411" s="11" t="n">
        <x:v>0.1025</x:v>
      </x:c>
      <x:c r="H411" s="11" t="n">
        <x:v>0.2588</x:v>
      </x:c>
      <x:c r="I411" s="11" t="n">
        <x:v>0.2281</x:v>
      </x:c>
      <x:c r="J411" s="13" t="n">
        <x:f>IF(OR(G411=0,G411=1),"",(H411-I411)*100)</x:f>
        <x:v>3.0699999999999976</x:v>
      </x:c>
      <x:c r="K411" s="14" t="n">
        <x:v>3.03</x:v>
      </x:c>
      <x:c r="L411" s="15" t="n">
        <x:f>F411*G411</x:f>
        <x:v>425.0675</x:v>
      </x:c>
      <x:c r="M411" s="15" t="n">
        <x:f>F411-L411</x:f>
        <x:v>3721.9325</x:v>
      </x:c>
      <x:c r="N411" s="17" t="str"/>
      <x:c r="O411" s="17" t="str">
        <x:v>https://sts2log.com/cards</x:v>
      </x:c>
      <x:c r="P411" s="17" t="str">
        <x:v>https://slaythespire2.net/ancient/neow</x:v>
      </x:c>
    </x:row>
    <x:row r="412" ht="25" customHeight="1">
      <x:c r="A412" s="2" t="str">
        <x:v>v0.107</x:v>
      </x:c>
      <x:c r="B412" s="2" t="str">
        <x:v>储君</x:v>
      </x:c>
      <x:c r="C412" s="2" t="str">
        <x:v>涅奥</x:v>
      </x:c>
      <x:c r="D412" s="2" t="str">
        <x:v>涅奥的苦痛</x:v>
      </x:c>
      <x:c r="E412" s="16" t="n">
        <x:f>IF(G412=0,I412,IF(G412=1,H412,G412*H412+(1-G412)*I412))</x:f>
        <x:v>0.23089540000000003</x:v>
      </x:c>
      <x:c r="F412" s="12" t="n">
        <x:v>9378</x:v>
      </x:c>
      <x:c r="G412" s="11" t="n">
        <x:v>0.0858</x:v>
      </x:c>
      <x:c r="H412" s="11" t="n">
        <x:v>0.3342</x:v>
      </x:c>
      <x:c r="I412" s="11" t="n">
        <x:v>0.2212</x:v>
      </x:c>
      <x:c r="J412" s="13" t="n">
        <x:f>IF(OR(G412=0,G412=1),"",(H412-I412)*100)</x:f>
        <x:v>11.299999999999999</x:v>
      </x:c>
      <x:c r="K412" s="14" t="n">
        <x:v>10.57</x:v>
      </x:c>
      <x:c r="L412" s="15" t="n">
        <x:f>F412*G412</x:f>
        <x:v>804.6324</x:v>
      </x:c>
      <x:c r="M412" s="15" t="n">
        <x:f>F412-L412</x:f>
        <x:v>8573.3676</x:v>
      </x:c>
      <x:c r="N412" s="17" t="str"/>
      <x:c r="O412" s="17" t="str">
        <x:v>https://sts2log.com/cards</x:v>
      </x:c>
      <x:c r="P412" s="17" t="str">
        <x:v>https://slaythespire2.net/ancient/neow</x:v>
      </x:c>
    </x:row>
    <x:row r="413" ht="25" customHeight="1">
      <x:c r="A413" s="2" t="str">
        <x:v>v0.107</x:v>
      </x:c>
      <x:c r="B413" s="2" t="str">
        <x:v>储君</x:v>
      </x:c>
      <x:c r="C413" s="2" t="str">
        <x:v>涅奥</x:v>
      </x:c>
      <x:c r="D413" s="2" t="str">
        <x:v>巨大扭蛋</x:v>
      </x:c>
      <x:c r="E413" s="16" t="n">
        <x:f>IF(G413=0,I413,IF(G413=1,H413,G413*H413+(1-G413)*I413))</x:f>
        <x:v>0.23071792999999996</x:v>
      </x:c>
      <x:c r="F413" s="12" t="n">
        <x:v>8336</x:v>
      </x:c>
      <x:c r="G413" s="11" t="n">
        <x:v>0.2939</x:v>
      </x:c>
      <x:c r="H413" s="11" t="n">
        <x:v>0.2298</x:v>
      </x:c>
      <x:c r="I413" s="11" t="n">
        <x:v>0.2311</x:v>
      </x:c>
      <x:c r="J413" s="13" t="n">
        <x:f>IF(OR(G413=0,G413=1),"",(H413-I413)*100)</x:f>
        <x:v>-0.12999999999999956</x:v>
      </x:c>
      <x:c r="K413" s="14" t="n">
        <x:v>0.13</x:v>
      </x:c>
      <x:c r="L413" s="15" t="n">
        <x:f>F413*G413</x:f>
        <x:v>2449.9504</x:v>
      </x:c>
      <x:c r="M413" s="15" t="n">
        <x:f>F413-L413</x:f>
        <x:v>5886.0496</x:v>
      </x:c>
      <x:c r="N413" s="17" t="str"/>
      <x:c r="O413" s="17" t="str">
        <x:v>https://sts2log.com/cards</x:v>
      </x:c>
      <x:c r="P413" s="17" t="str">
        <x:v>https://slaythespire2.net/ancient/neow</x:v>
      </x:c>
    </x:row>
    <x:row r="414" ht="25" customHeight="1">
      <x:c r="A414" s="2" t="str">
        <x:v>v0.107</x:v>
      </x:c>
      <x:c r="B414" s="2" t="str">
        <x:v>储君</x:v>
      </x:c>
      <x:c r="C414" s="2" t="str">
        <x:v>涅奥</x:v>
      </x:c>
      <x:c r="D414" s="2" t="str">
        <x:v>营养牡蛎</x:v>
      </x:c>
      <x:c r="E414" s="16" t="n">
        <x:f>IF(G414=0,I414,IF(G414=1,H414,G414*H414+(1-G414)*I414))</x:f>
        <x:v>0.23001536</x:v>
      </x:c>
      <x:c r="F414" s="12" t="n">
        <x:v>4757</x:v>
      </x:c>
      <x:c r="G414" s="11" t="n">
        <x:v>0.0736</x:v>
      </x:c>
      <x:c r="H414" s="11" t="n">
        <x:v>0.2</x:v>
      </x:c>
      <x:c r="I414" s="11" t="n">
        <x:v>0.2324</x:v>
      </x:c>
      <x:c r="J414" s="13" t="n">
        <x:f>IF(OR(G414=0,G414=1),"",(H414-I414)*100)</x:f>
        <x:v>-3.2399999999999984</x:v>
      </x:c>
      <x:c r="K414" s="14" t="n">
        <x:v>-2.85</x:v>
      </x:c>
      <x:c r="L414" s="15" t="n">
        <x:f>F414*G414</x:f>
        <x:v>350.1152</x:v>
      </x:c>
      <x:c r="M414" s="15" t="n">
        <x:f>F414-L414</x:f>
        <x:v>4406.8848</x:v>
      </x:c>
      <x:c r="N414" s="17" t="str"/>
      <x:c r="O414" s="17" t="str">
        <x:v>https://sts2log.com/cards</x:v>
      </x:c>
      <x:c r="P414" s="17" t="str">
        <x:v>https://slaythespire2.net/ancient/neow</x:v>
      </x:c>
    </x:row>
    <x:row r="415" ht="25" customHeight="1">
      <x:c r="A415" s="2" t="str">
        <x:v>v0.107</x:v>
      </x:c>
      <x:c r="B415" s="2" t="str">
        <x:v>储君</x:v>
      </x:c>
      <x:c r="C415" s="2" t="str">
        <x:v>涅奥</x:v>
      </x:c>
      <x:c r="D415" s="2" t="str">
        <x:v>铅制镇纸</x:v>
      </x:c>
      <x:c r="E415" s="16" t="n">
        <x:f>IF(G415=0,I415,IF(G415=1,H415,G415*H415+(1-G415)*I415))</x:f>
        <x:v>0.22956532999999998</x:v>
      </x:c>
      <x:c r="F415" s="12" t="n">
        <x:v>9365</x:v>
      </x:c>
      <x:c r="G415" s="11" t="n">
        <x:v>0.3193</x:v>
      </x:c>
      <x:c r="H415" s="11" t="n">
        <x:v>0.2555</x:v>
      </x:c>
      <x:c r="I415" s="11" t="n">
        <x:v>0.21739999999999998</x:v>
      </x:c>
      <x:c r="J415" s="13" t="n">
        <x:f>IF(OR(G415=0,G415=1),"",(H415-I415)*100)</x:f>
        <x:v>3.8100000000000023</x:v>
      </x:c>
      <x:c r="K415" s="14" t="n">
        <x:v>2.7</x:v>
      </x:c>
      <x:c r="L415" s="15" t="n">
        <x:f>F415*G415</x:f>
        <x:v>2990.2445</x:v>
      </x:c>
      <x:c r="M415" s="15" t="n">
        <x:f>F415-L415</x:f>
        <x:v>6374.7555</x:v>
      </x:c>
      <x:c r="N415" s="17" t="str"/>
      <x:c r="O415" s="17" t="str">
        <x:v>https://sts2log.com/cards</x:v>
      </x:c>
      <x:c r="P415" s="17" t="str">
        <x:v>https://slaythespire2.net/ancient/neow</x:v>
      </x:c>
    </x:row>
    <x:row r="416" ht="25" customHeight="1">
      <x:c r="A416" s="2" t="str">
        <x:v>v0.107</x:v>
      </x:c>
      <x:c r="B416" s="2" t="str">
        <x:v>储君</x:v>
      </x:c>
      <x:c r="C416" s="2" t="str">
        <x:v>涅奥</x:v>
      </x:c>
      <x:c r="D416" s="2" t="str">
        <x:v>羽翼之靴</x:v>
      </x:c>
      <x:c r="E416" s="16" t="n">
        <x:f>IF(G416=0,I416,IF(G416=1,H416,G416*H416+(1-G416)*I416))</x:f>
        <x:v>0.22910955</x:v>
      </x:c>
      <x:c r="F416" s="12" t="n">
        <x:v>9494</x:v>
      </x:c>
      <x:c r="G416" s="11" t="n">
        <x:v>0.2505</x:v>
      </x:c>
      <x:c r="H416" s="11" t="n">
        <x:v>0.2809</x:v>
      </x:c>
      <x:c r="I416" s="11" t="n">
        <x:v>0.2118</x:v>
      </x:c>
      <x:c r="J416" s="13" t="n">
        <x:f>IF(OR(G416=0,G416=1),"",(H416-I416)*100)</x:f>
        <x:v>6.909999999999999</x:v>
      </x:c>
      <x:c r="K416" s="14" t="n">
        <x:v>5.24</x:v>
      </x:c>
      <x:c r="L416" s="15" t="n">
        <x:f>F416*G416</x:f>
        <x:v>2378.247</x:v>
      </x:c>
      <x:c r="M416" s="15" t="n">
        <x:f>F416-L416</x:f>
        <x:v>7115.753000000001</x:v>
      </x:c>
      <x:c r="N416" s="17" t="str"/>
      <x:c r="O416" s="17" t="str">
        <x:v>https://sts2log.com/cards</x:v>
      </x:c>
      <x:c r="P416" s="17" t="str">
        <x:v>https://slaythespire2.net/ancient/neow</x:v>
      </x:c>
    </x:row>
    <x:row r="417" ht="25" customHeight="1">
      <x:c r="A417" s="2" t="str">
        <x:v>v0.107</x:v>
      </x:c>
      <x:c r="B417" s="2" t="str">
        <x:v>储君</x:v>
      </x:c>
      <x:c r="C417" s="2" t="str">
        <x:v>涅奥</x:v>
      </x:c>
      <x:c r="D417" s="2" t="str">
        <x:v>诅咒珍珠</x:v>
      </x:c>
      <x:c r="E417" s="16" t="n">
        <x:f>IF(G417=0,I417,IF(G417=1,H417,G417*H417+(1-G417)*I417))</x:f>
        <x:v>0.22909505000000002</x:v>
      </x:c>
      <x:c r="F417" s="12" t="n">
        <x:v>9049</x:v>
      </x:c>
      <x:c r="G417" s="11" t="n">
        <x:v>0.5085000000000001</x:v>
      </x:c>
      <x:c r="H417" s="11" t="n">
        <x:v>0.23170000000000002</x:v>
      </x:c>
      <x:c r="I417" s="11" t="n">
        <x:v>0.22640000000000002</x:v>
      </x:c>
      <x:c r="J417" s="13" t="n">
        <x:f>IF(OR(G417=0,G417=1),"",(H417-I417)*100)</x:f>
        <x:v>0.5299999999999999</x:v>
      </x:c>
      <x:c r="K417" s="14" t="n">
        <x:v>0.32</x:v>
      </x:c>
      <x:c r="L417" s="15" t="n">
        <x:f>F417*G417</x:f>
        <x:v>4601.4165</x:v>
      </x:c>
      <x:c r="M417" s="15" t="n">
        <x:f>F417-L417</x:f>
        <x:v>4447.5835</x:v>
      </x:c>
      <x:c r="N417" s="17" t="str"/>
      <x:c r="O417" s="17" t="str">
        <x:v>https://sts2log.com/cards</x:v>
      </x:c>
      <x:c r="P417" s="17" t="str">
        <x:v>https://slaythespire2.net/ancient/neow</x:v>
      </x:c>
    </x:row>
    <x:row r="418" ht="25" customHeight="1">
      <x:c r="A418" s="2" t="str">
        <x:v>v0.107</x:v>
      </x:c>
      <x:c r="B418" s="2" t="str">
        <x:v>储君</x:v>
      </x:c>
      <x:c r="C418" s="2" t="str">
        <x:v>涅奥</x:v>
      </x:c>
      <x:c r="D418" s="2" t="str">
        <x:v>轰鸣海螺</x:v>
      </x:c>
      <x:c r="E418" s="16" t="n">
        <x:f>IF(G418=0,I418,IF(G418=1,H418,G418*H418+(1-G418)*I418))</x:f>
        <x:v>0.22823769999999996</x:v>
      </x:c>
      <x:c r="F418" s="12" t="n">
        <x:v>9469</x:v>
      </x:c>
      <x:c r="G418" s="11" t="n">
        <x:v>0.1521</x:v>
      </x:c>
      <x:c r="H418" s="11" t="n">
        <x:v>0.3444</x:v>
      </x:c>
      <x:c r="I418" s="11" t="n">
        <x:v>0.20739999999999997</x:v>
      </x:c>
      <x:c r="J418" s="13" t="n">
        <x:f>IF(OR(G418=0,G418=1),"",(H418-I418)*100)</x:f>
        <x:v>13.700000000000001</x:v>
      </x:c>
      <x:c r="K418" s="14" t="n">
        <x:v>11.59</x:v>
      </x:c>
      <x:c r="L418" s="15" t="n">
        <x:f>F418*G418</x:f>
        <x:v>1440.2349000000002</x:v>
      </x:c>
      <x:c r="M418" s="15" t="n">
        <x:f>F418-L418</x:f>
        <x:v>8028.7651</x:v>
      </x:c>
      <x:c r="N418" s="17" t="str"/>
      <x:c r="O418" s="17" t="str">
        <x:v>https://sts2log.com/cards</x:v>
      </x:c>
      <x:c r="P418" s="17" t="str">
        <x:v>https://slaythespire2.net/ancient/neow</x:v>
      </x:c>
    </x:row>
    <x:row r="419" ht="25" customHeight="1">
      <x:c r="A419" s="2" t="str">
        <x:v>v0.107</x:v>
      </x:c>
      <x:c r="B419" s="2" t="str">
        <x:v>储君</x:v>
      </x:c>
      <x:c r="C419" s="2" t="str">
        <x:v>涅奥</x:v>
      </x:c>
      <x:c r="D419" s="2" t="str">
        <x:v>药瓶皮套</x:v>
      </x:c>
      <x:c r="E419" s="16" t="n">
        <x:f>IF(G419=0,I419,IF(G419=1,H419,G419*H419+(1-G419)*I419))</x:f>
        <x:v>0.22800855999999997</x:v>
      </x:c>
      <x:c r="F419" s="12" t="n">
        <x:v>9369</x:v>
      </x:c>
      <x:c r="G419" s="11" t="n">
        <x:v>0.20559999999999998</x:v>
      </x:c>
      <x:c r="H419" s="11" t="n">
        <x:v>0.3115</x:v>
      </x:c>
      <x:c r="I419" s="11" t="n">
        <x:v>0.2064</x:v>
      </x:c>
      <x:c r="J419" s="13" t="n">
        <x:f>IF(OR(G419=0,G419=1),"",(H419-I419)*100)</x:f>
        <x:v>10.51</x:v>
      </x:c>
      <x:c r="K419" s="14" t="n">
        <x:v>8.3</x:v>
      </x:c>
      <x:c r="L419" s="15" t="n">
        <x:f>F419*G419</x:f>
        <x:v>1926.2663999999997</x:v>
      </x:c>
      <x:c r="M419" s="15" t="n">
        <x:f>F419-L419</x:f>
        <x:v>7442.7336000000005</x:v>
      </x:c>
      <x:c r="N419" s="17" t="str"/>
      <x:c r="O419" s="17" t="str">
        <x:v>https://sts2log.com/cards</x:v>
      </x:c>
      <x:c r="P419" s="17" t="str">
        <x:v>https://slaythespire2.net/ancient/neow</x:v>
      </x:c>
    </x:row>
    <x:row r="420" ht="25" customHeight="1">
      <x:c r="A420" s="2" t="str">
        <x:v>v0.107</x:v>
      </x:c>
      <x:c r="B420" s="2" t="str">
        <x:v>储君</x:v>
      </x:c>
      <x:c r="C420" s="2" t="str">
        <x:v>涅奥</x:v>
      </x:c>
      <x:c r="D420" s="2" t="str">
        <x:v>万花筒</x:v>
      </x:c>
      <x:c r="E420" s="16" t="n">
        <x:f>IF(G420=0,I420,IF(G420=1,H420,G420*H420+(1-G420)*I420))</x:f>
        <x:v>0.22686616</x:v>
      </x:c>
      <x:c r="F420" s="12" t="n">
        <x:v>8887</x:v>
      </x:c>
      <x:c r="G420" s="11" t="n">
        <x:v>0.3066</x:v>
      </x:c>
      <x:c r="H420" s="11" t="n">
        <x:v>0.20440000000000003</x:v>
      </x:c>
      <x:c r="I420" s="11" t="n">
        <x:v>0.2368</x:v>
      </x:c>
      <x:c r="J420" s="13" t="n">
        <x:f>IF(OR(G420=0,G420=1),"",(H420-I420)*100)</x:f>
        <x:v>-3.2399999999999984</x:v>
      </x:c>
      <x:c r="K420" s="14" t="n">
        <x:v>-2.41</x:v>
      </x:c>
      <x:c r="L420" s="15" t="n">
        <x:f>F420*G420</x:f>
        <x:v>2724.7542</x:v>
      </x:c>
      <x:c r="M420" s="15" t="n">
        <x:f>F420-L420</x:f>
        <x:v>6162.245800000001</x:v>
      </x:c>
      <x:c r="N420" s="17" t="str"/>
      <x:c r="O420" s="17" t="str">
        <x:v>https://sts2log.com/cards</x:v>
      </x:c>
      <x:c r="P420" s="17" t="str">
        <x:v>https://slaythespire2.net/ancient/neow</x:v>
      </x:c>
    </x:row>
    <x:row r="421" ht="25" customHeight="1">
      <x:c r="A421" s="2" t="str">
        <x:v>v0.107</x:v>
      </x:c>
      <x:c r="B421" s="2" t="str">
        <x:v>储君</x:v>
      </x:c>
      <x:c r="C421" s="2" t="str">
        <x:v>涅奥</x:v>
      </x:c>
      <x:c r="D421" s="2" t="str">
        <x:v>涅奥骨骰</x:v>
      </x:c>
      <x:c r="E421" s="16" t="n">
        <x:f>IF(G421=0,I421,IF(G421=1,H421,G421*H421+(1-G421)*I421))</x:f>
        <x:v>0.22519200000000003</x:v>
      </x:c>
      <x:c r="F421" s="12" t="n">
        <x:v>8594</x:v>
      </x:c>
      <x:c r="G421" s="11" t="n">
        <x:v>0.49</x:v>
      </x:c>
      <x:c r="H421" s="11" t="n">
        <x:v>0.195</x:v>
      </x:c>
      <x:c r="I421" s="11" t="n">
        <x:v>0.25420000000000004</x:v>
      </x:c>
      <x:c r="J421" s="13" t="n">
        <x:f>IF(OR(G421=0,G421=1),"",(H421-I421)*100)</x:f>
        <x:v>-5.9200000000000035</x:v>
      </x:c>
      <x:c r="K421" s="14" t="n">
        <x:v>-3.35</x:v>
      </x:c>
      <x:c r="L421" s="15" t="n">
        <x:f>F421*G421</x:f>
        <x:v>4211.0599999999995</x:v>
      </x:c>
      <x:c r="M421" s="15" t="n">
        <x:f>F421-L421</x:f>
        <x:v>4382.9400000000005</x:v>
      </x:c>
      <x:c r="N421" s="17" t="str"/>
      <x:c r="O421" s="17" t="str">
        <x:v>https://sts2log.com/cards</x:v>
      </x:c>
      <x:c r="P421" s="17" t="str">
        <x:v>https://slaythespire2.net/ancient/neow</x:v>
      </x:c>
    </x:row>
    <x:row r="422" ht="25" customHeight="1">
      <x:c r="A422" s="2" t="str">
        <x:v>v0.107</x:v>
      </x:c>
      <x:c r="B422" s="2" t="str">
        <x:v>储君</x:v>
      </x:c>
      <x:c r="C422" s="2" t="str">
        <x:v>涅奥</x:v>
      </x:c>
      <x:c r="D422" s="2" t="str">
        <x:v>小型扭蛋</x:v>
      </x:c>
      <x:c r="E422" s="16" t="n">
        <x:f>IF(G422=0,I422,IF(G422=1,H422,G422*H422+(1-G422)*I422))</x:f>
        <x:v>0.22356088000000002</x:v>
      </x:c>
      <x:c r="F422" s="12" t="n">
        <x:v>4304</x:v>
      </x:c>
      <x:c r="G422" s="11" t="n">
        <x:v>0.24559999999999998</x:v>
      </x:c>
      <x:c r="H422" s="11" t="n">
        <x:v>0.25170000000000003</x:v>
      </x:c>
      <x:c r="I422" s="11" t="n">
        <x:v>0.2144</x:v>
      </x:c>
      <x:c r="J422" s="13" t="n">
        <x:f>IF(OR(G422=0,G422=1),"",(H422-I422)*100)</x:f>
        <x:v>3.7300000000000026</x:v>
      </x:c>
      <x:c r="K422" s="14" t="n">
        <x:v>2.32</x:v>
      </x:c>
      <x:c r="L422" s="15" t="n">
        <x:f>F422*G422</x:f>
        <x:v>1057.0624</x:v>
      </x:c>
      <x:c r="M422" s="15" t="n">
        <x:f>F422-L422</x:f>
        <x:v>3246.9376</x:v>
      </x:c>
      <x:c r="N422" s="17" t="str"/>
      <x:c r="O422" s="17" t="str">
        <x:v>https://sts2log.com/cards</x:v>
      </x:c>
      <x:c r="P422" s="17" t="str">
        <x:v>https://slaythespire2.net/ancient/neow</x:v>
      </x:c>
    </x:row>
    <x:row r="423" ht="25" customHeight="1">
      <x:c r="A423" s="2" t="str">
        <x:v>v0.107</x:v>
      </x:c>
      <x:c r="B423" s="2" t="str">
        <x:v>储君</x:v>
      </x:c>
      <x:c r="C423" s="2" t="str">
        <x:v>涅奥</x:v>
      </x:c>
      <x:c r="D423" s="2" t="str">
        <x:v>卷轴箱</x:v>
      </x:c>
      <x:c r="E423" s="16" t="n">
        <x:f>IF(G423=0,I423,IF(G423=1,H423,G423*H423+(1-G423)*I423))</x:f>
        <x:v>0.22322142</x:v>
      </x:c>
      <x:c r="F423" s="12" t="n">
        <x:v>9302</x:v>
      </x:c>
      <x:c r="G423" s="11" t="n">
        <x:v>0.3054</x:v>
      </x:c>
      <x:c r="H423" s="11" t="n">
        <x:v>0.2144</x:v>
      </x:c>
      <x:c r="I423" s="11" t="n">
        <x:v>0.2271</x:v>
      </x:c>
      <x:c r="J423" s="13" t="n">
        <x:f>IF(OR(G423=0,G423=1),"",(H423-I423)*100)</x:f>
        <x:v>-1.269999999999999</x:v>
      </x:c>
      <x:c r="K423" s="14" t="n">
        <x:v>-1.41</x:v>
      </x:c>
      <x:c r="L423" s="15" t="n">
        <x:f>F423*G423</x:f>
        <x:v>2840.8308</x:v>
      </x:c>
      <x:c r="M423" s="15" t="n">
        <x:f>F423-L423</x:f>
        <x:v>6461.1692</x:v>
      </x:c>
      <x:c r="N423" s="17" t="str"/>
      <x:c r="O423" s="17" t="str">
        <x:v>https://sts2log.com/cards</x:v>
      </x:c>
      <x:c r="P423" s="17" t="str">
        <x:v>https://slaythespire2.net/ancient/neow</x:v>
      </x:c>
    </x:row>
    <x:row r="424" ht="25" customHeight="1">
      <x:c r="A424" s="2" t="str">
        <x:v>v0.107</x:v>
      </x:c>
      <x:c r="B424" s="2" t="str">
        <x:v>储君</x:v>
      </x:c>
      <x:c r="C424" s="2" t="str">
        <x:v>涅奥</x:v>
      </x:c>
      <x:c r="D424" s="2" t="str">
        <x:v>失物盒</x:v>
      </x:c>
      <x:c r="E424" s="16" t="n">
        <x:f>IF(G424=0,I424,IF(G424=1,H424,G424*H424+(1-G424)*I424))</x:f>
        <x:v>0.22316927999999997</x:v>
      </x:c>
      <x:c r="F424" s="12" t="n">
        <x:v>9382</x:v>
      </x:c>
      <x:c r="G424" s="11" t="n">
        <x:v>0.2126</x:v>
      </x:c>
      <x:c r="H424" s="11" t="n">
        <x:v>0.2175</x:v>
      </x:c>
      <x:c r="I424" s="11" t="n">
        <x:v>0.22469999999999998</x:v>
      </x:c>
      <x:c r="J424" s="13" t="n">
        <x:f>IF(OR(G424=0,G424=1),"",(H424-I424)*100)</x:f>
        <x:v>-0.7199999999999984</x:v>
      </x:c>
      <x:c r="K424" s="14" t="n">
        <x:v>-1.1</x:v>
      </x:c>
      <x:c r="L424" s="15" t="n">
        <x:f>F424*G424</x:f>
        <x:v>1994.6132</x:v>
      </x:c>
      <x:c r="M424" s="15" t="n">
        <x:f>F424-L424</x:f>
        <x:v>7387.3868</x:v>
      </x:c>
      <x:c r="N424" s="17" t="str"/>
      <x:c r="O424" s="17" t="str">
        <x:v>https://sts2log.com/cards</x:v>
      </x:c>
      <x:c r="P424" s="17" t="str">
        <x:v>https://slaythespire2.net/ancient/neow</x:v>
      </x:c>
    </x:row>
    <x:row r="425" ht="25" customHeight="1">
      <x:c r="A425" s="2" t="str">
        <x:v>v0.107</x:v>
      </x:c>
      <x:c r="B425" s="2" t="str">
        <x:v>储君</x:v>
      </x:c>
      <x:c r="C425" s="2" t="str">
        <x:v>涅奥</x:v>
      </x:c>
      <x:c r="D425" s="2" t="str">
        <x:v>橙型香盒</x:v>
      </x:c>
      <x:c r="E425" s="16" t="n">
        <x:f>IF(G425=0,I425,IF(G425=1,H425,G425*H425+(1-G425)*I425))</x:f>
        <x:v>0.22251038</x:v>
      </x:c>
      <x:c r="F425" s="12" t="n">
        <x:v>4602</x:v>
      </x:c>
      <x:c r="G425" s="11" t="n">
        <x:v>0.0882</x:v>
      </x:c>
      <x:c r="H425" s="11" t="n">
        <x:v>0.18230000000000002</x:v>
      </x:c>
      <x:c r="I425" s="11" t="n">
        <x:v>0.22640000000000002</x:v>
      </x:c>
      <x:c r="J425" s="13" t="n">
        <x:f>IF(OR(G425=0,G425=1),"",(H425-I425)*100)</x:f>
        <x:v>-4.41</x:v>
      </x:c>
      <x:c r="K425" s="14" t="n">
        <x:v>-4.62</x:v>
      </x:c>
      <x:c r="L425" s="15" t="n">
        <x:f>F425*G425</x:f>
        <x:v>405.8964</x:v>
      </x:c>
      <x:c r="M425" s="15" t="n">
        <x:f>F425-L425</x:f>
        <x:v>4196.1036</x:v>
      </x:c>
      <x:c r="N425" s="17" t="str"/>
      <x:c r="O425" s="17" t="str">
        <x:v>https://sts2log.com/cards</x:v>
      </x:c>
      <x:c r="P425" s="17" t="str">
        <x:v>https://slaythespire2.net/ancient/neow</x:v>
      </x:c>
    </x:row>
    <x:row r="426" ht="25" customHeight="1">
      <x:c r="A426" s="2" t="str">
        <x:v>v0.107</x:v>
      </x:c>
      <x:c r="B426" s="2" t="str">
        <x:v>储君</x:v>
      </x:c>
      <x:c r="C426" s="2" t="str">
        <x:v>涅奥</x:v>
      </x:c>
      <x:c r="D426" s="2" t="str">
        <x:v>钓鱼竿</x:v>
      </x:c>
      <x:c r="E426" s="16" t="n">
        <x:f>IF(G426=0,I426,IF(G426=1,H426,G426*H426+(1-G426)*I426))</x:f>
        <x:v>0.222125</x:v>
      </x:c>
      <x:c r="F426" s="12" t="n">
        <x:v>9292</x:v>
      </x:c>
      <x:c r="G426" s="11" t="n">
        <x:v>0.1795</x:v>
      </x:c>
      <x:c r="H426" s="11" t="n">
        <x:v>0.18109999999999998</x:v>
      </x:c>
      <x:c r="I426" s="11" t="n">
        <x:v>0.2311</x:v>
      </x:c>
      <x:c r="J426" s="13" t="n">
        <x:f>IF(OR(G426=0,G426=1),"",(H426-I426)*100)</x:f>
        <x:v>-5.000000000000002</x:v>
      </x:c>
      <x:c r="K426" s="14" t="n">
        <x:v>-4.74</x:v>
      </x:c>
      <x:c r="L426" s="15" t="n">
        <x:f>F426*G426</x:f>
        <x:v>1667.914</x:v>
      </x:c>
      <x:c r="M426" s="15" t="n">
        <x:f>F426-L426</x:f>
        <x:v>7624.086</x:v>
      </x:c>
      <x:c r="N426" s="17" t="str"/>
      <x:c r="O426" s="17" t="str">
        <x:v>https://sts2log.com/cards</x:v>
      </x:c>
      <x:c r="P426" s="17" t="str">
        <x:v>https://slaythespire2.net/ancient/neow</x:v>
      </x:c>
    </x:row>
    <x:row r="427" ht="25" customHeight="1">
      <x:c r="A427" s="2" t="str">
        <x:v>v0.107</x:v>
      </x:c>
      <x:c r="B427" s="2" t="str">
        <x:v>储君</x:v>
      </x:c>
      <x:c r="C427" s="2" t="str">
        <x:v>涅奥</x:v>
      </x:c>
      <x:c r="D427" s="2" t="str">
        <x:v>白银熔炉</x:v>
      </x:c>
      <x:c r="E427" s="16" t="n">
        <x:f>IF(G427=0,I427,IF(G427=1,H427,G427*H427+(1-G427)*I427))</x:f>
        <x:v>0.22010448</x:v>
      </x:c>
      <x:c r="F427" s="12" t="n">
        <x:v>9660</x:v>
      </x:c>
      <x:c r="G427" s="11" t="n">
        <x:v>0.6984</x:v>
      </x:c>
      <x:c r="H427" s="11" t="n">
        <x:v>0.2268</x:v>
      </x:c>
      <x:c r="I427" s="11" t="n">
        <x:v>0.2046</x:v>
      </x:c>
      <x:c r="J427" s="13" t="n">
        <x:f>IF(OR(G427=0,G427=1),"",(H427-I427)*100)</x:f>
        <x:v>2.2199999999999998</x:v>
      </x:c>
      <x:c r="K427" s="14" t="n">
        <x:v>-0.17</x:v>
      </x:c>
      <x:c r="L427" s="15" t="n">
        <x:f>F427*G427</x:f>
        <x:v>6746.544</x:v>
      </x:c>
      <x:c r="M427" s="15" t="n">
        <x:f>F427-L427</x:f>
        <x:v>2913.456</x:v>
      </x:c>
      <x:c r="N427" s="17" t="str"/>
      <x:c r="O427" s="17" t="str">
        <x:v>https://sts2log.com/cards</x:v>
      </x:c>
      <x:c r="P427" s="17" t="str">
        <x:v>https://slaythespire2.net/ancient/neow</x:v>
      </x:c>
    </x:row>
    <x:row r="428" ht="25" customHeight="1">
      <x:c r="A428" s="2" t="str">
        <x:v>v0.107</x:v>
      </x:c>
      <x:c r="B428" s="2" t="str">
        <x:v>储君</x:v>
      </x:c>
      <x:c r="C428" s="2" t="str">
        <x:v>涅奥</x:v>
      </x:c>
      <x:c r="D428" s="2" t="str">
        <x:v>沉重石板</x:v>
      </x:c>
      <x:c r="E428" s="16" t="n">
        <x:f>IF(G428=0,I428,IF(G428=1,H428,G428*H428+(1-G428)*I428))</x:f>
        <x:v>0.21166317</x:v>
      </x:c>
      <x:c r="F428" s="12" t="n">
        <x:v>8943</x:v>
      </x:c>
      <x:c r="G428" s="11" t="n">
        <x:v>0.5449</x:v>
      </x:c>
      <x:c r="H428" s="11" t="n">
        <x:v>0.1449</x:v>
      </x:c>
      <x:c r="I428" s="11" t="n">
        <x:v>0.2916</x:v>
      </x:c>
      <x:c r="J428" s="13" t="n">
        <x:f>IF(OR(G428=0,G428=1),"",(H428-I428)*100)</x:f>
        <x:v>-14.670000000000002</x:v>
      </x:c>
      <x:c r="K428" s="14" t="n">
        <x:v>-8.36</x:v>
      </x:c>
      <x:c r="L428" s="15" t="n">
        <x:f>F428*G428</x:f>
        <x:v>4873.0407000000005</x:v>
      </x:c>
      <x:c r="M428" s="15" t="n">
        <x:f>F428-L428</x:f>
        <x:v>4069.9592999999995</x:v>
      </x:c>
      <x:c r="N428" s="17" t="str"/>
      <x:c r="O428" s="17" t="str">
        <x:v>https://sts2log.com/cards</x:v>
      </x:c>
      <x:c r="P428" s="17" t="str">
        <x:v>https://slaythespire2.net/ancient/neow</x:v>
      </x:c>
    </x:row>
    <x:row r="429" ht="25" customHeight="1">
      <x:c r="A429" s="2" t="str">
        <x:v>v0.107</x:v>
      </x:c>
      <x:c r="B429" s="2" t="str">
        <x:v>储君</x:v>
      </x:c>
      <x:c r="C429" s="2" t="str">
        <x:v>欧洛巴斯</x:v>
      </x:c>
      <x:c r="D429" s="2" t="str">
        <x:v>放电异虾</x:v>
      </x:c>
      <x:c r="E429" s="16" t="n">
        <x:f>IF(G429=0,I429,IF(G429=1,H429,G429*H429+(1-G429)*I429))</x:f>
        <x:v>0.34460765</x:v>
      </x:c>
      <x:c r="F429" s="12" t="n">
        <x:v>3787</x:v>
      </x:c>
      <x:c r="G429" s="11" t="n">
        <x:v>0.3589</x:v>
      </x:c>
      <x:c r="H429" s="11" t="n">
        <x:v>0.4334</x:v>
      </x:c>
      <x:c r="I429" s="11" t="n">
        <x:v>0.2949</x:v>
      </x:c>
      <x:c r="J429" s="13" t="n">
        <x:f>IF(OR(G429=0,G429=1),"",(H429-I429)*100)</x:f>
        <x:v>13.850000000000001</x:v>
      </x:c>
      <x:c r="K429" s="14" t="n">
        <x:v>20.49</x:v>
      </x:c>
      <x:c r="L429" s="15" t="n">
        <x:f>F429*G429</x:f>
        <x:v>1359.1543</x:v>
      </x:c>
      <x:c r="M429" s="15" t="n">
        <x:f>F429-L429</x:f>
        <x:v>2427.8457</x:v>
      </x:c>
      <x:c r="N429" s="17" t="str"/>
      <x:c r="O429" s="17" t="str">
        <x:v>https://sts2log.com/cards</x:v>
      </x:c>
      <x:c r="P429" s="17" t="str">
        <x:v>https://slaythespire2.net/ancient/orobas</x:v>
      </x:c>
    </x:row>
    <x:row r="430" ht="25" customHeight="1">
      <x:c r="A430" s="2" t="str">
        <x:v>v0.107</x:v>
      </x:c>
      <x:c r="B430" s="2" t="str">
        <x:v>储君</x:v>
      </x:c>
      <x:c r="C430" s="2" t="str">
        <x:v>欧洛巴斯</x:v>
      </x:c>
      <x:c r="D430" s="2" t="str">
        <x:v>发光珍珠</x:v>
      </x:c>
      <x:c r="E430" s="16" t="n">
        <x:f>IF(G430=0,I430,IF(G430=1,H430,G430*H430+(1-G430)*I430))</x:f>
        <x:v>0.34165688</x:v>
      </x:c>
      <x:c r="F430" s="12" t="n">
        <x:v>4177</x:v>
      </x:c>
      <x:c r="G430" s="11" t="n">
        <x:v>0.2552</x:v>
      </x:c>
      <x:c r="H430" s="11" t="n">
        <x:v>0.425</x:v>
      </x:c>
      <x:c r="I430" s="11" t="n">
        <x:v>0.3131</x:v>
      </x:c>
      <x:c r="J430" s="13" t="n">
        <x:f>IF(OR(G430=0,G430=1),"",(H430-I430)*100)</x:f>
        <x:v>11.19</x:v>
      </x:c>
      <x:c r="K430" s="14" t="n">
        <x:v>19.65</x:v>
      </x:c>
      <x:c r="L430" s="15" t="n">
        <x:f>F430*G430</x:f>
        <x:v>1065.9704</x:v>
      </x:c>
      <x:c r="M430" s="15" t="n">
        <x:f>F430-L430</x:f>
        <x:v>3111.0296</x:v>
      </x:c>
      <x:c r="N430" s="17" t="str"/>
      <x:c r="O430" s="17" t="str">
        <x:v>https://sts2log.com/cards</x:v>
      </x:c>
      <x:c r="P430" s="17" t="str">
        <x:v>https://slaythespire2.net/ancient/orobas</x:v>
      </x:c>
    </x:row>
    <x:row r="431" ht="25" customHeight="1">
      <x:c r="A431" s="2" t="str">
        <x:v>v0.107</x:v>
      </x:c>
      <x:c r="B431" s="2" t="str">
        <x:v>储君</x:v>
      </x:c>
      <x:c r="C431" s="2" t="str">
        <x:v>欧洛巴斯</x:v>
      </x:c>
      <x:c r="D431" s="2" t="str">
        <x:v>棱彩宝石</x:v>
      </x:c>
      <x:c r="E431" s="16" t="n">
        <x:f>IF(G431=0,I431,IF(G431=1,H431,G431*H431+(1-G431)*I431))</x:f>
        <x:v>0.33359808</x:v>
      </x:c>
      <x:c r="F431" s="12" t="n">
        <x:v>1214</x:v>
      </x:c>
      <x:c r="G431" s="11" t="n">
        <x:v>0.4226</x:v>
      </x:c>
      <x:c r="H431" s="11" t="n">
        <x:v>0.3918</x:v>
      </x:c>
      <x:c r="I431" s="11" t="n">
        <x:v>0.29100000000000004</x:v>
      </x:c>
      <x:c r="J431" s="13" t="n">
        <x:f>IF(OR(G431=0,G431=1),"",(H431-I431)*100)</x:f>
        <x:v>10.079999999999995</x:v>
      </x:c>
      <x:c r="K431" s="14" t="n">
        <x:v>16.33</x:v>
      </x:c>
      <x:c r="L431" s="15" t="n">
        <x:f>F431*G431</x:f>
        <x:v>513.0364</x:v>
      </x:c>
      <x:c r="M431" s="15" t="n">
        <x:f>F431-L431</x:f>
        <x:v>700.9636</x:v>
      </x:c>
      <x:c r="N431" s="17" t="str"/>
      <x:c r="O431" s="17" t="str">
        <x:v>https://sts2log.com/cards</x:v>
      </x:c>
      <x:c r="P431" s="17" t="str">
        <x:v>https://slaythespire2.net/ancient/orobas</x:v>
      </x:c>
    </x:row>
    <x:row r="432" ht="25" customHeight="1">
      <x:c r="A432" s="2" t="str">
        <x:v>v0.107</x:v>
      </x:c>
      <x:c r="B432" s="2" t="str">
        <x:v>储君</x:v>
      </x:c>
      <x:c r="C432" s="2" t="str">
        <x:v>欧洛巴斯</x:v>
      </x:c>
      <x:c r="D432" s="2" t="str">
        <x:v>古老牙齿</x:v>
      </x:c>
      <x:c r="E432" s="16" t="n">
        <x:f>IF(G432=0,I432,IF(G432=1,H432,G432*H432+(1-G432)*I432))</x:f>
        <x:v>0.32722231</x:v>
      </x:c>
      <x:c r="F432" s="12" t="n">
        <x:v>6360</x:v>
      </x:c>
      <x:c r="G432" s="11" t="n">
        <x:v>0.6053000000000001</x:v>
      </x:c>
      <x:c r="H432" s="11" t="n">
        <x:v>0.3125</x:v>
      </x:c>
      <x:c r="I432" s="11" t="n">
        <x:v>0.34979999999999994</x:v>
      </x:c>
      <x:c r="J432" s="13" t="n">
        <x:f>IF(OR(G432=0,G432=1),"",(H432-I432)*100)</x:f>
        <x:v>-3.729999999999994</x:v>
      </x:c>
      <x:c r="K432" s="14" t="n">
        <x:v>8.4</x:v>
      </x:c>
      <x:c r="L432" s="15" t="n">
        <x:f>F432*G432</x:f>
        <x:v>3849.7080000000005</x:v>
      </x:c>
      <x:c r="M432" s="15" t="n">
        <x:f>F432-L432</x:f>
        <x:v>2510.2919999999995</x:v>
      </x:c>
      <x:c r="N432" s="17" t="str"/>
      <x:c r="O432" s="17" t="str">
        <x:v>https://sts2log.com/cards</x:v>
      </x:c>
      <x:c r="P432" s="17" t="str">
        <x:v>https://slaythespire2.net/ancient/orobas</x:v>
      </x:c>
    </x:row>
    <x:row r="433" ht="25" customHeight="1">
      <x:c r="A433" s="2" t="str">
        <x:v>v0.107</x:v>
      </x:c>
      <x:c r="B433" s="2" t="str">
        <x:v>储君</x:v>
      </x:c>
      <x:c r="C433" s="2" t="str">
        <x:v>欧洛巴斯</x:v>
      </x:c>
      <x:c r="D433" s="2" t="str">
        <x:v>炼金箱</x:v>
      </x:c>
      <x:c r="E433" s="16" t="n">
        <x:f>IF(G433=0,I433,IF(G433=1,H433,G433*H433+(1-G433)*I433))</x:f>
        <x:v>0.32390858999999994</x:v>
      </x:c>
      <x:c r="F433" s="12" t="n">
        <x:v>4118</x:v>
      </x:c>
      <x:c r="G433" s="11" t="n">
        <x:v>0.22510000000000002</x:v>
      </x:c>
      <x:c r="H433" s="11" t="n">
        <x:v>0.3711</x:v>
      </x:c>
      <x:c r="I433" s="11" t="n">
        <x:v>0.3102</x:v>
      </x:c>
      <x:c r="J433" s="13" t="n">
        <x:f>IF(OR(G433=0,G433=1),"",(H433-I433)*100)</x:f>
        <x:v>6.090000000000001</x:v>
      </x:c>
      <x:c r="K433" s="14" t="n">
        <x:v>14.26</x:v>
      </x:c>
      <x:c r="L433" s="15" t="n">
        <x:f>F433*G433</x:f>
        <x:v>926.9618</x:v>
      </x:c>
      <x:c r="M433" s="15" t="n">
        <x:f>F433-L433</x:f>
        <x:v>3191.0382</x:v>
      </x:c>
      <x:c r="N433" s="17" t="str"/>
      <x:c r="O433" s="17" t="str">
        <x:v>https://sts2log.com/cards</x:v>
      </x:c>
      <x:c r="P433" s="17" t="str">
        <x:v>https://slaythespire2.net/ancient/orobas</x:v>
      </x:c>
    </x:row>
    <x:row r="434" ht="25" customHeight="1">
      <x:c r="A434" s="2" t="str">
        <x:v>v0.107</x:v>
      </x:c>
      <x:c r="B434" s="2" t="str">
        <x:v>储君</x:v>
      </x:c>
      <x:c r="C434" s="2" t="str">
        <x:v>欧洛巴斯</x:v>
      </x:c>
      <x:c r="D434" s="2" t="str">
        <x:v>欧洛巴斯之触</x:v>
      </x:c>
      <x:c r="E434" s="16" t="n">
        <x:f>IF(G434=0,I434,IF(G434=1,H434,G434*H434+(1-G434)*I434))</x:f>
        <x:v>0.31693152999999996</x:v>
      </x:c>
      <x:c r="F434" s="12" t="n">
        <x:v>6049</x:v>
      </x:c>
      <x:c r="G434" s="11" t="n">
        <x:v>0.23989999999999997</x:v>
      </x:c>
      <x:c r="H434" s="11" t="n">
        <x:v>0.2901</x:v>
      </x:c>
      <x:c r="I434" s="11" t="n">
        <x:v>0.32539999999999997</x:v>
      </x:c>
      <x:c r="J434" s="13" t="n">
        <x:f>IF(OR(G434=0,G434=1),"",(H434-I434)*100)</x:f>
        <x:v>-3.529999999999994</x:v>
      </x:c>
      <x:c r="K434" s="14" t="n">
        <x:v>6.16</x:v>
      </x:c>
      <x:c r="L434" s="15" t="n">
        <x:f>F434*G434</x:f>
        <x:v>1451.1551</x:v>
      </x:c>
      <x:c r="M434" s="15" t="n">
        <x:f>F434-L434</x:f>
        <x:v>4597.8449</x:v>
      </x:c>
      <x:c r="N434" s="17" t="str"/>
      <x:c r="O434" s="17" t="str">
        <x:v>https://sts2log.com/cards</x:v>
      </x:c>
      <x:c r="P434" s="17" t="str">
        <x:v>https://slaythespire2.net/ancient/orobas</x:v>
      </x:c>
    </x:row>
    <x:row r="435" ht="25" customHeight="1">
      <x:c r="A435" s="2" t="str">
        <x:v>v0.107</x:v>
      </x:c>
      <x:c r="B435" s="2" t="str">
        <x:v>储君</x:v>
      </x:c>
      <x:c r="C435" s="2" t="str">
        <x:v>欧洛巴斯</x:v>
      </x:c>
      <x:c r="D435" s="2" t="str">
        <x:v>玻璃眼珠</x:v>
      </x:c>
      <x:c r="E435" s="16" t="n">
        <x:f>IF(G435=0,I435,IF(G435=1,H435,G435*H435+(1-G435)*I435))</x:f>
        <x:v>0.31370570000000003</x:v>
      </x:c>
      <x:c r="F435" s="12" t="n">
        <x:v>3672</x:v>
      </x:c>
      <x:c r="G435" s="11" t="n">
        <x:v>0.40549999999999997</x:v>
      </x:c>
      <x:c r="H435" s="11" t="n">
        <x:v>0.2646</x:v>
      </x:c>
      <x:c r="I435" s="11" t="n">
        <x:v>0.3472</x:v>
      </x:c>
      <x:c r="J435" s="13" t="n">
        <x:f>IF(OR(G435=0,G435=1),"",(H435-I435)*100)</x:f>
        <x:v>-8.260000000000002</x:v>
      </x:c>
      <x:c r="K435" s="14" t="n">
        <x:v>3.61</x:v>
      </x:c>
      <x:c r="L435" s="15" t="n">
        <x:f>F435*G435</x:f>
        <x:v>1488.9959999999999</x:v>
      </x:c>
      <x:c r="M435" s="15" t="n">
        <x:f>F435-L435</x:f>
        <x:v>2183.004</x:v>
      </x:c>
      <x:c r="N435" s="17" t="str"/>
      <x:c r="O435" s="17" t="str">
        <x:v>https://sts2log.com/cards</x:v>
      </x:c>
      <x:c r="P435" s="17" t="str">
        <x:v>https://slaythespire2.net/ancient/orobas</x:v>
      </x:c>
    </x:row>
    <x:row r="436" ht="25" customHeight="1">
      <x:c r="A436" s="2" t="str">
        <x:v>v0.107</x:v>
      </x:c>
      <x:c r="B436" s="2" t="str">
        <x:v>储君</x:v>
      </x:c>
      <x:c r="C436" s="2" t="str">
        <x:v>欧洛巴斯</x:v>
      </x:c>
      <x:c r="D436" s="2" t="str">
        <x:v>沙堡</x:v>
      </x:c>
      <x:c r="E436" s="16" t="n">
        <x:f>IF(G436=0,I436,IF(G436=1,H436,G436*H436+(1-G436)*I436))</x:f>
        <x:v>0.3045166000000001</x:v>
      </x:c>
      <x:c r="F436" s="12" t="n">
        <x:v>3737</x:v>
      </x:c>
      <x:c r="G436" s="11" t="n">
        <x:v>0.2465</x:v>
      </x:c>
      <x:c r="H436" s="11" t="n">
        <x:v>0.19329999999999997</x:v>
      </x:c>
      <x:c r="I436" s="11" t="n">
        <x:v>0.34090000000000004</x:v>
      </x:c>
      <x:c r="J436" s="13" t="n">
        <x:f>IF(OR(G436=0,G436=1),"",(H436-I436)*100)</x:f>
        <x:v>-14.760000000000007</x:v>
      </x:c>
      <x:c r="K436" s="14" t="n">
        <x:v>-3.52</x:v>
      </x:c>
      <x:c r="L436" s="15" t="n">
        <x:f>F436*G436</x:f>
        <x:v>921.1705</x:v>
      </x:c>
      <x:c r="M436" s="15" t="n">
        <x:f>F436-L436</x:f>
        <x:v>2815.8295</x:v>
      </x:c>
      <x:c r="N436" s="17" t="str"/>
      <x:c r="O436" s="17" t="str">
        <x:v>https://sts2log.com/cards</x:v>
      </x:c>
      <x:c r="P436" s="17" t="str">
        <x:v>https://slaythespire2.net/ancient/orobas</x:v>
      </x:c>
    </x:row>
    <x:row r="437" ht="25" customHeight="1">
      <x:c r="A437" s="2" t="str">
        <x:v>v0.107</x:v>
      </x:c>
      <x:c r="B437" s="2" t="str">
        <x:v>储君</x:v>
      </x:c>
      <x:c r="C437" s="2" t="str">
        <x:v>欧洛巴斯</x:v>
      </x:c>
      <x:c r="D437" s="2" t="str">
        <x:v>浮木</x:v>
      </x:c>
      <x:c r="E437" s="16" t="n">
        <x:f>IF(G437=0,I437,IF(G437=1,H437,G437*H437+(1-G437)*I437))</x:f>
        <x:v>0.3004955</x:v>
      </x:c>
      <x:c r="F437" s="12" t="n">
        <x:v>4110</x:v>
      </x:c>
      <x:c r="G437" s="11" t="n">
        <x:v>0.20190000000000002</x:v>
      </x:c>
      <x:c r="H437" s="11" t="n">
        <x:v>0.2566</x:v>
      </x:c>
      <x:c r="I437" s="11" t="n">
        <x:v>0.3116</x:v>
      </x:c>
      <x:c r="J437" s="13" t="n">
        <x:f>IF(OR(G437=0,G437=1),"",(H437-I437)*100)</x:f>
        <x:v>-5.499999999999999</x:v>
      </x:c>
      <x:c r="K437" s="14" t="n">
        <x:v>2.81</x:v>
      </x:c>
      <x:c r="L437" s="15" t="n">
        <x:f>F437*G437</x:f>
        <x:v>829.8090000000001</x:v>
      </x:c>
      <x:c r="M437" s="15" t="n">
        <x:f>F437-L437</x:f>
        <x:v>3280.191</x:v>
      </x:c>
      <x:c r="N437" s="17" t="str"/>
      <x:c r="O437" s="17" t="str">
        <x:v>https://sts2log.com/cards</x:v>
      </x:c>
      <x:c r="P437" s="17" t="str">
        <x:v>https://slaythespire2.net/ancient/orobas</x:v>
      </x:c>
    </x:row>
    <x:row r="438" ht="25" customHeight="1">
      <x:c r="A438" s="2" t="str">
        <x:v>v0.107</x:v>
      </x:c>
      <x:c r="B438" s="2" t="str">
        <x:v>储君</x:v>
      </x:c>
      <x:c r="C438" s="2" t="str">
        <x:v>佩尔</x:v>
      </x:c>
      <x:c r="D438" s="2" t="str">
        <x:v>佩尔之血</x:v>
      </x:c>
      <x:c r="E438" s="16" t="n">
        <x:f>IF(G438=0,I438,IF(G438=1,H438,G438*H438+(1-G438)*I438))</x:f>
        <x:v>0.36082052</x:v>
      </x:c>
      <x:c r="F438" s="12" t="n">
        <x:v>5052</x:v>
      </x:c>
      <x:c r="G438" s="11" t="n">
        <x:v>0.5267000000000001</x:v>
      </x:c>
      <x:c r="H438" s="11" t="n">
        <x:v>0.425</x:v>
      </x:c>
      <x:c r="I438" s="11" t="n">
        <x:v>0.2894</x:v>
      </x:c>
      <x:c r="J438" s="13" t="n">
        <x:f>IF(OR(G438=0,G438=1),"",(H438-I438)*100)</x:f>
        <x:v>13.56</x:v>
      </x:c>
      <x:c r="K438" s="14" t="n">
        <x:v>19.65</x:v>
      </x:c>
      <x:c r="L438" s="15" t="n">
        <x:f>F438*G438</x:f>
        <x:v>2660.8884000000003</x:v>
      </x:c>
      <x:c r="M438" s="15" t="n">
        <x:f>F438-L438</x:f>
        <x:v>2391.1115999999997</x:v>
      </x:c>
      <x:c r="N438" s="17" t="str"/>
      <x:c r="O438" s="17" t="str">
        <x:v>https://sts2log.com/cards</x:v>
      </x:c>
      <x:c r="P438" s="17" t="str">
        <x:v>https://slaythespire2.net/ancient/pael</x:v>
      </x:c>
    </x:row>
    <x:row r="439" ht="25" customHeight="1">
      <x:c r="A439" s="2" t="str">
        <x:v>v0.107</x:v>
      </x:c>
      <x:c r="B439" s="2" t="str">
        <x:v>储君</x:v>
      </x:c>
      <x:c r="C439" s="2" t="str">
        <x:v>佩尔</x:v>
      </x:c>
      <x:c r="D439" s="2" t="str">
        <x:v>佩尔的士兵</x:v>
      </x:c>
      <x:c r="E439" s="16" t="n">
        <x:f>IF(G439=0,I439,IF(G439=1,H439,G439*H439+(1-G439)*I439))</x:f>
        <x:v>0.3540544</x:v>
      </x:c>
      <x:c r="F439" s="12" t="n">
        <x:v>4991</x:v>
      </x:c>
      <x:c r="G439" s="11" t="n">
        <x:v>0.4987</x:v>
      </x:c>
      <x:c r="H439" s="11" t="n">
        <x:v>0.4102</x:v>
      </x:c>
      <x:c r="I439" s="11" t="n">
        <x:v>0.2982</x:v>
      </x:c>
      <x:c r="J439" s="13" t="n">
        <x:f>IF(OR(G439=0,G439=1),"",(H439-I439)*100)</x:f>
        <x:v>11.2</x:v>
      </x:c>
      <x:c r="K439" s="14" t="n">
        <x:v>18.17</x:v>
      </x:c>
      <x:c r="L439" s="15" t="n">
        <x:f>F439*G439</x:f>
        <x:v>2489.0117</x:v>
      </x:c>
      <x:c r="M439" s="15" t="n">
        <x:f>F439-L439</x:f>
        <x:v>2501.9883</x:v>
      </x:c>
      <x:c r="N439" s="17" t="str"/>
      <x:c r="O439" s="17" t="str">
        <x:v>https://sts2log.com/cards</x:v>
      </x:c>
      <x:c r="P439" s="17" t="str">
        <x:v>https://slaythespire2.net/ancient/pael</x:v>
      </x:c>
    </x:row>
    <x:row r="440" ht="25" customHeight="1">
      <x:c r="A440" s="2" t="str">
        <x:v>v0.107</x:v>
      </x:c>
      <x:c r="B440" s="2" t="str">
        <x:v>储君</x:v>
      </x:c>
      <x:c r="C440" s="2" t="str">
        <x:v>佩尔</x:v>
      </x:c>
      <x:c r="D440" s="2" t="str">
        <x:v>佩尔之爪</x:v>
      </x:c>
      <x:c r="E440" s="16" t="n">
        <x:f>IF(G440=0,I440,IF(G440=1,H440,G440*H440+(1-G440)*I440))</x:f>
        <x:v>0.34516102</x:v>
      </x:c>
      <x:c r="F440" s="12" t="n">
        <x:v>4123</x:v>
      </x:c>
      <x:c r="G440" s="11" t="n">
        <x:v>0.2214</x:v>
      </x:c>
      <x:c r="H440" s="11" t="n">
        <x:v>0.2979</x:v>
      </x:c>
      <x:c r="I440" s="11" t="n">
        <x:v>0.3586</x:v>
      </x:c>
      <x:c r="J440" s="13" t="n">
        <x:f>IF(OR(G440=0,G440=1),"",(H440-I440)*100)</x:f>
        <x:v>-6.069999999999998</x:v>
      </x:c>
      <x:c r="K440" s="14" t="n">
        <x:v>6.94</x:v>
      </x:c>
      <x:c r="L440" s="15" t="n">
        <x:f>F440*G440</x:f>
        <x:v>912.8322000000001</x:v>
      </x:c>
      <x:c r="M440" s="15" t="n">
        <x:f>F440-L440</x:f>
        <x:v>3210.1678</x:v>
      </x:c>
      <x:c r="N440" s="17" t="str"/>
      <x:c r="O440" s="17" t="str">
        <x:v>https://sts2log.com/cards</x:v>
      </x:c>
      <x:c r="P440" s="17" t="str">
        <x:v>https://slaythespire2.net/ancient/pael</x:v>
      </x:c>
    </x:row>
    <x:row r="441" ht="25" customHeight="1">
      <x:c r="A441" s="2" t="str">
        <x:v>v0.107</x:v>
      </x:c>
      <x:c r="B441" s="2" t="str">
        <x:v>储君</x:v>
      </x:c>
      <x:c r="C441" s="2" t="str">
        <x:v>佩尔</x:v>
      </x:c>
      <x:c r="D441" s="2" t="str">
        <x:v>佩尔的增生组织</x:v>
      </x:c>
      <x:c r="E441" s="16" t="n">
        <x:f>IF(G441=0,I441,IF(G441=1,H441,G441*H441+(1-G441)*I441))</x:f>
        <x:v>0.34338378</x:v>
      </x:c>
      <x:c r="F441" s="12" t="n">
        <x:v>2196</x:v>
      </x:c>
      <x:c r="G441" s="11" t="n">
        <x:v>0.2746</x:v>
      </x:c>
      <x:c r="H441" s="11" t="n">
        <x:v>0.3864</x:v>
      </x:c>
      <x:c r="I441" s="11" t="n">
        <x:v>0.3271</x:v>
      </x:c>
      <x:c r="J441" s="13" t="n">
        <x:f>IF(OR(G441=0,G441=1),"",(H441-I441)*100)</x:f>
        <x:v>5.9300000000000015</x:v>
      </x:c>
      <x:c r="K441" s="14" t="n">
        <x:v>15.79</x:v>
      </x:c>
      <x:c r="L441" s="15" t="n">
        <x:f>F441*G441</x:f>
        <x:v>603.0216</x:v>
      </x:c>
      <x:c r="M441" s="15" t="n">
        <x:f>F441-L441</x:f>
        <x:v>1592.9784</x:v>
      </x:c>
      <x:c r="N441" s="17" t="str"/>
      <x:c r="O441" s="17" t="str">
        <x:v>https://sts2log.com/cards</x:v>
      </x:c>
      <x:c r="P441" s="17" t="str">
        <x:v>https://slaythespire2.net/ancient/pael</x:v>
      </x:c>
    </x:row>
    <x:row r="442" ht="25" customHeight="1">
      <x:c r="A442" s="2" t="str">
        <x:v>v0.107</x:v>
      </x:c>
      <x:c r="B442" s="2" t="str">
        <x:v>储君</x:v>
      </x:c>
      <x:c r="C442" s="2" t="str">
        <x:v>佩尔</x:v>
      </x:c>
      <x:c r="D442" s="2" t="str">
        <x:v>佩尔之泪</x:v>
      </x:c>
      <x:c r="E442" s="16" t="n">
        <x:f>IF(G442=0,I442,IF(G442=1,H442,G442*H442+(1-G442)*I442))</x:f>
        <x:v>0.3387</x:v>
      </x:c>
      <x:c r="F442" s="12" t="n">
        <x:v>5081</x:v>
      </x:c>
      <x:c r="G442" s="11" t="n">
        <x:v>0.4416</x:v>
      </x:c>
      <x:c r="H442" s="11" t="n">
        <x:v>0.3387</x:v>
      </x:c>
      <x:c r="I442" s="11" t="n">
        <x:v>0.3387</x:v>
      </x:c>
      <x:c r="J442" s="13" t="n">
        <x:f>IF(OR(G442=0,G442=1),"",(H442-I442)*100)</x:f>
        <x:v>0</x:v>
      </x:c>
      <x:c r="K442" s="14" t="n">
        <x:v>11.02</x:v>
      </x:c>
      <x:c r="L442" s="15" t="n">
        <x:f>F442*G442</x:f>
        <x:v>2243.7696</x:v>
      </x:c>
      <x:c r="M442" s="15" t="n">
        <x:f>F442-L442</x:f>
        <x:v>2837.2304</x:v>
      </x:c>
      <x:c r="N442" s="17" t="str"/>
      <x:c r="O442" s="17" t="str">
        <x:v>https://sts2log.com/cards</x:v>
      </x:c>
      <x:c r="P442" s="17" t="str">
        <x:v>https://slaythespire2.net/ancient/pael</x:v>
      </x:c>
    </x:row>
    <x:row r="443" ht="25" customHeight="1">
      <x:c r="A443" s="2" t="str">
        <x:v>v0.107</x:v>
      </x:c>
      <x:c r="B443" s="2" t="str">
        <x:v>储君</x:v>
      </x:c>
      <x:c r="C443" s="2" t="str">
        <x:v>佩尔</x:v>
      </x:c>
      <x:c r="D443" s="2" t="str">
        <x:v>佩尔之牙</x:v>
      </x:c>
      <x:c r="E443" s="16" t="n">
        <x:f>IF(G443=0,I443,IF(G443=1,H443,G443*H443+(1-G443)*I443))</x:f>
        <x:v>0.3351207</x:v>
      </x:c>
      <x:c r="F443" s="12" t="n">
        <x:v>4395</x:v>
      </x:c>
      <x:c r="G443" s="11" t="n">
        <x:v>0.1322</x:v>
      </x:c>
      <x:c r="H443" s="11" t="n">
        <x:v>0.2427</x:v>
      </x:c>
      <x:c r="I443" s="11" t="n">
        <x:v>0.3492</x:v>
      </x:c>
      <x:c r="J443" s="13" t="n">
        <x:f>IF(OR(G443=0,G443=1),"",(H443-I443)*100)</x:f>
        <x:v>-10.65</x:v>
      </x:c>
      <x:c r="K443" s="14" t="n">
        <x:v>1.42</x:v>
      </x:c>
      <x:c r="L443" s="15" t="n">
        <x:f>F443*G443</x:f>
        <x:v>581.019</x:v>
      </x:c>
      <x:c r="M443" s="15" t="n">
        <x:f>F443-L443</x:f>
        <x:v>3813.9809999999998</x:v>
      </x:c>
      <x:c r="N443" s="17" t="str"/>
      <x:c r="O443" s="17" t="str">
        <x:v>https://sts2log.com/cards</x:v>
      </x:c>
      <x:c r="P443" s="17" t="str">
        <x:v>https://slaythespire2.net/ancient/pael</x:v>
      </x:c>
    </x:row>
    <x:row r="444" ht="25" customHeight="1">
      <x:c r="A444" s="2" t="str">
        <x:v>v0.107</x:v>
      </x:c>
      <x:c r="B444" s="2" t="str">
        <x:v>储君</x:v>
      </x:c>
      <x:c r="C444" s="2" t="str">
        <x:v>佩尔</x:v>
      </x:c>
      <x:c r="D444" s="2" t="str">
        <x:v>佩尔之角</x:v>
      </x:c>
      <x:c r="E444" s="16" t="n">
        <x:f>IF(G444=0,I444,IF(G444=1,H444,G444*H444+(1-G444)*I444))</x:f>
        <x:v>0.33255472</x:v>
      </x:c>
      <x:c r="F444" s="12" t="n">
        <x:v>4973</x:v>
      </x:c>
      <x:c r="G444" s="11" t="n">
        <x:v>0.11259999999999999</x:v>
      </x:c>
      <x:c r="H444" s="11" t="n">
        <x:v>0.2857</x:v>
      </x:c>
      <x:c r="I444" s="11" t="n">
        <x:v>0.3385</x:v>
      </x:c>
      <x:c r="J444" s="13" t="n">
        <x:f>IF(OR(G444=0,G444=1),"",(H444-I444)*100)</x:f>
        <x:v>-5.280000000000001</x:v>
      </x:c>
      <x:c r="K444" s="14" t="n">
        <x:v>5.72</x:v>
      </x:c>
      <x:c r="L444" s="15" t="n">
        <x:f>F444*G444</x:f>
        <x:v>559.9598</x:v>
      </x:c>
      <x:c r="M444" s="15" t="n">
        <x:f>F444-L444</x:f>
        <x:v>4413.0402</x:v>
      </x:c>
      <x:c r="N444" s="17" t="str"/>
      <x:c r="O444" s="17" t="str">
        <x:v>https://sts2log.com/cards</x:v>
      </x:c>
      <x:c r="P444" s="17" t="str">
        <x:v>https://slaythespire2.net/ancient/pael</x:v>
      </x:c>
    </x:row>
    <x:row r="445" ht="25" customHeight="1">
      <x:c r="A445" s="2" t="str">
        <x:v>v0.107</x:v>
      </x:c>
      <x:c r="B445" s="2" t="str">
        <x:v>储君</x:v>
      </x:c>
      <x:c r="C445" s="2" t="str">
        <x:v>佩尔</x:v>
      </x:c>
      <x:c r="D445" s="2" t="str">
        <x:v>佩尔之肉</x:v>
      </x:c>
      <x:c r="E445" s="16" t="n">
        <x:f>IF(G445=0,I445,IF(G445=1,H445,G445*H445+(1-G445)*I445))</x:f>
        <x:v>0.33099494000000007</x:v>
      </x:c>
      <x:c r="F445" s="12" t="n">
        <x:v>5009</x:v>
      </x:c>
      <x:c r="G445" s="11" t="n">
        <x:v>0.4458</x:v>
      </x:c>
      <x:c r="H445" s="11" t="n">
        <x:v>0.28350000000000003</x:v>
      </x:c>
      <x:c r="I445" s="11" t="n">
        <x:v>0.36920000000000003</x:v>
      </x:c>
      <x:c r="J445" s="13" t="n">
        <x:f>IF(OR(G445=0,G445=1),"",(H445-I445)*100)</x:f>
        <x:v>-8.57</x:v>
      </x:c>
      <x:c r="K445" s="14" t="n">
        <x:v>5.5</x:v>
      </x:c>
      <x:c r="L445" s="15" t="n">
        <x:f>F445*G445</x:f>
        <x:v>2233.0121999999997</x:v>
      </x:c>
      <x:c r="M445" s="15" t="n">
        <x:f>F445-L445</x:f>
        <x:v>2775.9878000000003</x:v>
      </x:c>
      <x:c r="N445" s="17" t="str"/>
      <x:c r="O445" s="17" t="str">
        <x:v>https://sts2log.com/cards</x:v>
      </x:c>
      <x:c r="P445" s="17" t="str">
        <x:v>https://slaythespire2.net/ancient/pael</x:v>
      </x:c>
    </x:row>
    <x:row r="446" ht="25" customHeight="1">
      <x:c r="A446" s="2" t="str">
        <x:v>v0.107</x:v>
      </x:c>
      <x:c r="B446" s="2" t="str">
        <x:v>储君</x:v>
      </x:c>
      <x:c r="C446" s="2" t="str">
        <x:v>佩尔</x:v>
      </x:c>
      <x:c r="D446" s="2" t="str">
        <x:v>佩尔之翼</x:v>
      </x:c>
      <x:c r="E446" s="16" t="n">
        <x:f>IF(G446=0,I446,IF(G446=1,H446,G446*H446+(1-G446)*I446))</x:f>
        <x:v>0.31897640000000005</x:v>
      </x:c>
      <x:c r="F446" s="12" t="n">
        <x:v>4380</x:v>
      </x:c>
      <x:c r="G446" s="11" t="n">
        <x:v>0.358</x:v>
      </x:c>
      <x:c r="H446" s="11" t="n">
        <x:v>0.22640000000000002</x:v>
      </x:c>
      <x:c r="I446" s="11" t="n">
        <x:v>0.37060000000000004</x:v>
      </x:c>
      <x:c r="J446" s="13" t="n">
        <x:f>IF(OR(G446=0,G446=1),"",(H446-I446)*100)</x:f>
        <x:v>-14.420000000000002</x:v>
      </x:c>
      <x:c r="K446" s="14" t="n">
        <x:v>-0.21</x:v>
      </x:c>
      <x:c r="L446" s="15" t="n">
        <x:f>F446*G446</x:f>
        <x:v>1568.04</x:v>
      </x:c>
      <x:c r="M446" s="15" t="n">
        <x:f>F446-L446</x:f>
        <x:v>2811.96</x:v>
      </x:c>
      <x:c r="N446" s="17" t="str"/>
      <x:c r="O446" s="17" t="str">
        <x:v>https://sts2log.com/cards</x:v>
      </x:c>
      <x:c r="P446" s="17" t="str">
        <x:v>https://slaythespire2.net/ancient/pael</x:v>
      </x:c>
    </x:row>
    <x:row r="447" ht="25" customHeight="1">
      <x:c r="A447" s="2" t="str">
        <x:v>v0.107</x:v>
      </x:c>
      <x:c r="B447" s="2" t="str">
        <x:v>储君</x:v>
      </x:c>
      <x:c r="C447" s="2" t="str">
        <x:v>佩尔</x:v>
      </x:c>
      <x:c r="D447" s="2" t="str">
        <x:v>佩尔之眼</x:v>
      </x:c>
      <x:c r="E447" s="16" t="n">
        <x:f>IF(G447=0,I447,IF(G447=1,H447,G447*H447+(1-G447)*I447))</x:f>
        <x:v>0.28786708</x:v>
      </x:c>
      <x:c r="F447" s="12" t="n">
        <x:v>5027</x:v>
      </x:c>
      <x:c r="G447" s="11" t="n">
        <x:v>0.2339</x:v>
      </x:c>
      <x:c r="H447" s="11" t="n">
        <x:v>0.2704</x:v>
      </x:c>
      <x:c r="I447" s="11" t="n">
        <x:v>0.2932</x:v>
      </x:c>
      <x:c r="J447" s="13" t="n">
        <x:f>IF(OR(G447=0,G447=1),"",(H447-I447)*100)</x:f>
        <x:v>-2.2800000000000042</x:v>
      </x:c>
      <x:c r="K447" s="14" t="n">
        <x:v>4.19</x:v>
      </x:c>
      <x:c r="L447" s="15" t="n">
        <x:f>F447*G447</x:f>
        <x:v>1175.8153</x:v>
      </x:c>
      <x:c r="M447" s="15" t="n">
        <x:f>F447-L447</x:f>
        <x:v>3851.1847</x:v>
      </x:c>
      <x:c r="N447" s="17" t="str"/>
      <x:c r="O447" s="17" t="str">
        <x:v>https://sts2log.com/cards</x:v>
      </x:c>
      <x:c r="P447" s="17" t="str">
        <x:v>https://slaythespire2.net/ancient/pael</x:v>
      </x:c>
    </x:row>
    <x:row r="448" ht="25" customHeight="1">
      <x:c r="A448" s="2" t="str">
        <x:v>v0.107</x:v>
      </x:c>
      <x:c r="B448" s="2" t="str">
        <x:v>储君</x:v>
      </x:c>
      <x:c r="C448" s="2" t="str">
        <x:v>特兹卡塔拉</x:v>
      </x:c>
      <x:c r="D448" s="2" t="str">
        <x:v>故事书</x:v>
      </x:c>
      <x:c r="E448" s="16" t="n">
        <x:f>IF(G448=0,I448,IF(G448=1,H448,G448*H448+(1-G448)*I448))</x:f>
        <x:v>0.36578974</x:v>
      </x:c>
      <x:c r="F448" s="12" t="n">
        <x:v>5060</x:v>
      </x:c>
      <x:c r="G448" s="11" t="n">
        <x:v>0.7021999999999999</x:v>
      </x:c>
      <x:c r="H448" s="11" t="n">
        <x:v>0.4199</x:v>
      </x:c>
      <x:c r="I448" s="11" t="n">
        <x:v>0.2382</x:v>
      </x:c>
      <x:c r="J448" s="13" t="n">
        <x:f>IF(OR(G448=0,G448=1),"",(H448-I448)*100)</x:f>
        <x:v>18.17</x:v>
      </x:c>
      <x:c r="K448" s="14" t="n">
        <x:v>19.14</x:v>
      </x:c>
      <x:c r="L448" s="15" t="n">
        <x:f>F448*G448</x:f>
        <x:v>3553.1319999999996</x:v>
      </x:c>
      <x:c r="M448" s="15" t="n">
        <x:f>F448-L448</x:f>
        <x:v>1506.8680000000004</x:v>
      </x:c>
      <x:c r="N448" s="17" t="str"/>
      <x:c r="O448" s="17" t="str">
        <x:v>https://sts2log.com/cards</x:v>
      </x:c>
      <x:c r="P448" s="17" t="str">
        <x:v>https://slaythespire2.net/ancient/tezcatara</x:v>
      </x:c>
    </x:row>
    <x:row r="449" ht="25" customHeight="1">
      <x:c r="A449" s="2" t="str">
        <x:v>v0.107</x:v>
      </x:c>
      <x:c r="B449" s="2" t="str">
        <x:v>储君</x:v>
      </x:c>
      <x:c r="C449" s="2" t="str">
        <x:v>特兹卡塔拉</x:v>
      </x:c>
      <x:c r="D449" s="2" t="str">
        <x:v>黄金罗盘</x:v>
      </x:c>
      <x:c r="E449" s="16" t="n">
        <x:f>IF(G449=0,I449,IF(G449=1,H449,G449*H449+(1-G449)*I449))</x:f>
        <x:v>0.35847724000000003</x:v>
      </x:c>
      <x:c r="F449" s="12" t="n">
        <x:v>4101</x:v>
      </x:c>
      <x:c r="G449" s="11" t="n">
        <x:v>0.29719999999999996</x:v>
      </x:c>
      <x:c r="H449" s="11" t="n">
        <x:v>0.3667</x:v>
      </x:c>
      <x:c r="I449" s="11" t="n">
        <x:v>0.355</x:v>
      </x:c>
      <x:c r="J449" s="13" t="n">
        <x:f>IF(OR(G449=0,G449=1),"",(H449-I449)*100)</x:f>
        <x:v>1.1700000000000044</x:v>
      </x:c>
      <x:c r="K449" s="14" t="n">
        <x:v>13.82</x:v>
      </x:c>
      <x:c r="L449" s="15" t="n">
        <x:f>F449*G449</x:f>
        <x:v>1218.8172</x:v>
      </x:c>
      <x:c r="M449" s="15" t="n">
        <x:f>F449-L449</x:f>
        <x:v>2882.1828</x:v>
      </x:c>
      <x:c r="N449" s="17" t="str"/>
      <x:c r="O449" s="17" t="str">
        <x:v>https://sts2log.com/cards</x:v>
      </x:c>
      <x:c r="P449" s="17" t="str">
        <x:v>https://slaythespire2.net/ancient/tezcatara</x:v>
      </x:c>
    </x:row>
    <x:row r="450" ht="25" customHeight="1">
      <x:c r="A450" s="2" t="str">
        <x:v>v0.107</x:v>
      </x:c>
      <x:c r="B450" s="2" t="str">
        <x:v>储君</x:v>
      </x:c>
      <x:c r="C450" s="2" t="str">
        <x:v>特兹卡塔拉</x:v>
      </x:c>
      <x:c r="D450" s="2" t="str">
        <x:v>烫嘴可可</x:v>
      </x:c>
      <x:c r="E450" s="16" t="n">
        <x:f>IF(G450=0,I450,IF(G450=1,H450,G450*H450+(1-G450)*I450))</x:f>
        <x:v>0.34708888</x:v>
      </x:c>
      <x:c r="F450" s="12" t="n">
        <x:v>5189</x:v>
      </x:c>
      <x:c r="G450" s="11" t="n">
        <x:v>0.4548</x:v>
      </x:c>
      <x:c r="H450" s="11" t="n">
        <x:v>0.3038</x:v>
      </x:c>
      <x:c r="I450" s="11" t="n">
        <x:v>0.3832</x:v>
      </x:c>
      <x:c r="J450" s="13" t="n">
        <x:f>IF(OR(G450=0,G450=1),"",(H450-I450)*100)</x:f>
        <x:v>-7.939999999999997</x:v>
      </x:c>
      <x:c r="K450" s="14" t="n">
        <x:v>7.53</x:v>
      </x:c>
      <x:c r="L450" s="15" t="n">
        <x:f>F450*G450</x:f>
        <x:v>2359.9572</x:v>
      </x:c>
      <x:c r="M450" s="15" t="n">
        <x:f>F450-L450</x:f>
        <x:v>2829.0428</x:v>
      </x:c>
      <x:c r="N450" s="17" t="str"/>
      <x:c r="O450" s="17" t="str">
        <x:v>https://sts2log.com/cards</x:v>
      </x:c>
      <x:c r="P450" s="17" t="str">
        <x:v>https://slaythespire2.net/ancient/tezcatara</x:v>
      </x:c>
    </x:row>
    <x:row r="451" ht="25" customHeight="1">
      <x:c r="A451" s="2" t="str">
        <x:v>v0.107</x:v>
      </x:c>
      <x:c r="B451" s="2" t="str">
        <x:v>储君</x:v>
      </x:c>
      <x:c r="C451" s="2" t="str">
        <x:v>特兹卡塔拉</x:v>
      </x:c>
      <x:c r="D451" s="2" t="str">
        <x:v>黄金印</x:v>
      </x:c>
      <x:c r="E451" s="16" t="n">
        <x:f>IF(G451=0,I451,IF(G451=1,H451,G451*H451+(1-G451)*I451))</x:f>
        <x:v>0.34046816</x:v>
      </x:c>
      <x:c r="F451" s="12" t="n">
        <x:v>3751</x:v>
      </x:c>
      <x:c r="G451" s="11" t="n">
        <x:v>0.18719999999999998</x:v>
      </x:c>
      <x:c r="H451" s="11" t="n">
        <x:v>0.359</x:v>
      </x:c>
      <x:c r="I451" s="11" t="n">
        <x:v>0.3362</x:v>
      </x:c>
      <x:c r="J451" s="13" t="n">
        <x:f>IF(OR(G451=0,G451=1),"",(H451-I451)*100)</x:f>
        <x:v>2.2799999999999985</x:v>
      </x:c>
      <x:c r="K451" s="14" t="n">
        <x:v>13.05</x:v>
      </x:c>
      <x:c r="L451" s="15" t="n">
        <x:f>F451*G451</x:f>
        <x:v>702.1872</x:v>
      </x:c>
      <x:c r="M451" s="15" t="n">
        <x:f>F451-L451</x:f>
        <x:v>3048.8128</x:v>
      </x:c>
      <x:c r="N451" s="17" t="str"/>
      <x:c r="O451" s="17" t="str">
        <x:v>https://sts2log.com/cards</x:v>
      </x:c>
      <x:c r="P451" s="17" t="str">
        <x:v>https://slaythespire2.net/ancient/tezcatara</x:v>
      </x:c>
    </x:row>
    <x:row r="452" ht="25" customHeight="1">
      <x:c r="A452" s="2" t="str">
        <x:v>v0.107</x:v>
      </x:c>
      <x:c r="B452" s="2" t="str">
        <x:v>储君</x:v>
      </x:c>
      <x:c r="C452" s="2" t="str">
        <x:v>特兹卡塔拉</x:v>
      </x:c>
      <x:c r="D452" s="2" t="str">
        <x:v>营养汤</x:v>
      </x:c>
      <x:c r="E452" s="16" t="n">
        <x:f>IF(G452=0,I452,IF(G452=1,H452,G452*H452+(1-G452)*I452))</x:f>
        <x:v>0.33781108000000004</x:v>
      </x:c>
      <x:c r="F452" s="12" t="n">
        <x:v>5091</x:v>
      </x:c>
      <x:c r="G452" s="11" t="n">
        <x:v>0.2114</x:v>
      </x:c>
      <x:c r="H452" s="11" t="n">
        <x:v>0.2528</x:v>
      </x:c>
      <x:c r="I452" s="11" t="n">
        <x:v>0.36060000000000003</x:v>
      </x:c>
      <x:c r="J452" s="13" t="n">
        <x:f>IF(OR(G452=0,G452=1),"",(H452-I452)*100)</x:f>
        <x:v>-10.780000000000001</x:v>
      </x:c>
      <x:c r="K452" s="14" t="n">
        <x:v>2.43</x:v>
      </x:c>
      <x:c r="L452" s="15" t="n">
        <x:f>F452*G452</x:f>
        <x:v>1076.2374</x:v>
      </x:c>
      <x:c r="M452" s="15" t="n">
        <x:f>F452-L452</x:f>
        <x:v>4014.7626</x:v>
      </x:c>
      <x:c r="N452" s="17" t="str"/>
      <x:c r="O452" s="17" t="str">
        <x:v>https://sts2log.com/cards</x:v>
      </x:c>
      <x:c r="P452" s="17" t="str">
        <x:v>https://slaythespire2.net/ancient/tezcatara</x:v>
      </x:c>
    </x:row>
    <x:row r="453" ht="25" customHeight="1">
      <x:c r="A453" s="2" t="str">
        <x:v>v0.107</x:v>
      </x:c>
      <x:c r="B453" s="2" t="str">
        <x:v>储君</x:v>
      </x:c>
      <x:c r="C453" s="2" t="str">
        <x:v>特兹卡塔拉</x:v>
      </x:c>
      <x:c r="D453" s="2" t="str">
        <x:v>南瓜蜡烛</x:v>
      </x:c>
      <x:c r="E453" s="16" t="n">
        <x:f>IF(G453=0,I453,IF(G453=1,H453,G453*H453+(1-G453)*I453))</x:f>
        <x:v>0.32757932</x:v>
      </x:c>
      <x:c r="F453" s="12" t="n">
        <x:v>3877</x:v>
      </x:c>
      <x:c r="G453" s="11" t="n">
        <x:v>0.3804</x:v>
      </x:c>
      <x:c r="H453" s="11" t="n">
        <x:v>0.3668</x:v>
      </x:c>
      <x:c r="I453" s="11" t="n">
        <x:v>0.3035</x:v>
      </x:c>
      <x:c r="J453" s="13" t="n">
        <x:f>IF(OR(G453=0,G453=1),"",(H453-I453)*100)</x:f>
        <x:v>6.330000000000002</x:v>
      </x:c>
      <x:c r="K453" s="14" t="n">
        <x:v>13.83</x:v>
      </x:c>
      <x:c r="L453" s="15" t="n">
        <x:f>F453*G453</x:f>
        <x:v>1474.8108</x:v>
      </x:c>
      <x:c r="M453" s="15" t="n">
        <x:f>F453-L453</x:f>
        <x:v>2402.1892</x:v>
      </x:c>
      <x:c r="N453" s="17" t="str"/>
      <x:c r="O453" s="17" t="str">
        <x:v>https://sts2log.com/cards</x:v>
      </x:c>
      <x:c r="P453" s="17" t="str">
        <x:v>https://slaythespire2.net/ancient/tezcatara</x:v>
      </x:c>
    </x:row>
    <x:row r="454" ht="25" customHeight="1">
      <x:c r="A454" s="2" t="str">
        <x:v>v0.107</x:v>
      </x:c>
      <x:c r="B454" s="2" t="str">
        <x:v>储君</x:v>
      </x:c>
      <x:c r="C454" s="2" t="str">
        <x:v>特兹卡塔拉</x:v>
      </x:c>
      <x:c r="D454" s="2" t="str">
        <x:v>烘焙手套</x:v>
      </x:c>
      <x:c r="E454" s="16" t="n">
        <x:f>IF(G454=0,I454,IF(G454=1,H454,G454*H454+(1-G454)*I454))</x:f>
        <x:v>0.32531604999999997</x:v>
      </x:c>
      <x:c r="F454" s="12" t="n">
        <x:v>5241</x:v>
      </x:c>
      <x:c r="G454" s="11" t="n">
        <x:v>0.0311</x:v>
      </x:c>
      <x:c r="H454" s="11" t="n">
        <x:v>0.2822</x:v>
      </x:c>
      <x:c r="I454" s="11" t="n">
        <x:v>0.3267</x:v>
      </x:c>
      <x:c r="J454" s="13" t="n">
        <x:f>IF(OR(G454=0,G454=1),"",(H454-I454)*100)</x:f>
        <x:v>-4.449999999999998</x:v>
      </x:c>
      <x:c r="K454" s="14" t="n">
        <x:v>5.37</x:v>
      </x:c>
      <x:c r="L454" s="15" t="n">
        <x:f>F454*G454</x:f>
        <x:v>162.9951</x:v>
      </x:c>
      <x:c r="M454" s="15" t="n">
        <x:f>F454-L454</x:f>
        <x:v>5078.0049</x:v>
      </x:c>
      <x:c r="N454" s="17" t="str"/>
      <x:c r="O454" s="17" t="str">
        <x:v>https://sts2log.com/cards</x:v>
      </x:c>
      <x:c r="P454" s="17" t="str">
        <x:v>https://slaythespire2.net/ancient/tezcatara</x:v>
      </x:c>
    </x:row>
    <x:row r="455" ht="25" customHeight="1">
      <x:c r="A455" s="2" t="str">
        <x:v>v0.107</x:v>
      </x:c>
      <x:c r="B455" s="2" t="str">
        <x:v>储君</x:v>
      </x:c>
      <x:c r="C455" s="2" t="str">
        <x:v>特兹卡塔拉</x:v>
      </x:c>
      <x:c r="D455" s="2" t="str">
        <x:v>美味饼干</x:v>
      </x:c>
      <x:c r="E455" s="16" t="n">
        <x:f>IF(G455=0,I455,IF(G455=1,H455,G455*H455+(1-G455)*I455))</x:f>
        <x:v>0.32504866000000004</x:v>
      </x:c>
      <x:c r="F455" s="12" t="n">
        <x:v>5279</x:v>
      </x:c>
      <x:c r="G455" s="11" t="n">
        <x:v>0.4681</x:v>
      </x:c>
      <x:c r="H455" s="11" t="n">
        <x:v>0.23920000000000002</x:v>
      </x:c>
      <x:c r="I455" s="11" t="n">
        <x:v>0.4006</x:v>
      </x:c>
      <x:c r="J455" s="13" t="n">
        <x:f>IF(OR(G455=0,G455=1),"",(H455-I455)*100)</x:f>
        <x:v>-16.14</x:v>
      </x:c>
      <x:c r="K455" s="14" t="n">
        <x:v>1.07</x:v>
      </x:c>
      <x:c r="L455" s="15" t="n">
        <x:f>F455*G455</x:f>
        <x:v>2471.0999</x:v>
      </x:c>
      <x:c r="M455" s="15" t="n">
        <x:f>F455-L455</x:f>
        <x:v>2807.9001</x:v>
      </x:c>
      <x:c r="N455" s="17" t="str"/>
      <x:c r="O455" s="17" t="str">
        <x:v>https://sts2log.com/cards</x:v>
      </x:c>
      <x:c r="P455" s="17" t="str">
        <x:v>https://slaythespire2.net/ancient/tezcatara</x:v>
      </x:c>
    </x:row>
    <x:row r="456" ht="25" customHeight="1">
      <x:c r="A456" s="2" t="str">
        <x:v>v0.107</x:v>
      </x:c>
      <x:c r="B456" s="2" t="str">
        <x:v>储君</x:v>
      </x:c>
      <x:c r="C456" s="2" t="str">
        <x:v>特兹卡塔拉</x:v>
      </x:c>
      <x:c r="D456" s="2" t="str">
        <x:v>大～抱抱</x:v>
      </x:c>
      <x:c r="E456" s="16" t="n">
        <x:f>IF(G456=0,I456,IF(G456=1,H456,G456*H456+(1-G456)*I456))</x:f>
        <x:v>0.31967928</x:v>
      </x:c>
      <x:c r="F456" s="12" t="n">
        <x:v>5252</x:v>
      </x:c>
      <x:c r="G456" s="11" t="n">
        <x:v>0.2907</x:v>
      </x:c>
      <x:c r="H456" s="11" t="n">
        <x:v>0.38380000000000003</x:v>
      </x:c>
      <x:c r="I456" s="11" t="n">
        <x:v>0.2934</x:v>
      </x:c>
      <x:c r="J456" s="13" t="n">
        <x:f>IF(OR(G456=0,G456=1),"",(H456-I456)*100)</x:f>
        <x:v>9.040000000000003</x:v>
      </x:c>
      <x:c r="K456" s="14" t="n">
        <x:v>15.53</x:v>
      </x:c>
      <x:c r="L456" s="15" t="n">
        <x:f>F456*G456</x:f>
        <x:v>1526.7564</x:v>
      </x:c>
      <x:c r="M456" s="15" t="n">
        <x:f>F456-L456</x:f>
        <x:v>3725.2436</x:v>
      </x:c>
      <x:c r="N456" s="17" t="str"/>
      <x:c r="O456" s="17" t="str">
        <x:v>https://sts2log.com/cards</x:v>
      </x:c>
      <x:c r="P456" s="17" t="str">
        <x:v>https://slaythespire2.net/ancient/tezcatara</x:v>
      </x:c>
    </x:row>
    <x:row r="457" ht="25" customHeight="1">
      <x:c r="A457" s="2" t="str">
        <x:v>v0.107</x:v>
      </x:c>
      <x:c r="B457" s="2" t="str">
        <x:v>储君</x:v>
      </x:c>
      <x:c r="C457" s="2" t="str">
        <x:v>特兹卡塔拉</x:v>
      </x:c>
      <x:c r="D457" s="2" t="str">
        <x:v>玩具盒</x:v>
      </x:c>
      <x:c r="E457" s="16" t="n">
        <x:f>IF(G457=0,I457,IF(G457=1,H457,G457*H457+(1-G457)*I457))</x:f>
        <x:v>0.31877803</x:v>
      </x:c>
      <x:c r="F457" s="12" t="n">
        <x:v>3840</x:v>
      </x:c>
      <x:c r="G457" s="11" t="n">
        <x:v>0.2557</x:v>
      </x:c>
      <x:c r="H457" s="11" t="n">
        <x:v>0.28</x:v>
      </x:c>
      <x:c r="I457" s="11" t="n">
        <x:v>0.3321</x:v>
      </x:c>
      <x:c r="J457" s="13" t="n">
        <x:f>IF(OR(G457=0,G457=1),"",(H457-I457)*100)</x:f>
        <x:v>-5.209999999999998</x:v>
      </x:c>
      <x:c r="K457" s="14" t="n">
        <x:v>5.15</x:v>
      </x:c>
      <x:c r="L457" s="15" t="n">
        <x:f>F457*G457</x:f>
        <x:v>981.8879999999999</x:v>
      </x:c>
      <x:c r="M457" s="15" t="n">
        <x:f>F457-L457</x:f>
        <x:v>2858.112</x:v>
      </x:c>
      <x:c r="N457" s="17" t="str"/>
      <x:c r="O457" s="17" t="str">
        <x:v>https://sts2log.com/cards</x:v>
      </x:c>
      <x:c r="P457" s="17" t="str">
        <x:v>https://slaythespire2.net/ancient/tezcatara</x:v>
      </x:c>
    </x:row>
    <x:row r="458" ht="25" customHeight="1">
      <x:c r="A458" s="2" t="str">
        <x:v>v0.107</x:v>
      </x:c>
      <x:c r="B458" s="2" t="str">
        <x:v>储君</x:v>
      </x:c>
      <x:c r="C458" s="2" t="str">
        <x:v>诺奴佩普</x:v>
      </x:c>
      <x:c r="D458" s="2" t="str">
        <x:v>艳丽围巾</x:v>
      </x:c>
      <x:c r="E458" s="16" t="n">
        <x:f>IF(G458=0,I458,IF(G458=1,H458,G458*H458+(1-G458)*I458))</x:f>
        <x:v>0.5826534400000001</x:v>
      </x:c>
      <x:c r="F458" s="12" t="n">
        <x:v>2856</x:v>
      </x:c>
      <x:c r="G458" s="11" t="n">
        <x:v>0.49439999999999995</x:v>
      </x:c>
      <x:c r="H458" s="11" t="n">
        <x:v>0.6636</x:v>
      </x:c>
      <x:c r="I458" s="11" t="n">
        <x:v>0.5035000000000001</x:v>
      </x:c>
      <x:c r="J458" s="13" t="n">
        <x:f>IF(OR(G458=0,G458=1),"",(H458-I458)*100)</x:f>
        <x:v>16.00999999999999</x:v>
      </x:c>
      <x:c r="K458" s="14" t="n">
        <x:v>43.51</x:v>
      </x:c>
      <x:c r="L458" s="15" t="n">
        <x:f>F458*G458</x:f>
        <x:v>1412.0063999999998</x:v>
      </x:c>
      <x:c r="M458" s="15" t="n">
        <x:f>F458-L458</x:f>
        <x:v>1443.9936000000002</x:v>
      </x:c>
      <x:c r="N458" s="17" t="str"/>
      <x:c r="O458" s="17" t="str">
        <x:v>https://sts2log.com/cards</x:v>
      </x:c>
      <x:c r="P458" s="17" t="str">
        <x:v>https://slaythespire2.net/ancient/nonupeipe</x:v>
      </x:c>
    </x:row>
    <x:row r="459" ht="25" customHeight="1">
      <x:c r="A459" s="2" t="str">
        <x:v>v0.107</x:v>
      </x:c>
      <x:c r="B459" s="2" t="str">
        <x:v>储君</x:v>
      </x:c>
      <x:c r="C459" s="2" t="str">
        <x:v>诺奴佩普</x:v>
      </x:c>
      <x:c r="D459" s="2" t="str">
        <x:v>娇嫩蕨草</x:v>
      </x:c>
      <x:c r="E459" s="16" t="n">
        <x:f>IF(G459=0,I459,IF(G459=1,H459,G459*H459+(1-G459)*I459))</x:f>
        <x:v>0.56866859</x:v>
      </x:c>
      <x:c r="F459" s="12" t="n">
        <x:v>2870</x:v>
      </x:c>
      <x:c r="G459" s="11" t="n">
        <x:v>0.1679</x:v>
      </x:c>
      <x:c r="H459" s="11" t="n">
        <x:v>0.6037</x:v>
      </x:c>
      <x:c r="I459" s="11" t="n">
        <x:v>0.5616</x:v>
      </x:c>
      <x:c r="J459" s="13" t="n">
        <x:f>IF(OR(G459=0,G459=1),"",(H459-I459)*100)</x:f>
        <x:v>4.210000000000003</x:v>
      </x:c>
      <x:c r="K459" s="14" t="n">
        <x:v>37.52</x:v>
      </x:c>
      <x:c r="L459" s="15" t="n">
        <x:f>F459*G459</x:f>
        <x:v>481.873</x:v>
      </x:c>
      <x:c r="M459" s="15" t="n">
        <x:f>F459-L459</x:f>
        <x:v>2388.127</x:v>
      </x:c>
      <x:c r="N459" s="17" t="str"/>
      <x:c r="O459" s="17" t="str">
        <x:v>https://sts2log.com/cards</x:v>
      </x:c>
      <x:c r="P459" s="17" t="str">
        <x:v>https://slaythespire2.net/ancient/nonupeipe</x:v>
      </x:c>
    </x:row>
    <x:row r="460" ht="25" customHeight="1">
      <x:c r="A460" s="2" t="str">
        <x:v>v0.107</x:v>
      </x:c>
      <x:c r="B460" s="2" t="str">
        <x:v>储君</x:v>
      </x:c>
      <x:c r="C460" s="2" t="str">
        <x:v>诺奴佩普</x:v>
      </x:c>
      <x:c r="D460" s="2" t="str">
        <x:v>图章戒指</x:v>
      </x:c>
      <x:c r="E460" s="16" t="n">
        <x:f>IF(G460=0,I460,IF(G460=1,H460,G460*H460+(1-G460)*I460))</x:f>
        <x:v>0.5682528</x:v>
      </x:c>
      <x:c r="F460" s="12" t="n">
        <x:v>2953</x:v>
      </x:c>
      <x:c r="G460" s="11" t="n">
        <x:v>0.488</x:v>
      </x:c>
      <x:c r="H460" s="11" t="n">
        <x:v>0.5788</x:v>
      </x:c>
      <x:c r="I460" s="11" t="n">
        <x:v>0.5582</x:v>
      </x:c>
      <x:c r="J460" s="13" t="n">
        <x:f>IF(OR(G460=0,G460=1),"",(H460-I460)*100)</x:f>
        <x:v>2.059999999999995</x:v>
      </x:c>
      <x:c r="K460" s="14" t="n">
        <x:v>35.03</x:v>
      </x:c>
      <x:c r="L460" s="15" t="n">
        <x:f>F460*G460</x:f>
        <x:v>1441.064</x:v>
      </x:c>
      <x:c r="M460" s="15" t="n">
        <x:f>F460-L460</x:f>
        <x:v>1511.936</x:v>
      </x:c>
      <x:c r="N460" s="17" t="str"/>
      <x:c r="O460" s="17" t="str">
        <x:v>https://sts2log.com/cards</x:v>
      </x:c>
      <x:c r="P460" s="17" t="str">
        <x:v>https://slaythespire2.net/ancient/nonupeipe</x:v>
      </x:c>
    </x:row>
    <x:row r="461" ht="25" customHeight="1">
      <x:c r="A461" s="2" t="str">
        <x:v>v0.107</x:v>
      </x:c>
      <x:c r="B461" s="2" t="str">
        <x:v>储君</x:v>
      </x:c>
      <x:c r="C461" s="2" t="str">
        <x:v>诺奴佩普</x:v>
      </x:c>
      <x:c r="D461" s="2" t="str">
        <x:v>华美手镯</x:v>
      </x:c>
      <x:c r="E461" s="16" t="n">
        <x:f>IF(G461=0,I461,IF(G461=1,H461,G461*H461+(1-G461)*I461))</x:f>
        <x:v>0.55541315</x:v>
      </x:c>
      <x:c r="F461" s="12" t="n">
        <x:v>2861</x:v>
      </x:c>
      <x:c r="G461" s="11" t="n">
        <x:v>0.33549999999999996</x:v>
      </x:c>
      <x:c r="H461" s="11" t="n">
        <x:v>0.6718999999999999</x:v>
      </x:c>
      <x:c r="I461" s="11" t="n">
        <x:v>0.4966</x:v>
      </x:c>
      <x:c r="J461" s="13" t="n">
        <x:f>IF(OR(G461=0,G461=1),"",(H461-I461)*100)</x:f>
        <x:v>17.529999999999994</x:v>
      </x:c>
      <x:c r="K461" s="14" t="n">
        <x:v>44.34</x:v>
      </x:c>
      <x:c r="L461" s="15" t="n">
        <x:f>F461*G461</x:f>
        <x:v>959.8654999999999</x:v>
      </x:c>
      <x:c r="M461" s="15" t="n">
        <x:f>F461-L461</x:f>
        <x:v>1901.1345000000001</x:v>
      </x:c>
      <x:c r="N461" s="17" t="str"/>
      <x:c r="O461" s="17" t="str">
        <x:v>https://sts2log.com/cards</x:v>
      </x:c>
      <x:c r="P461" s="17" t="str">
        <x:v>https://slaythespire2.net/ancient/nonupeipe</x:v>
      </x:c>
    </x:row>
    <x:row r="462" ht="25" customHeight="1">
      <x:c r="A462" s="2" t="str">
        <x:v>v0.107</x:v>
      </x:c>
      <x:c r="B462" s="2" t="str">
        <x:v>储君</x:v>
      </x:c>
      <x:c r="C462" s="2" t="str">
        <x:v>诺奴佩普</x:v>
      </x:c>
      <x:c r="D462" s="2" t="str">
        <x:v>亮片</x:v>
      </x:c>
      <x:c r="E462" s="16" t="n">
        <x:f>IF(G462=0,I462,IF(G462=1,H462,G462*H462+(1-G462)*I462))</x:f>
        <x:v>0.55346875</x:v>
      </x:c>
      <x:c r="F462" s="12" t="n">
        <x:v>2871</x:v>
      </x:c>
      <x:c r="G462" s="11" t="n">
        <x:v>0.4375</x:v>
      </x:c>
      <x:c r="H462" s="11" t="n">
        <x:v>0.5398</x:v>
      </x:c>
      <x:c r="I462" s="11" t="n">
        <x:v>0.5640999999999999</x:v>
      </x:c>
      <x:c r="J462" s="13" t="n">
        <x:f>IF(OR(G462=0,G462=1),"",(H462-I462)*100)</x:f>
        <x:v>-2.429999999999999</x:v>
      </x:c>
      <x:c r="K462" s="14" t="n">
        <x:v>31.13</x:v>
      </x:c>
      <x:c r="L462" s="15" t="n">
        <x:f>F462*G462</x:f>
        <x:v>1256.0625</x:v>
      </x:c>
      <x:c r="M462" s="15" t="n">
        <x:f>F462-L462</x:f>
        <x:v>1614.9375</x:v>
      </x:c>
      <x:c r="N462" s="17" t="str"/>
      <x:c r="O462" s="17" t="str">
        <x:v>https://sts2log.com/cards</x:v>
      </x:c>
      <x:c r="P462" s="17" t="str">
        <x:v>https://slaythespire2.net/ancient/nonupeipe</x:v>
      </x:c>
    </x:row>
    <x:row r="463" ht="25" customHeight="1">
      <x:c r="A463" s="2" t="str">
        <x:v>v0.107</x:v>
      </x:c>
      <x:c r="B463" s="2" t="str">
        <x:v>储君</x:v>
      </x:c>
      <x:c r="C463" s="2" t="str">
        <x:v>诺奴佩普</x:v>
      </x:c>
      <x:c r="D463" s="2" t="str">
        <x:v>布质果实</x:v>
      </x:c>
      <x:c r="E463" s="16" t="n">
        <x:f>IF(G463=0,I463,IF(G463=1,H463,G463*H463+(1-G463)*I463))</x:f>
        <x:v>0.55304208</x:v>
      </x:c>
      <x:c r="F463" s="12" t="n">
        <x:v>2884</x:v>
      </x:c>
      <x:c r="G463" s="11" t="n">
        <x:v>0.2112</x:v>
      </x:c>
      <x:c r="H463" s="11" t="n">
        <x:v>0.5222</x:v>
      </x:c>
      <x:c r="I463" s="11" t="n">
        <x:v>0.5613</x:v>
      </x:c>
      <x:c r="J463" s="13" t="n">
        <x:f>IF(OR(G463=0,G463=1),"",(H463-I463)*100)</x:f>
        <x:v>-3.9100000000000024</x:v>
      </x:c>
      <x:c r="K463" s="14" t="n">
        <x:v>29.37</x:v>
      </x:c>
      <x:c r="L463" s="15" t="n">
        <x:f>F463*G463</x:f>
        <x:v>609.1008</x:v>
      </x:c>
      <x:c r="M463" s="15" t="n">
        <x:f>F463-L463</x:f>
        <x:v>2274.8992</x:v>
      </x:c>
      <x:c r="N463" s="17" t="str"/>
      <x:c r="O463" s="17" t="str">
        <x:v>https://sts2log.com/cards</x:v>
      </x:c>
      <x:c r="P463" s="17" t="str">
        <x:v>https://slaythespire2.net/ancient/nonupeipe</x:v>
      </x:c>
    </x:row>
    <x:row r="464" ht="25" customHeight="1">
      <x:c r="A464" s="2" t="str">
        <x:v>v0.107</x:v>
      </x:c>
      <x:c r="B464" s="2" t="str">
        <x:v>储君</x:v>
      </x:c>
      <x:c r="C464" s="2" t="str">
        <x:v>诺奴佩普</x:v>
      </x:c>
      <x:c r="D464" s="2" t="str">
        <x:v>钻石头冠</x:v>
      </x:c>
      <x:c r="E464" s="16" t="n">
        <x:f>IF(G464=0,I464,IF(G464=1,H464,G464*H464+(1-G464)*I464))</x:f>
        <x:v>0.5465239</x:v>
      </x:c>
      <x:c r="F464" s="12" t="n">
        <x:v>2911</x:v>
      </x:c>
      <x:c r="G464" s="11" t="n">
        <x:v>0.28309999999999996</x:v>
      </x:c>
      <x:c r="H464" s="11" t="n">
        <x:v>0.5243</x:v>
      </x:c>
      <x:c r="I464" s="11" t="n">
        <x:v>0.5553</x:v>
      </x:c>
      <x:c r="J464" s="13" t="n">
        <x:f>IF(OR(G464=0,G464=1),"",(H464-I464)*100)</x:f>
        <x:v>-3.1000000000000028</x:v>
      </x:c>
      <x:c r="K464" s="14" t="n">
        <x:v>29.58</x:v>
      </x:c>
      <x:c r="L464" s="15" t="n">
        <x:f>F464*G464</x:f>
        <x:v>824.1040999999999</x:v>
      </x:c>
      <x:c r="M464" s="15" t="n">
        <x:f>F464-L464</x:f>
        <x:v>2086.8959</x:v>
      </x:c>
      <x:c r="N464" s="17" t="str"/>
      <x:c r="O464" s="17" t="str">
        <x:v>https://sts2log.com/cards</x:v>
      </x:c>
      <x:c r="P464" s="17" t="str">
        <x:v>https://slaythespire2.net/ancient/nonupeipe</x:v>
      </x:c>
    </x:row>
    <x:row r="465" ht="25" customHeight="1">
      <x:c r="A465" s="2" t="str">
        <x:v>v0.107</x:v>
      </x:c>
      <x:c r="B465" s="2" t="str">
        <x:v>储君</x:v>
      </x:c>
      <x:c r="C465" s="2" t="str">
        <x:v>诺奴佩普</x:v>
      </x:c>
      <x:c r="D465" s="2" t="str">
        <x:v>赐福鹿角</x:v>
      </x:c>
      <x:c r="E465" s="16" t="n">
        <x:f>IF(G465=0,I465,IF(G465=1,H465,G465*H465+(1-G465)*I465))</x:f>
        <x:v>0.53655988</x:v>
      </x:c>
      <x:c r="F465" s="12" t="n">
        <x:v>2874</x:v>
      </x:c>
      <x:c r="G465" s="11" t="n">
        <x:v>0.2933</x:v>
      </x:c>
      <x:c r="H465" s="11" t="n">
        <x:v>0.4543</x:v>
      </x:c>
      <x:c r="I465" s="11" t="n">
        <x:v>0.5707</x:v>
      </x:c>
      <x:c r="J465" s="13" t="n">
        <x:f>IF(OR(G465=0,G465=1),"",(H465-I465)*100)</x:f>
        <x:v>-11.64</x:v>
      </x:c>
      <x:c r="K465" s="14" t="n">
        <x:v>22.58</x:v>
      </x:c>
      <x:c r="L465" s="15" t="n">
        <x:f>F465*G465</x:f>
        <x:v>842.9442</x:v>
      </x:c>
      <x:c r="M465" s="15" t="n">
        <x:f>F465-L465</x:f>
        <x:v>2031.0558</x:v>
      </x:c>
      <x:c r="N465" s="17" t="str"/>
      <x:c r="O465" s="17" t="str">
        <x:v>https://sts2log.com/cards</x:v>
      </x:c>
      <x:c r="P465" s="17" t="str">
        <x:v>https://slaythespire2.net/ancient/nonupeipe</x:v>
      </x:c>
    </x:row>
    <x:row r="466" ht="25" customHeight="1">
      <x:c r="A466" s="2" t="str">
        <x:v>v0.107</x:v>
      </x:c>
      <x:c r="B466" s="2" t="str">
        <x:v>储君</x:v>
      </x:c>
      <x:c r="C466" s="2" t="str">
        <x:v>诺奴佩普</x:v>
      </x:c>
      <x:c r="D466" s="2" t="str">
        <x:v>珠宝盒</x:v>
      </x:c>
      <x:c r="E466" s="16" t="n">
        <x:f>IF(G466=0,I466,IF(G466=1,H466,G466*H466+(1-G466)*I466))</x:f>
        <x:v>0.5281072</x:v>
      </x:c>
      <x:c r="F466" s="12" t="n">
        <x:v>2916</x:v>
      </x:c>
      <x:c r="G466" s="11" t="n">
        <x:v>0.30079999999999996</x:v>
      </x:c>
      <x:c r="H466" s="11" t="n">
        <x:v>0.447</x:v>
      </x:c>
      <x:c r="I466" s="11" t="n">
        <x:v>0.563</x:v>
      </x:c>
      <x:c r="J466" s="13" t="n">
        <x:f>IF(OR(G466=0,G466=1),"",(H466-I466)*100)</x:f>
        <x:v>-11.599999999999994</x:v>
      </x:c>
      <x:c r="K466" s="14" t="n">
        <x:v>21.85</x:v>
      </x:c>
      <x:c r="L466" s="15" t="n">
        <x:f>F466*G466</x:f>
        <x:v>877.1327999999999</x:v>
      </x:c>
      <x:c r="M466" s="15" t="n">
        <x:f>F466-L466</x:f>
        <x:v>2038.8672000000001</x:v>
      </x:c>
      <x:c r="N466" s="17" t="str"/>
      <x:c r="O466" s="17" t="str">
        <x:v>https://sts2log.com/cards</x:v>
      </x:c>
      <x:c r="P466" s="17" t="str">
        <x:v>https://slaythespire2.net/ancient/nonupeipe</x:v>
      </x:c>
    </x:row>
    <x:row r="467" ht="25" customHeight="1">
      <x:c r="A467" s="2" t="str">
        <x:v>v0.107</x:v>
      </x:c>
      <x:c r="B467" s="2" t="str">
        <x:v>储君</x:v>
      </x:c>
      <x:c r="C467" s="2" t="str">
        <x:v>诺奴佩普</x:v>
      </x:c>
      <x:c r="D467" s="2" t="str">
        <x:v>皮草大衣</x:v>
      </x:c>
      <x:c r="E467" s="16" t="n">
        <x:f>IF(G467=0,I467,IF(G467=1,H467,G467*H467+(1-G467)*I467))</x:f>
        <x:v>0.5252438100000001</x:v>
      </x:c>
      <x:c r="F467" s="12" t="n">
        <x:v>2854</x:v>
      </x:c>
      <x:c r="G467" s="11" t="n">
        <x:v>0.3111</x:v>
      </x:c>
      <x:c r="H467" s="11" t="n">
        <x:v>0.4268</x:v>
      </x:c>
      <x:c r="I467" s="11" t="n">
        <x:v>0.5697</x:v>
      </x:c>
      <x:c r="J467" s="13" t="n">
        <x:f>IF(OR(G467=0,G467=1),"",(H467-I467)*100)</x:f>
        <x:v>-14.289999999999997</x:v>
      </x:c>
      <x:c r="K467" s="14" t="n">
        <x:v>19.83</x:v>
      </x:c>
      <x:c r="L467" s="15" t="n">
        <x:f>F467*G467</x:f>
        <x:v>887.8793999999999</x:v>
      </x:c>
      <x:c r="M467" s="15" t="n">
        <x:f>F467-L467</x:f>
        <x:v>1966.1206000000002</x:v>
      </x:c>
      <x:c r="N467" s="17" t="str"/>
      <x:c r="O467" s="17" t="str">
        <x:v>https://sts2log.com/cards</x:v>
      </x:c>
      <x:c r="P467" s="17" t="str">
        <x:v>https://slaythespire2.net/ancient/nonupeipe</x:v>
      </x:c>
    </x:row>
    <x:row r="468" ht="25" customHeight="1">
      <x:c r="A468" s="2" t="str">
        <x:v>v0.107</x:v>
      </x:c>
      <x:c r="B468" s="2" t="str">
        <x:v>储君</x:v>
      </x:c>
      <x:c r="C468" s="2" t="str">
        <x:v>坦克斯</x:v>
      </x:c>
      <x:c r="D468" s="2" t="str">
        <x:v>十字弓</x:v>
      </x:c>
      <x:c r="E468" s="16" t="n">
        <x:f>IF(G468=0,I468,IF(G468=1,H468,G468*H468+(1-G468)*I468))</x:f>
        <x:v>0.6053702599999999</x:v>
      </x:c>
      <x:c r="F468" s="12" t="n">
        <x:v>2899</x:v>
      </x:c>
      <x:c r="G468" s="11" t="n">
        <x:v>0.3518</x:v>
      </x:c>
      <x:c r="H468" s="11" t="n">
        <x:v>0.7225</x:v>
      </x:c>
      <x:c r="I468" s="11" t="n">
        <x:v>0.5418</x:v>
      </x:c>
      <x:c r="J468" s="13" t="n">
        <x:f>IF(OR(G468=0,G468=1),"",(H468-I468)*100)</x:f>
        <x:v>18.070000000000007</x:v>
      </x:c>
      <x:c r="K468" s="14" t="n">
        <x:v>49.4</x:v>
      </x:c>
      <x:c r="L468" s="15" t="n">
        <x:f>F468*G468</x:f>
        <x:v>1019.8682</x:v>
      </x:c>
      <x:c r="M468" s="15" t="n">
        <x:f>F468-L468</x:f>
        <x:v>1879.1318</x:v>
      </x:c>
      <x:c r="N468" s="17" t="str"/>
      <x:c r="O468" s="17" t="str">
        <x:v>https://sts2log.com/cards</x:v>
      </x:c>
      <x:c r="P468" s="17" t="str">
        <x:v>https://slaythespire2.net/ancient/tanx</x:v>
      </x:c>
    </x:row>
    <x:row r="469" ht="25" customHeight="1">
      <x:c r="A469" s="2" t="str">
        <x:v>v0.107</x:v>
      </x:c>
      <x:c r="B469" s="2" t="str">
        <x:v>储君</x:v>
      </x:c>
      <x:c r="C469" s="2" t="str">
        <x:v>坦克斯</x:v>
      </x:c>
      <x:c r="D469" s="2" t="str">
        <x:v>钗</x:v>
      </x:c>
      <x:c r="E469" s="16" t="n">
        <x:f>IF(G469=0,I469,IF(G469=1,H469,G469*H469+(1-G469)*I469))</x:f>
        <x:v>0.59366552</x:v>
      </x:c>
      <x:c r="F469" s="12" t="n">
        <x:v>2845</x:v>
      </x:c>
      <x:c r="G469" s="11" t="n">
        <x:v>0.5272</x:v>
      </x:c>
      <x:c r="H469" s="11" t="n">
        <x:v>0.6286999999999999</x:v>
      </x:c>
      <x:c r="I469" s="11" t="n">
        <x:v>0.5546</x:v>
      </x:c>
      <x:c r="J469" s="13" t="n">
        <x:f>IF(OR(G469=0,G469=1),"",(H469-I469)*100)</x:f>
        <x:v>7.409999999999995</x:v>
      </x:c>
      <x:c r="K469" s="14" t="n">
        <x:v>40.02</x:v>
      </x:c>
      <x:c r="L469" s="15" t="n">
        <x:f>F469*G469</x:f>
        <x:v>1499.884</x:v>
      </x:c>
      <x:c r="M469" s="15" t="n">
        <x:f>F469-L469</x:f>
        <x:v>1345.116</x:v>
      </x:c>
      <x:c r="N469" s="17" t="str"/>
      <x:c r="O469" s="17" t="str">
        <x:v>https://sts2log.com/cards</x:v>
      </x:c>
      <x:c r="P469" s="17" t="str">
        <x:v>https://slaythespire2.net/ancient/tanx</x:v>
      </x:c>
    </x:row>
    <x:row r="470" ht="25" customHeight="1">
      <x:c r="A470" s="2" t="str">
        <x:v>v0.107</x:v>
      </x:c>
      <x:c r="B470" s="2" t="str">
        <x:v>储君</x:v>
      </x:c>
      <x:c r="C470" s="2" t="str">
        <x:v>坦克斯</x:v>
      </x:c>
      <x:c r="D470" s="2" t="str">
        <x:v>铁棒</x:v>
      </x:c>
      <x:c r="E470" s="16" t="n">
        <x:f>IF(G470=0,I470,IF(G470=1,H470,G470*H470+(1-G470)*I470))</x:f>
        <x:v>0.5773407500000001</x:v>
      </x:c>
      <x:c r="F470" s="12" t="n">
        <x:v>2903</x:v>
      </x:c>
      <x:c r="G470" s="11" t="n">
        <x:v>0.4843</x:v>
      </x:c>
      <x:c r="H470" s="11" t="n">
        <x:v>0.6302</x:v>
      </x:c>
      <x:c r="I470" s="11" t="n">
        <x:v>0.5277000000000001</x:v>
      </x:c>
      <x:c r="J470" s="13" t="n">
        <x:f>IF(OR(G470=0,G470=1),"",(H470-I470)*100)</x:f>
        <x:v>10.249999999999993</x:v>
      </x:c>
      <x:c r="K470" s="14" t="n">
        <x:v>40.17</x:v>
      </x:c>
      <x:c r="L470" s="15" t="n">
        <x:f>F470*G470</x:f>
        <x:v>1405.9229</x:v>
      </x:c>
      <x:c r="M470" s="15" t="n">
        <x:f>F470-L470</x:f>
        <x:v>1497.0771</x:v>
      </x:c>
      <x:c r="N470" s="17" t="str"/>
      <x:c r="O470" s="17" t="str">
        <x:v>https://sts2log.com/cards</x:v>
      </x:c>
      <x:c r="P470" s="17" t="str">
        <x:v>https://slaythespire2.net/ancient/tanx</x:v>
      </x:c>
    </x:row>
    <x:row r="471" ht="25" customHeight="1">
      <x:c r="A471" s="2" t="str">
        <x:v>v0.107</x:v>
      </x:c>
      <x:c r="B471" s="2" t="str">
        <x:v>储君</x:v>
      </x:c>
      <x:c r="C471" s="2" t="str">
        <x:v>坦克斯</x:v>
      </x:c>
      <x:c r="D471" s="2" t="str">
        <x:v>利爪</x:v>
      </x:c>
      <x:c r="E471" s="16" t="n">
        <x:f>IF(G471=0,I471,IF(G471=1,H471,G471*H471+(1-G471)*I471))</x:f>
        <x:v>0.5596756199999999</x:v>
      </x:c>
      <x:c r="F471" s="12" t="n">
        <x:v>2864</x:v>
      </x:c>
      <x:c r="G471" s="11" t="n">
        <x:v>0.0866</x:v>
      </x:c>
      <x:c r="H471" s="11" t="n">
        <x:v>0.35479999999999995</x:v>
      </x:c>
      <x:c r="I471" s="11" t="n">
        <x:v>0.5791</x:v>
      </x:c>
      <x:c r="J471" s="13" t="n">
        <x:f>IF(OR(G471=0,G471=1),"",(H471-I471)*100)</x:f>
        <x:v>-22.43</x:v>
      </x:c>
      <x:c r="K471" s="14" t="n">
        <x:v>12.63</x:v>
      </x:c>
      <x:c r="L471" s="15" t="n">
        <x:f>F471*G471</x:f>
        <x:v>248.02239999999998</x:v>
      </x:c>
      <x:c r="M471" s="15" t="n">
        <x:f>F471-L471</x:f>
        <x:v>2615.9776</x:v>
      </x:c>
      <x:c r="N471" s="17" t="str"/>
      <x:c r="O471" s="17" t="str">
        <x:v>https://sts2log.com/cards</x:v>
      </x:c>
      <x:c r="P471" s="17" t="str">
        <x:v>https://slaythespire2.net/ancient/tanx</x:v>
      </x:c>
    </x:row>
    <x:row r="472" ht="25" customHeight="1">
      <x:c r="A472" s="2" t="str">
        <x:v>v0.107</x:v>
      </x:c>
      <x:c r="B472" s="2" t="str">
        <x:v>储君</x:v>
      </x:c>
      <x:c r="C472" s="2" t="str">
        <x:v>坦克斯</x:v>
      </x:c>
      <x:c r="D472" s="2" t="str">
        <x:v>战锤</x:v>
      </x:c>
      <x:c r="E472" s="16" t="n">
        <x:f>IF(G472=0,I472,IF(G472=1,H472,G472*H472+(1-G472)*I472))</x:f>
        <x:v>0.55568886</x:v>
      </x:c>
      <x:c r="F472" s="12" t="n">
        <x:v>2764</x:v>
      </x:c>
      <x:c r="G472" s="11" t="n">
        <x:v>0.1643</x:v>
      </x:c>
      <x:c r="H472" s="11" t="n">
        <x:v>0.489</x:v>
      </x:c>
      <x:c r="I472" s="11" t="n">
        <x:v>0.5688</x:v>
      </x:c>
      <x:c r="J472" s="13" t="n">
        <x:f>IF(OR(G472=0,G472=1),"",(H472-I472)*100)</x:f>
        <x:v>-7.979999999999999</x:v>
      </x:c>
      <x:c r="K472" s="14" t="n">
        <x:v>26.05</x:v>
      </x:c>
      <x:c r="L472" s="15" t="n">
        <x:f>F472*G472</x:f>
        <x:v>454.1252</x:v>
      </x:c>
      <x:c r="M472" s="15" t="n">
        <x:f>F472-L472</x:f>
        <x:v>2309.8748</x:v>
      </x:c>
      <x:c r="N472" s="17" t="str"/>
      <x:c r="O472" s="17" t="str">
        <x:v>https://sts2log.com/cards</x:v>
      </x:c>
      <x:c r="P472" s="17" t="str">
        <x:v>https://slaythespire2.net/ancient/tanx</x:v>
      </x:c>
    </x:row>
    <x:row r="473" ht="25" customHeight="1">
      <x:c r="A473" s="2" t="str">
        <x:v>v0.107</x:v>
      </x:c>
      <x:c r="B473" s="2" t="str">
        <x:v>储君</x:v>
      </x:c>
      <x:c r="C473" s="2" t="str">
        <x:v>坦克斯</x:v>
      </x:c>
      <x:c r="D473" s="2" t="str">
        <x:v>切肉刀</x:v>
      </x:c>
      <x:c r="E473" s="16" t="n">
        <x:f>IF(G473=0,I473,IF(G473=1,H473,G473*H473+(1-G473)*I473))</x:f>
        <x:v>0.5523414</x:v>
      </x:c>
      <x:c r="F473" s="12" t="n">
        <x:v>2893</x:v>
      </x:c>
      <x:c r="G473" s="11" t="n">
        <x:v>0.5146999999999999</x:v>
      </x:c>
      <x:c r="H473" s="11" t="n">
        <x:v>0.5339</x:v>
      </x:c>
      <x:c r="I473" s="11" t="n">
        <x:v>0.5719</x:v>
      </x:c>
      <x:c r="J473" s="13" t="n">
        <x:f>IF(OR(G473=0,G473=1),"",(H473-I473)*100)</x:f>
        <x:v>-3.7999999999999923</x:v>
      </x:c>
      <x:c r="K473" s="14" t="n">
        <x:v>30.54</x:v>
      </x:c>
      <x:c r="L473" s="15" t="n">
        <x:f>F473*G473</x:f>
        <x:v>1489.0270999999998</x:v>
      </x:c>
      <x:c r="M473" s="15" t="n">
        <x:f>F473-L473</x:f>
        <x:v>1403.9729000000002</x:v>
      </x:c>
      <x:c r="N473" s="17" t="str"/>
      <x:c r="O473" s="17" t="str">
        <x:v>https://sts2log.com/cards</x:v>
      </x:c>
      <x:c r="P473" s="17" t="str">
        <x:v>https://slaythespire2.net/ancient/tanx</x:v>
      </x:c>
    </x:row>
    <x:row r="474" ht="25" customHeight="1">
      <x:c r="A474" s="2" t="str">
        <x:v>v0.107</x:v>
      </x:c>
      <x:c r="B474" s="2" t="str">
        <x:v>储君</x:v>
      </x:c>
      <x:c r="C474" s="2" t="str">
        <x:v>坦克斯</x:v>
      </x:c>
      <x:c r="D474" s="2" t="str">
        <x:v>带刺手甲</x:v>
      </x:c>
      <x:c r="E474" s="16" t="n">
        <x:f>IF(G474=0,I474,IF(G474=1,H474,G474*H474+(1-G474)*I474))</x:f>
        <x:v>0.5456685</x:v>
      </x:c>
      <x:c r="F474" s="12" t="n">
        <x:v>2912</x:v>
      </x:c>
      <x:c r="G474" s="11" t="n">
        <x:v>0.205</x:v>
      </x:c>
      <x:c r="H474" s="11" t="n">
        <x:v>0.4389</x:v>
      </x:c>
      <x:c r="I474" s="11" t="n">
        <x:v>0.5732</x:v>
      </x:c>
      <x:c r="J474" s="13" t="n">
        <x:f>IF(OR(G474=0,G474=1),"",(H474-I474)*100)</x:f>
        <x:v>-13.430000000000003</x:v>
      </x:c>
      <x:c r="K474" s="14" t="n">
        <x:v>21.04</x:v>
      </x:c>
      <x:c r="L474" s="15" t="n">
        <x:f>F474*G474</x:f>
        <x:v>596.9599999999999</x:v>
      </x:c>
      <x:c r="M474" s="15" t="n">
        <x:f>F474-L474</x:f>
        <x:v>2315.04</x:v>
      </x:c>
      <x:c r="N474" s="17" t="str"/>
      <x:c r="O474" s="17" t="str">
        <x:v>https://sts2log.com/cards</x:v>
      </x:c>
      <x:c r="P474" s="17" t="str">
        <x:v>https://slaythespire2.net/ancient/tanx</x:v>
      </x:c>
    </x:row>
    <x:row r="475" ht="25" customHeight="1">
      <x:c r="A475" s="2" t="str">
        <x:v>v0.107</x:v>
      </x:c>
      <x:c r="B475" s="2" t="str">
        <x:v>储君</x:v>
      </x:c>
      <x:c r="C475" s="2" t="str">
        <x:v>坦克斯</x:v>
      </x:c>
      <x:c r="D475" s="2" t="str">
        <x:v>坦克斯的哨子</x:v>
      </x:c>
      <x:c r="E475" s="16" t="n">
        <x:f>IF(G475=0,I475,IF(G475=1,H475,G475*H475+(1-G475)*I475))</x:f>
        <x:v>0.54435476</x:v>
      </x:c>
      <x:c r="F475" s="12" t="n">
        <x:v>2831</x:v>
      </x:c>
      <x:c r="G475" s="11" t="n">
        <x:v>0.1582</x:v>
      </x:c>
      <x:c r="H475" s="11" t="n">
        <x:v>0.41960000000000003</x:v>
      </x:c>
      <x:c r="I475" s="11" t="n">
        <x:v>0.5678</x:v>
      </x:c>
      <x:c r="J475" s="13" t="n">
        <x:f>IF(OR(G475=0,G475=1),"",(H475-I475)*100)</x:f>
        <x:v>-14.819999999999995</x:v>
      </x:c>
      <x:c r="K475" s="14" t="n">
        <x:v>19.11</x:v>
      </x:c>
      <x:c r="L475" s="15" t="n">
        <x:f>F475*G475</x:f>
        <x:v>447.86420000000004</x:v>
      </x:c>
      <x:c r="M475" s="15" t="n">
        <x:f>F475-L475</x:f>
        <x:v>2383.1358</x:v>
      </x:c>
      <x:c r="N475" s="17" t="str"/>
      <x:c r="O475" s="17" t="str">
        <x:v>https://sts2log.com/cards</x:v>
      </x:c>
      <x:c r="P475" s="17" t="str">
        <x:v>https://slaythespire2.net/ancient/tanx</x:v>
      </x:c>
    </x:row>
    <x:row r="476" ht="25" customHeight="1">
      <x:c r="A476" s="2" t="str">
        <x:v>v0.107</x:v>
      </x:c>
      <x:c r="B476" s="2" t="str">
        <x:v>储君</x:v>
      </x:c>
      <x:c r="C476" s="2" t="str">
        <x:v>坦克斯</x:v>
      </x:c>
      <x:c r="D476" s="2" t="str">
        <x:v>三刃回旋镖</x:v>
      </x:c>
      <x:c r="E476" s="16" t="n">
        <x:f>IF(G476=0,I476,IF(G476=1,H476,G476*H476+(1-G476)*I476))</x:f>
        <x:v>0.54400344</x:v>
      </x:c>
      <x:c r="F476" s="12" t="n">
        <x:v>2785</x:v>
      </x:c>
      <x:c r="G476" s="11" t="n">
        <x:v>0.3368</x:v>
      </x:c>
      <x:c r="H476" s="11" t="n">
        <x:v>0.5064</x:v>
      </x:c>
      <x:c r="I476" s="11" t="n">
        <x:v>0.5631</x:v>
      </x:c>
      <x:c r="J476" s="13" t="n">
        <x:f>IF(OR(G476=0,G476=1),"",(H476-I476)*100)</x:f>
        <x:v>-5.670000000000009</x:v>
      </x:c>
      <x:c r="K476" s="14" t="n">
        <x:v>27.79</x:v>
      </x:c>
      <x:c r="L476" s="15" t="n">
        <x:f>F476*G476</x:f>
        <x:v>937.9879999999999</x:v>
      </x:c>
      <x:c r="M476" s="15" t="n">
        <x:f>F476-L476</x:f>
        <x:v>1847.0120000000002</x:v>
      </x:c>
      <x:c r="N476" s="17" t="str"/>
      <x:c r="O476" s="17" t="str">
        <x:v>https://sts2log.com/cards</x:v>
      </x:c>
      <x:c r="P476" s="17" t="str">
        <x:v>https://slaythespire2.net/ancient/tanx</x:v>
      </x:c>
    </x:row>
    <x:row r="477" ht="25" customHeight="1">
      <x:c r="A477" s="2" t="str">
        <x:v>v0.107</x:v>
      </x:c>
      <x:c r="B477" s="2" t="str">
        <x:v>储君</x:v>
      </x:c>
      <x:c r="C477" s="2" t="str">
        <x:v>坦克斯</x:v>
      </x:c>
      <x:c r="D477" s="2" t="str">
        <x:v>投斧</x:v>
      </x:c>
      <x:c r="E477" s="16" t="n">
        <x:f>IF(G477=0,I477,IF(G477=1,H477,G477*H477+(1-G477)*I477))</x:f>
        <x:v>0.54286378</x:v>
      </x:c>
      <x:c r="F477" s="12" t="n">
        <x:v>2883</x:v>
      </x:c>
      <x:c r="G477" s="11" t="n">
        <x:v>0.4891</x:v>
      </x:c>
      <x:c r="H477" s="11" t="n">
        <x:v>0.5305</x:v>
      </x:c>
      <x:c r="I477" s="11" t="n">
        <x:v>0.5547</x:v>
      </x:c>
      <x:c r="J477" s="13" t="n">
        <x:f>IF(OR(G477=0,G477=1),"",(H477-I477)*100)</x:f>
        <x:v>-2.42</x:v>
      </x:c>
      <x:c r="K477" s="14" t="n">
        <x:v>30.2</x:v>
      </x:c>
      <x:c r="L477" s="15" t="n">
        <x:f>F477*G477</x:f>
        <x:v>1410.0753</x:v>
      </x:c>
      <x:c r="M477" s="15" t="n">
        <x:f>F477-L477</x:f>
        <x:v>1472.9247</x:v>
      </x:c>
      <x:c r="N477" s="17" t="str"/>
      <x:c r="O477" s="17" t="str">
        <x:v>https://sts2log.com/cards</x:v>
      </x:c>
      <x:c r="P477" s="17" t="str">
        <x:v>https://slaythespire2.net/ancient/tanx</x:v>
      </x:c>
    </x:row>
    <x:row r="478" ht="25" customHeight="1">
      <x:c r="A478" s="2" t="str">
        <x:v>v0.107</x:v>
      </x:c>
      <x:c r="B478" s="2" t="str">
        <x:v>储君</x:v>
      </x:c>
      <x:c r="C478" s="2" t="str">
        <x:v>瓦库</x:v>
      </x:c>
      <x:c r="D478" s="2" t="str">
        <x:v>音乐盒</x:v>
      </x:c>
      <x:c r="E478" s="16" t="n">
        <x:f>IF(G478=0,I478,IF(G478=1,H478,G478*H478+(1-G478)*I478))</x:f>
        <x:v>0.56701226</x:v>
      </x:c>
      <x:c r="F478" s="12" t="n">
        <x:v>2238</x:v>
      </x:c>
      <x:c r="G478" s="11" t="n">
        <x:v>0.4214</x:v>
      </x:c>
      <x:c r="H478" s="11" t="n">
        <x:v>0.6225</x:v>
      </x:c>
      <x:c r="I478" s="11" t="n">
        <x:v>0.5266</x:v>
      </x:c>
      <x:c r="J478" s="13" t="n">
        <x:f>IF(OR(G478=0,G478=1),"",(H478-I478)*100)</x:f>
        <x:v>9.59000000000001</x:v>
      </x:c>
      <x:c r="K478" s="14" t="n">
        <x:v>39.4</x:v>
      </x:c>
      <x:c r="L478" s="15" t="n">
        <x:f>F478*G478</x:f>
        <x:v>943.0932</x:v>
      </x:c>
      <x:c r="M478" s="15" t="n">
        <x:f>F478-L478</x:f>
        <x:v>1294.9068</x:v>
      </x:c>
      <x:c r="N478" s="17" t="str"/>
      <x:c r="O478" s="17" t="str">
        <x:v>https://sts2log.com/cards</x:v>
      </x:c>
      <x:c r="P478" s="17" t="str">
        <x:v>https://slaythespire2.net/ancient/vakuu</x:v>
      </x:c>
    </x:row>
    <x:row r="479" ht="25" customHeight="1">
      <x:c r="A479" s="2" t="str">
        <x:v>v0.107</x:v>
      </x:c>
      <x:c r="B479" s="2" t="str">
        <x:v>储君</x:v>
      </x:c>
      <x:c r="C479" s="2" t="str">
        <x:v>瓦库</x:v>
      </x:c>
      <x:c r="D479" s="2" t="str">
        <x:v>卓越斗篷</x:v>
      </x:c>
      <x:c r="E479" s="16" t="n">
        <x:f>IF(G479=0,I479,IF(G479=1,H479,G479*H479+(1-G479)*I479))</x:f>
        <x:v>0.5533687</x:v>
      </x:c>
      <x:c r="F479" s="12" t="n">
        <x:v>3128</x:v>
      </x:c>
      <x:c r="G479" s="11" t="n">
        <x:v>0.547</x:v>
      </x:c>
      <x:c r="H479" s="11" t="n">
        <x:v>0.5815</x:v>
      </x:c>
      <x:c r="I479" s="11" t="n">
        <x:v>0.5194</x:v>
      </x:c>
      <x:c r="J479" s="13" t="n">
        <x:f>IF(OR(G479=0,G479=1),"",(H479-I479)*100)</x:f>
        <x:v>6.210000000000004</x:v>
      </x:c>
      <x:c r="K479" s="14" t="n">
        <x:v>35.3</x:v>
      </x:c>
      <x:c r="L479" s="15" t="n">
        <x:f>F479*G479</x:f>
        <x:v>1711.016</x:v>
      </x:c>
      <x:c r="M479" s="15" t="n">
        <x:f>F479-L479</x:f>
        <x:v>1416.984</x:v>
      </x:c>
      <x:c r="N479" s="17" t="str"/>
      <x:c r="O479" s="17" t="str">
        <x:v>https://sts2log.com/cards</x:v>
      </x:c>
      <x:c r="P479" s="17" t="str">
        <x:v>https://slaythespire2.net/ancient/vakuu</x:v>
      </x:c>
    </x:row>
    <x:row r="480" ht="25" customHeight="1">
      <x:c r="A480" s="2" t="str">
        <x:v>v0.107</x:v>
      </x:c>
      <x:c r="B480" s="2" t="str">
        <x:v>储君</x:v>
      </x:c>
      <x:c r="C480" s="2" t="str">
        <x:v>瓦库</x:v>
      </x:c>
      <x:c r="D480" s="2" t="str">
        <x:v>小提琴</x:v>
      </x:c>
      <x:c r="E480" s="16" t="n">
        <x:f>IF(G480=0,I480,IF(G480=1,H480,G480*H480+(1-G480)*I480))</x:f>
        <x:v>0.5400045</x:v>
      </x:c>
      <x:c r="F480" s="12" t="n">
        <x:v>3165</x:v>
      </x:c>
      <x:c r="G480" s="11" t="n">
        <x:v>0.24109999999999998</x:v>
      </x:c>
      <x:c r="H480" s="11" t="n">
        <x:v>0.6121</x:v>
      </x:c>
      <x:c r="I480" s="11" t="n">
        <x:v>0.5171</x:v>
      </x:c>
      <x:c r="J480" s="13" t="n">
        <x:f>IF(OR(G480=0,G480=1),"",(H480-I480)*100)</x:f>
        <x:v>9.499999999999996</x:v>
      </x:c>
      <x:c r="K480" s="14" t="n">
        <x:v>38.36</x:v>
      </x:c>
      <x:c r="L480" s="15" t="n">
        <x:f>F480*G480</x:f>
        <x:v>763.0814999999999</x:v>
      </x:c>
      <x:c r="M480" s="15" t="n">
        <x:f>F480-L480</x:f>
        <x:v>2401.9185</x:v>
      </x:c>
      <x:c r="N480" s="17" t="str"/>
      <x:c r="O480" s="17" t="str">
        <x:v>https://sts2log.com/cards</x:v>
      </x:c>
      <x:c r="P480" s="17" t="str">
        <x:v>https://slaythespire2.net/ancient/vakuu</x:v>
      </x:c>
    </x:row>
    <x:row r="481" ht="25" customHeight="1">
      <x:c r="A481" s="2" t="str">
        <x:v>v0.107</x:v>
      </x:c>
      <x:c r="B481" s="2" t="str">
        <x:v>储君</x:v>
      </x:c>
      <x:c r="C481" s="2" t="str">
        <x:v>瓦库</x:v>
      </x:c>
      <x:c r="D481" s="2" t="str">
        <x:v>宝石面具</x:v>
      </x:c>
      <x:c r="E481" s="16" t="n">
        <x:f>IF(G481=0,I481,IF(G481=1,H481,G481*H481+(1-G481)*I481))</x:f>
        <x:v>0.53070644</x:v>
      </x:c>
      <x:c r="F481" s="12" t="n">
        <x:v>2346</x:v>
      </x:c>
      <x:c r="G481" s="11" t="n">
        <x:v>0.6927</x:v>
      </x:c>
      <x:c r="H481" s="11" t="n">
        <x:v>0.5236999999999999</x:v>
      </x:c>
      <x:c r="I481" s="11" t="n">
        <x:v>0.5465</x:v>
      </x:c>
      <x:c r="J481" s="13" t="n">
        <x:f>IF(OR(G481=0,G481=1),"",(H481-I481)*100)</x:f>
        <x:v>-2.2800000000000042</x:v>
      </x:c>
      <x:c r="K481" s="14" t="n">
        <x:v>29.52</x:v>
      </x:c>
      <x:c r="L481" s="15" t="n">
        <x:f>F481*G481</x:f>
        <x:v>1625.0742</x:v>
      </x:c>
      <x:c r="M481" s="15" t="n">
        <x:f>F481-L481</x:f>
        <x:v>720.9258</x:v>
      </x:c>
      <x:c r="N481" s="17" t="str"/>
      <x:c r="O481" s="17" t="str">
        <x:v>https://sts2log.com/cards</x:v>
      </x:c>
      <x:c r="P481" s="17" t="str">
        <x:v>https://slaythespire2.net/ancient/vakuu</x:v>
      </x:c>
    </x:row>
    <x:row r="482" ht="25" customHeight="1">
      <x:c r="A482" s="2" t="str">
        <x:v>v0.107</x:v>
      </x:c>
      <x:c r="B482" s="2" t="str">
        <x:v>储君</x:v>
      </x:c>
      <x:c r="C482" s="2" t="str">
        <x:v>瓦库</x:v>
      </x:c>
      <x:c r="D482" s="2" t="str">
        <x:v>血染玫瑰</x:v>
      </x:c>
      <x:c r="E482" s="16" t="n">
        <x:f>IF(G482=0,I482,IF(G482=1,H482,G482*H482+(1-G482)*I482))</x:f>
        <x:v>0.52053152</x:v>
      </x:c>
      <x:c r="F482" s="12" t="n">
        <x:v>3087</x:v>
      </x:c>
      <x:c r="G482" s="11" t="n">
        <x:v>0.2718</x:v>
      </x:c>
      <x:c r="H482" s="11" t="n">
        <x:v>0.4815</x:v>
      </x:c>
      <x:c r="I482" s="11" t="n">
        <x:v>0.5351</x:v>
      </x:c>
      <x:c r="J482" s="13" t="n">
        <x:f>IF(OR(G482=0,G482=1),"",(H482-I482)*100)</x:f>
        <x:v>-5.360000000000004</x:v>
      </x:c>
      <x:c r="K482" s="14" t="n">
        <x:v>25.3</x:v>
      </x:c>
      <x:c r="L482" s="15" t="n">
        <x:f>F482*G482</x:f>
        <x:v>839.0466</x:v>
      </x:c>
      <x:c r="M482" s="15" t="n">
        <x:f>F482-L482</x:f>
        <x:v>2247.9534</x:v>
      </x:c>
      <x:c r="N482" s="17" t="str"/>
      <x:c r="O482" s="17" t="str">
        <x:v>https://sts2log.com/cards</x:v>
      </x:c>
      <x:c r="P482" s="17" t="str">
        <x:v>https://slaythespire2.net/ancient/vakuu</x:v>
      </x:c>
    </x:row>
    <x:row r="483" ht="25" customHeight="1">
      <x:c r="A483" s="2" t="str">
        <x:v>v0.107</x:v>
      </x:c>
      <x:c r="B483" s="2" t="str">
        <x:v>储君</x:v>
      </x:c>
      <x:c r="C483" s="2" t="str">
        <x:v>瓦库</x:v>
      </x:c>
      <x:c r="D483" s="2" t="str">
        <x:v>低语耳环</x:v>
      </x:c>
      <x:c r="E483" s="16" t="n">
        <x:f>IF(G483=0,I483,IF(G483=1,H483,G483*H483+(1-G483)*I483))</x:f>
        <x:v>0.5200659500000001</x:v>
      </x:c>
      <x:c r="F483" s="12" t="n">
        <x:v>3086</x:v>
      </x:c>
      <x:c r="G483" s="11" t="n">
        <x:v>0.1235</x:v>
      </x:c>
      <x:c r="H483" s="11" t="n">
        <x:v>0.4304</x:v>
      </x:c>
      <x:c r="I483" s="11" t="n">
        <x:v>0.5327000000000001</x:v>
      </x:c>
      <x:c r="J483" s="13" t="n">
        <x:f>IF(OR(G483=0,G483=1),"",(H483-I483)*100)</x:f>
        <x:v>-10.230000000000006</x:v>
      </x:c>
      <x:c r="K483" s="14" t="n">
        <x:v>20.19</x:v>
      </x:c>
      <x:c r="L483" s="15" t="n">
        <x:f>F483*G483</x:f>
        <x:v>381.121</x:v>
      </x:c>
      <x:c r="M483" s="15" t="n">
        <x:f>F483-L483</x:f>
        <x:v>2704.879</x:v>
      </x:c>
      <x:c r="N483" s="17" t="str"/>
      <x:c r="O483" s="17" t="str">
        <x:v>https://sts2log.com/cards</x:v>
      </x:c>
      <x:c r="P483" s="17" t="str">
        <x:v>https://slaythespire2.net/ancient/vakuu</x:v>
      </x:c>
    </x:row>
    <x:row r="484" ht="25" customHeight="1">
      <x:c r="A484" s="2" t="str">
        <x:v>v0.107</x:v>
      </x:c>
      <x:c r="B484" s="2" t="str">
        <x:v>储君</x:v>
      </x:c>
      <x:c r="C484" s="2" t="str">
        <x:v>瓦库</x:v>
      </x:c>
      <x:c r="D484" s="2" t="str">
        <x:v>腌制活雾</x:v>
      </x:c>
      <x:c r="E484" s="16" t="n">
        <x:f>IF(G484=0,I484,IF(G484=1,H484,G484*H484+(1-G484)*I484))</x:f>
        <x:v>0.5192326</x:v>
      </x:c>
      <x:c r="F484" s="12" t="n">
        <x:v>3122</x:v>
      </x:c>
      <x:c r="G484" s="11" t="n">
        <x:v>0.4318</x:v>
      </x:c>
      <x:c r="H484" s="11" t="n">
        <x:v>0.49479999999999996</x:v>
      </x:c>
      <x:c r="I484" s="11" t="n">
        <x:v>0.5378000000000001</x:v>
      </x:c>
      <x:c r="J484" s="13" t="n">
        <x:f>IF(OR(G484=0,G484=1),"",(H484-I484)*100)</x:f>
        <x:v>-4.30000000000001</x:v>
      </x:c>
      <x:c r="K484" s="14" t="n">
        <x:v>26.63</x:v>
      </x:c>
      <x:c r="L484" s="15" t="n">
        <x:f>F484*G484</x:f>
        <x:v>1348.0796</x:v>
      </x:c>
      <x:c r="M484" s="15" t="n">
        <x:f>F484-L484</x:f>
        <x:v>1773.9204</x:v>
      </x:c>
      <x:c r="N484" s="17" t="str"/>
      <x:c r="O484" s="17" t="str">
        <x:v>https://sts2log.com/cards</x:v>
      </x:c>
      <x:c r="P484" s="17" t="str">
        <x:v>https://slaythespire2.net/ancient/vakuu</x:v>
      </x:c>
    </x:row>
    <x:row r="485" ht="25" customHeight="1">
      <x:c r="A485" s="2" t="str">
        <x:v>v0.107</x:v>
      </x:c>
      <x:c r="B485" s="2" t="str">
        <x:v>储君</x:v>
      </x:c>
      <x:c r="C485" s="2" t="str">
        <x:v>瓦库</x:v>
      </x:c>
      <x:c r="D485" s="2" t="str">
        <x:v>选择悖论</x:v>
      </x:c>
      <x:c r="E485" s="16" t="n">
        <x:f>IF(G485=0,I485,IF(G485=1,H485,G485*H485+(1-G485)*I485))</x:f>
        <x:v>0.51875045</x:v>
      </x:c>
      <x:c r="F485" s="12" t="n">
        <x:v>2344</x:v>
      </x:c>
      <x:c r="G485" s="11" t="n">
        <x:v>0.38909999999999995</x:v>
      </x:c>
      <x:c r="H485" s="11" t="n">
        <x:v>0.4879</x:v>
      </x:c>
      <x:c r="I485" s="11" t="n">
        <x:v>0.5384</x:v>
      </x:c>
      <x:c r="J485" s="13" t="n">
        <x:f>IF(OR(G485=0,G485=1),"",(H485-I485)*100)</x:f>
        <x:v>-5.049999999999999</x:v>
      </x:c>
      <x:c r="K485" s="14" t="n">
        <x:v>25.94</x:v>
      </x:c>
      <x:c r="L485" s="15" t="n">
        <x:f>F485*G485</x:f>
        <x:v>912.0503999999999</x:v>
      </x:c>
      <x:c r="M485" s="15" t="n">
        <x:f>F485-L485</x:f>
        <x:v>1431.9496000000001</x:v>
      </x:c>
      <x:c r="N485" s="17" t="str"/>
      <x:c r="O485" s="17" t="str">
        <x:v>https://sts2log.com/cards</x:v>
      </x:c>
      <x:c r="P485" s="17" t="str">
        <x:v>https://slaythespire2.net/ancient/vakuu</x:v>
      </x:c>
    </x:row>
    <x:row r="486" ht="25" customHeight="1">
      <x:c r="A486" s="2" t="str">
        <x:v>v0.107</x:v>
      </x:c>
      <x:c r="B486" s="2" t="str">
        <x:v>储君</x:v>
      </x:c>
      <x:c r="C486" s="2" t="str">
        <x:v>瓦库</x:v>
      </x:c>
      <x:c r="D486" s="2" t="str">
        <x:v>原初之爪</x:v>
      </x:c>
      <x:c r="E486" s="16" t="n">
        <x:f>IF(G486=0,I486,IF(G486=1,H486,G486*H486+(1-G486)*I486))</x:f>
        <x:v>0.50780496</x:v>
      </x:c>
      <x:c r="F486" s="12" t="n">
        <x:v>3086</x:v>
      </x:c>
      <x:c r="G486" s="11" t="n">
        <x:v>0.1536</x:v>
      </x:c>
      <x:c r="H486" s="11" t="n">
        <x:v>0.4114</x:v>
      </x:c>
      <x:c r="I486" s="11" t="n">
        <x:v>0.5253</x:v>
      </x:c>
      <x:c r="J486" s="13" t="n">
        <x:f>IF(OR(G486=0,G486=1),"",(H486-I486)*100)</x:f>
        <x:v>-11.39</x:v>
      </x:c>
      <x:c r="K486" s="14" t="n">
        <x:v>18.29</x:v>
      </x:c>
      <x:c r="L486" s="15" t="n">
        <x:f>F486*G486</x:f>
        <x:v>474.0096</x:v>
      </x:c>
      <x:c r="M486" s="15" t="n">
        <x:f>F486-L486</x:f>
        <x:v>2611.9904</x:v>
      </x:c>
      <x:c r="N486" s="17" t="str"/>
      <x:c r="O486" s="17" t="str">
        <x:v>https://sts2log.com/cards</x:v>
      </x:c>
      <x:c r="P486" s="17" t="str">
        <x:v>https://slaythespire2.net/ancient/vakuu</x:v>
      </x:c>
    </x:row>
    <x:row r="487" ht="25" customHeight="1">
      <x:c r="A487" s="2" t="str">
        <x:v>v0.107</x:v>
      </x:c>
      <x:c r="B487" s="2" t="str">
        <x:v>储君</x:v>
      </x:c>
      <x:c r="C487" s="2" t="str">
        <x:v>瓦库</x:v>
      </x:c>
      <x:c r="D487" s="2" t="str">
        <x:v>领主阳伞</x:v>
      </x:c>
      <x:c r="E487" s="16" t="n">
        <x:f>IF(G487=0,I487,IF(G487=1,H487,G487*H487+(1-G487)*I487))</x:f>
        <x:v>0.49444185000000007</x:v>
      </x:c>
      <x:c r="F487" s="12" t="n">
        <x:v>2417</x:v>
      </x:c>
      <x:c r="G487" s="11" t="n">
        <x:v>0.13449999999999998</x:v>
      </x:c>
      <x:c r="H487" s="11" t="n">
        <x:v>0.3969</x:v>
      </x:c>
      <x:c r="I487" s="11" t="n">
        <x:v>0.5096</x:v>
      </x:c>
      <x:c r="J487" s="13" t="n">
        <x:f>IF(OR(G487=0,G487=1),"",(H487-I487)*100)</x:f>
        <x:v>-11.270000000000008</x:v>
      </x:c>
      <x:c r="K487" s="14" t="n">
        <x:v>16.84</x:v>
      </x:c>
      <x:c r="L487" s="15" t="n">
        <x:f>F487*G487</x:f>
        <x:v>325.08649999999994</x:v>
      </x:c>
      <x:c r="M487" s="15" t="n">
        <x:f>F487-L487</x:f>
        <x:v>2091.9135</x:v>
      </x:c>
      <x:c r="N487" s="17" t="str"/>
      <x:c r="O487" s="17" t="str">
        <x:v>https://sts2log.com/cards</x:v>
      </x:c>
      <x:c r="P487" s="17" t="str">
        <x:v>https://slaythespire2.net/ancient/vakuu</x:v>
      </x:c>
    </x:row>
    <x:row r="488" ht="42" customHeight="1">
      <x:c r="A488" s="2" t="str">
        <x:v>v0.107</x:v>
      </x:c>
      <x:c r="B488" s="2" t="str">
        <x:v>储君</x:v>
      </x:c>
      <x:c r="C488" s="2" t="str">
        <x:v>达弗</x:v>
      </x:c>
      <x:c r="D488" s="2" t="str">
        <x:v>贤者之石</x:v>
      </x:c>
      <x:c r="E488" s="16" t="n">
        <x:f>IF(G488=0,I488,IF(G488=1,H488,G488*H488+(1-G488)*I488))</x:f>
        <x:v>0.5133380000000001</x:v>
      </x:c>
      <x:c r="F488" s="12" t="n">
        <x:v>300</x:v>
      </x:c>
      <x:c r="G488" s="11" t="n">
        <x:v>0.38</x:v>
      </x:c>
      <x:c r="H488" s="11" t="n">
        <x:v>0.5351</x:v>
      </x:c>
      <x:c r="I488" s="11" t="n">
        <x:v>0.5</x:v>
      </x:c>
      <x:c r="J488" s="13" t="n">
        <x:f>IF(OR(G488=0,G488=1),"",(H488-I488)*100)</x:f>
        <x:v>3.510000000000002</x:v>
      </x:c>
      <x:c r="K488" s="14" t="n">
        <x:v>30.66</x:v>
      </x:c>
      <x:c r="L488" s="15" t="n">
        <x:f>F488*G488</x:f>
        <x:v>114</x:v>
      </x:c>
      <x:c r="M488" s="15" t="n">
        <x:f>F488-L488</x:f>
        <x:v>186</x:v>
      </x:c>
      <x:c r="N488" s="17" t="str">
        <x:v>不同幕混合，勿直接解释为纯强度</x:v>
      </x:c>
      <x:c r="O488" s="17" t="str">
        <x:v>https://sts2log.com/cards</x:v>
      </x:c>
      <x:c r="P488" s="17" t="str">
        <x:v>https://op.gg/zh-cn/slay-the-spire2/events/Darv</x:v>
      </x:c>
    </x:row>
    <x:row r="489" ht="42" customHeight="1">
      <x:c r="A489" s="2" t="str">
        <x:v>v0.107</x:v>
      </x:c>
      <x:c r="B489" s="2" t="str">
        <x:v>储君</x:v>
      </x:c>
      <x:c r="C489" s="2" t="str">
        <x:v>达弗</x:v>
      </x:c>
      <x:c r="D489" s="2" t="str">
        <x:v>天鹅绒颈圈</x:v>
      </x:c>
      <x:c r="E489" s="16" t="n">
        <x:f>IF(G489=0,I489,IF(G489=1,H489,G489*H489+(1-G489)*I489))</x:f>
        <x:v>0.49500374</x:v>
      </x:c>
      <x:c r="F489" s="12" t="n">
        <x:v>299</x:v>
      </x:c>
      <x:c r="G489" s="11" t="n">
        <x:v>0.0669</x:v>
      </x:c>
      <x:c r="H489" s="11" t="n">
        <x:v>0.35</x:v>
      </x:c>
      <x:c r="I489" s="11" t="n">
        <x:v>0.5054</x:v>
      </x:c>
      <x:c r="J489" s="13" t="n">
        <x:f>IF(OR(G489=0,G489=1),"",(H489-I489)*100)</x:f>
        <x:v>-15.54</x:v>
      </x:c>
      <x:c r="K489" s="14" t="n">
        <x:v>12.15</x:v>
      </x:c>
      <x:c r="L489" s="15" t="n">
        <x:f>F489*G489</x:f>
        <x:v>20.0031</x:v>
      </x:c>
      <x:c r="M489" s="15" t="n">
        <x:f>F489-L489</x:f>
        <x:v>278.9969</x:v>
      </x:c>
      <x:c r="N489" s="17" t="str">
        <x:v>不同幕混合，勿直接解释为纯强度</x:v>
      </x:c>
      <x:c r="O489" s="17" t="str">
        <x:v>https://sts2log.com/cards</x:v>
      </x:c>
      <x:c r="P489" s="17" t="str">
        <x:v>https://op.gg/zh-cn/slay-the-spire2/events/Darv</x:v>
      </x:c>
    </x:row>
    <x:row r="490" ht="42" customHeight="1">
      <x:c r="A490" s="2" t="str">
        <x:v>v0.107</x:v>
      </x:c>
      <x:c r="B490" s="2" t="str">
        <x:v>储君</x:v>
      </x:c>
      <x:c r="C490" s="2" t="str">
        <x:v>达弗</x:v>
      </x:c>
      <x:c r="D490" s="2" t="str">
        <x:v>符文金字塔</x:v>
      </x:c>
      <x:c r="E490" s="16" t="n">
        <x:f>IF(G490=0,I490,IF(G490=1,H490,G490*H490+(1-G490)*I490))</x:f>
        <x:v>0.40131629999999996</x:v>
      </x:c>
      <x:c r="F490" s="12" t="n">
        <x:v>2641</x:v>
      </x:c>
      <x:c r="G490" s="11" t="n">
        <x:v>0.3945</x:v>
      </x:c>
      <x:c r="H490" s="11" t="n">
        <x:v>0.49420000000000003</x:v>
      </x:c>
      <x:c r="I490" s="11" t="n">
        <x:v>0.3408</x:v>
      </x:c>
      <x:c r="J490" s="13" t="n">
        <x:f>IF(OR(G490=0,G490=1),"",(H490-I490)*100)</x:f>
        <x:v>15.340000000000003</x:v>
      </x:c>
      <x:c r="K490" s="14" t="n">
        <x:v>26.57</x:v>
      </x:c>
      <x:c r="L490" s="15" t="n">
        <x:f>F490*G490</x:f>
        <x:v>1041.8745000000001</x:v>
      </x:c>
      <x:c r="M490" s="15" t="n">
        <x:f>F490-L490</x:f>
        <x:v>1599.1254999999999</x:v>
      </x:c>
      <x:c r="N490" s="17" t="str">
        <x:v>不同幕混合，勿直接解释为纯强度</x:v>
      </x:c>
      <x:c r="O490" s="17" t="str">
        <x:v>https://sts2log.com/cards</x:v>
      </x:c>
      <x:c r="P490" s="17" t="str">
        <x:v>https://slaythespire2.net/ancient/darv</x:v>
      </x:c>
    </x:row>
    <x:row r="491" ht="42" customHeight="1">
      <x:c r="A491" s="2" t="str">
        <x:v>v0.107</x:v>
      </x:c>
      <x:c r="B491" s="2" t="str">
        <x:v>储君</x:v>
      </x:c>
      <x:c r="C491" s="2" t="str">
        <x:v>达弗</x:v>
      </x:c>
      <x:c r="D491" s="2" t="str">
        <x:v>潘多拉魔盒</x:v>
      </x:c>
      <x:c r="E491" s="16" t="n">
        <x:f>IF(G491=0,I491,IF(G491=1,H491,G491*H491+(1-G491)*I491))</x:f>
        <x:v>0.39432135999999995</x:v>
      </x:c>
      <x:c r="F491" s="12" t="n">
        <x:v>2645</x:v>
      </x:c>
      <x:c r="G491" s="11" t="n">
        <x:v>0.4314</x:v>
      </x:c>
      <x:c r="H491" s="11" t="n">
        <x:v>0.39</x:v>
      </x:c>
      <x:c r="I491" s="11" t="n">
        <x:v>0.39759999999999995</x:v>
      </x:c>
      <x:c r="J491" s="13" t="n">
        <x:f>IF(OR(G491=0,G491=1),"",(H491-I491)*100)</x:f>
        <x:v>-0.759999999999994</x:v>
      </x:c>
      <x:c r="K491" s="14" t="n">
        <x:v>16.15</x:v>
      </x:c>
      <x:c r="L491" s="15" t="n">
        <x:f>F491*G491</x:f>
        <x:v>1141.053</x:v>
      </x:c>
      <x:c r="M491" s="15" t="n">
        <x:f>F491-L491</x:f>
        <x:v>1503.947</x:v>
      </x:c>
      <x:c r="N491" s="17" t="str">
        <x:v>不同幕混合，勿直接解释为纯强度</x:v>
      </x:c>
      <x:c r="O491" s="17" t="str">
        <x:v>https://sts2log.com/cards</x:v>
      </x:c>
      <x:c r="P491" s="17" t="str">
        <x:v>https://slaythespire2.net/ancient/darv</x:v>
      </x:c>
    </x:row>
    <x:row r="492" ht="42" customHeight="1">
      <x:c r="A492" s="2" t="str">
        <x:v>v0.107</x:v>
      </x:c>
      <x:c r="B492" s="2" t="str">
        <x:v>储君</x:v>
      </x:c>
      <x:c r="C492" s="2" t="str">
        <x:v>达弗</x:v>
      </x:c>
      <x:c r="D492" s="2" t="str">
        <x:v>尘封魔典</x:v>
      </x:c>
      <x:c r="E492" s="16" t="n">
        <x:f>IF(G492=0,I492,IF(G492=1,H492,G492*H492+(1-G492)*I492))</x:f>
        <x:v>0.39135414</x:v>
      </x:c>
      <x:c r="F492" s="12" t="n">
        <x:v>4155</x:v>
      </x:c>
      <x:c r="G492" s="11" t="n">
        <x:v>0.6161</x:v>
      </x:c>
      <x:c r="H492" s="11" t="n">
        <x:v>0.375</x:v>
      </x:c>
      <x:c r="I492" s="11" t="n">
        <x:v>0.41759999999999997</x:v>
      </x:c>
      <x:c r="J492" s="13" t="n">
        <x:f>IF(OR(G492=0,G492=1),"",(H492-I492)*100)</x:f>
        <x:v>-4.259999999999997</x:v>
      </x:c>
      <x:c r="K492" s="14" t="n">
        <x:v>14.65</x:v>
      </x:c>
      <x:c r="L492" s="15" t="n">
        <x:f>F492*G492</x:f>
        <x:v>2559.8955</x:v>
      </x:c>
      <x:c r="M492" s="15" t="n">
        <x:f>F492-L492</x:f>
        <x:v>1595.1045</x:v>
      </x:c>
      <x:c r="N492" s="17" t="str">
        <x:v>不同幕混合，勿直接解释为纯强度</x:v>
      </x:c>
      <x:c r="O492" s="17" t="str">
        <x:v>https://sts2log.com/cards</x:v>
      </x:c>
      <x:c r="P492" s="17" t="str">
        <x:v>https://slaythespire2.net/ancient/darv</x:v>
      </x:c>
    </x:row>
    <x:row r="493" ht="42" customHeight="1">
      <x:c r="A493" s="2" t="str">
        <x:v>v0.107</x:v>
      </x:c>
      <x:c r="B493" s="2" t="str">
        <x:v>储君</x:v>
      </x:c>
      <x:c r="C493" s="2" t="str">
        <x:v>达弗</x:v>
      </x:c>
      <x:c r="D493" s="2" t="str">
        <x:v>异蛇之眼</x:v>
      </x:c>
      <x:c r="E493" s="16" t="n">
        <x:f>IF(G493=0,I493,IF(G493=1,H493,G493*H493+(1-G493)*I493))</x:f>
        <x:v>0.3877859</x:v>
      </x:c>
      <x:c r="F493" s="12" t="n">
        <x:v>2553</x:v>
      </x:c>
      <x:c r="G493" s="11" t="n">
        <x:v>0.0165</x:v>
      </x:c>
      <x:c r="H493" s="11" t="n">
        <x:v>0.3333</x:v>
      </x:c>
      <x:c r="I493" s="11" t="n">
        <x:v>0.3887</x:v>
      </x:c>
      <x:c r="J493" s="13" t="n">
        <x:f>IF(OR(G493=0,G493=1),"",(H493-I493)*100)</x:f>
        <x:v>-5.540000000000001</x:v>
      </x:c>
      <x:c r="K493" s="14" t="n">
        <x:v>10.48</x:v>
      </x:c>
      <x:c r="L493" s="15" t="n">
        <x:f>F493*G493</x:f>
        <x:v>42.124500000000005</x:v>
      </x:c>
      <x:c r="M493" s="15" t="n">
        <x:f>F493-L493</x:f>
        <x:v>2510.8755</x:v>
      </x:c>
      <x:c r="N493" s="17" t="str">
        <x:v>不同幕混合，勿直接解释为纯强度</x:v>
      </x:c>
      <x:c r="O493" s="17" t="str">
        <x:v>https://sts2log.com/cards</x:v>
      </x:c>
      <x:c r="P493" s="17" t="str">
        <x:v>https://slaythespire2.net/ancient/darv</x:v>
      </x:c>
    </x:row>
    <x:row r="494" ht="42" customHeight="1">
      <x:c r="A494" s="2" t="str">
        <x:v>v0.107</x:v>
      </x:c>
      <x:c r="B494" s="2" t="str">
        <x:v>储君</x:v>
      </x:c>
      <x:c r="C494" s="2" t="str">
        <x:v>达弗</x:v>
      </x:c>
      <x:c r="D494" s="2" t="str">
        <x:v>星盘</x:v>
      </x:c>
      <x:c r="E494" s="16" t="n">
        <x:f>IF(G494=0,I494,IF(G494=1,H494,G494*H494+(1-G494)*I494))</x:f>
        <x:v>0.38676195999999996</x:v>
      </x:c>
      <x:c r="F494" s="12" t="n">
        <x:v>2552</x:v>
      </x:c>
      <x:c r="G494" s="11" t="n">
        <x:v>0.4996</x:v>
      </x:c>
      <x:c r="H494" s="11" t="n">
        <x:v>0.3718</x:v>
      </x:c>
      <x:c r="I494" s="11" t="n">
        <x:v>0.4017</x:v>
      </x:c>
      <x:c r="J494" s="13" t="n">
        <x:f>IF(OR(G494=0,G494=1),"",(H494-I494)*100)</x:f>
        <x:v>-2.9899999999999984</x:v>
      </x:c>
      <x:c r="K494" s="14" t="n">
        <x:v>14.33</x:v>
      </x:c>
      <x:c r="L494" s="15" t="n">
        <x:f>F494*G494</x:f>
        <x:v>1274.9792</x:v>
      </x:c>
      <x:c r="M494" s="15" t="n">
        <x:f>F494-L494</x:f>
        <x:v>1277.0208</x:v>
      </x:c>
      <x:c r="N494" s="17" t="str">
        <x:v>不同幕混合，勿直接解释为纯强度</x:v>
      </x:c>
      <x:c r="O494" s="17" t="str">
        <x:v>https://sts2log.com/cards</x:v>
      </x:c>
      <x:c r="P494" s="17" t="str">
        <x:v>https://slaythespire2.net/ancient/darv</x:v>
      </x:c>
    </x:row>
    <x:row r="495" ht="42" customHeight="1">
      <x:c r="A495" s="2" t="str">
        <x:v>v0.107</x:v>
      </x:c>
      <x:c r="B495" s="2" t="str">
        <x:v>储君</x:v>
      </x:c>
      <x:c r="C495" s="2" t="str">
        <x:v>达弗</x:v>
      </x:c>
      <x:c r="D495" s="2" t="str">
        <x:v>召唤铃铛</x:v>
      </x:c>
      <x:c r="E495" s="16" t="n">
        <x:f>IF(G495=0,I495,IF(G495=1,H495,G495*H495+(1-G495)*I495))</x:f>
        <x:v>0.38245560000000006</x:v>
      </x:c>
      <x:c r="F495" s="12" t="n">
        <x:v>2544</x:v>
      </x:c>
      <x:c r="G495" s="11" t="n">
        <x:v>0.24719999999999998</x:v>
      </x:c>
      <x:c r="H495" s="11" t="n">
        <x:v>0.33390000000000003</x:v>
      </x:c>
      <x:c r="I495" s="11" t="n">
        <x:v>0.39840000000000003</x:v>
      </x:c>
      <x:c r="J495" s="13" t="n">
        <x:f>IF(OR(G495=0,G495=1),"",(H495-I495)*100)</x:f>
        <x:v>-6.45</x:v>
      </x:c>
      <x:c r="K495" s="14" t="n">
        <x:v>10.54</x:v>
      </x:c>
      <x:c r="L495" s="15" t="n">
        <x:f>F495*G495</x:f>
        <x:v>628.8767999999999</x:v>
      </x:c>
      <x:c r="M495" s="15" t="n">
        <x:f>F495-L495</x:f>
        <x:v>1915.1232</x:v>
      </x:c>
      <x:c r="N495" s="17" t="str">
        <x:v>不同幕混合，勿直接解释为纯强度</x:v>
      </x:c>
      <x:c r="O495" s="17" t="str">
        <x:v>https://sts2log.com/cards</x:v>
      </x:c>
      <x:c r="P495" s="17" t="str">
        <x:v>https://slaythespire2.net/ancient/darv</x:v>
      </x:c>
    </x:row>
    <x:row r="496" ht="42" customHeight="1">
      <x:c r="A496" s="2" t="str">
        <x:v>v0.107</x:v>
      </x:c>
      <x:c r="B496" s="2" t="str">
        <x:v>储君</x:v>
      </x:c>
      <x:c r="C496" s="2" t="str">
        <x:v>达弗</x:v>
      </x:c>
      <x:c r="D496" s="2" t="str">
        <x:v>空鸟笼</x:v>
      </x:c>
      <x:c r="E496" s="16" t="n">
        <x:f>IF(G496=0,I496,IF(G496=1,H496,G496*H496+(1-G496)*I496))</x:f>
        <x:v>0.37735275</x:v>
      </x:c>
      <x:c r="F496" s="12" t="n">
        <x:v>2568</x:v>
      </x:c>
      <x:c r="G496" s="11" t="n">
        <x:v>0.3345</x:v>
      </x:c>
      <x:c r="H496" s="11" t="n">
        <x:v>0.3504</x:v>
      </x:c>
      <x:c r="I496" s="11" t="n">
        <x:v>0.3909</x:v>
      </x:c>
      <x:c r="J496" s="13" t="n">
        <x:f>IF(OR(G496=0,G496=1),"",(H496-I496)*100)</x:f>
        <x:v>-4.050000000000003</x:v>
      </x:c>
      <x:c r="K496" s="14" t="n">
        <x:v>12.19</x:v>
      </x:c>
      <x:c r="L496" s="15" t="n">
        <x:f>F496*G496</x:f>
        <x:v>858.9960000000001</x:v>
      </x:c>
      <x:c r="M496" s="15" t="n">
        <x:f>F496-L496</x:f>
        <x:v>1709.004</x:v>
      </x:c>
      <x:c r="N496" s="17" t="str">
        <x:v>不同幕混合，勿直接解释为纯强度</x:v>
      </x:c>
      <x:c r="O496" s="17" t="str">
        <x:v>https://sts2log.com/cards</x:v>
      </x:c>
      <x:c r="P496" s="17" t="str">
        <x:v>https://slaythespire2.net/ancient/darv</x:v>
      </x:c>
    </x:row>
    <x:row r="497" ht="42" customHeight="1">
      <x:c r="A497" s="2" t="str">
        <x:v>v0.107</x:v>
      </x:c>
      <x:c r="B497" s="2" t="str">
        <x:v>储君</x:v>
      </x:c>
      <x:c r="C497" s="2" t="str">
        <x:v>达弗</x:v>
      </x:c>
      <x:c r="D497" s="2" t="str">
        <x:v>黑星</x:v>
      </x:c>
      <x:c r="E497" s="16" t="n">
        <x:f>IF(G497=0,I497,IF(G497=1,H497,G497*H497+(1-G497)*I497))</x:f>
        <x:v>0.37112882999999997</x:v>
      </x:c>
      <x:c r="F497" s="12" t="n">
        <x:v>2573</x:v>
      </x:c>
      <x:c r="G497" s="11" t="n">
        <x:v>0.1593</x:v>
      </x:c>
      <x:c r="H497" s="11" t="n">
        <x:v>0.3317</x:v>
      </x:c>
      <x:c r="I497" s="11" t="n">
        <x:v>0.3786</x:v>
      </x:c>
      <x:c r="J497" s="13" t="n">
        <x:f>IF(OR(G497=0,G497=1),"",(H497-I497)*100)</x:f>
        <x:v>-4.6899999999999995</x:v>
      </x:c>
      <x:c r="K497" s="14" t="n">
        <x:v>10.32</x:v>
      </x:c>
      <x:c r="L497" s="15" t="n">
        <x:f>F497*G497</x:f>
        <x:v>409.8789</x:v>
      </x:c>
      <x:c r="M497" s="15" t="n">
        <x:f>F497-L497</x:f>
        <x:v>2163.1211</x:v>
      </x:c>
      <x:c r="N497" s="17" t="str">
        <x:v>不同幕混合，勿直接解释为纯强度</x:v>
      </x:c>
      <x:c r="O497" s="17" t="str">
        <x:v>https://sts2log.com/cards</x:v>
      </x:c>
      <x:c r="P497" s="17" t="str">
        <x:v>https://slaythespire2.net/ancient/darv</x:v>
      </x:c>
    </x:row>
    <x:row r="498" ht="42" customHeight="1">
      <x:c r="A498" s="2" t="str">
        <x:v>v0.107</x:v>
      </x:c>
      <x:c r="B498" s="2" t="str">
        <x:v>储君</x:v>
      </x:c>
      <x:c r="C498" s="2" t="str">
        <x:v>达弗</x:v>
      </x:c>
      <x:c r="D498" s="2" t="str">
        <x:v>灵体外质</x:v>
      </x:c>
      <x:c r="E498" s="16" t="n">
        <x:f>IF(G498=0,I498,IF(G498=1,H498,G498*H498+(1-G498)*I498))</x:f>
        <x:v>0.34689746</x:v>
      </x:c>
      <x:c r="F498" s="12" t="n">
        <x:v>986</x:v>
      </x:c>
      <x:c r="G498" s="11" t="n">
        <x:v>0.0527</x:v>
      </x:c>
      <x:c r="H498" s="11" t="n">
        <x:v>0.3846</x:v>
      </x:c>
      <x:c r="I498" s="11" t="n">
        <x:v>0.3448</x:v>
      </x:c>
      <x:c r="J498" s="13" t="n">
        <x:f>IF(OR(G498=0,G498=1),"",(H498-I498)*100)</x:f>
        <x:v>3.9800000000000004</x:v>
      </x:c>
      <x:c r="K498" s="14" t="n">
        <x:v>15.61</x:v>
      </x:c>
      <x:c r="L498" s="15" t="n">
        <x:f>F498*G498</x:f>
        <x:v>51.962199999999996</x:v>
      </x:c>
      <x:c r="M498" s="15" t="n">
        <x:f>F498-L498</x:f>
        <x:v>934.0378000000001</x:v>
      </x:c>
      <x:c r="N498" s="17" t="str">
        <x:v>不同幕混合，勿直接解释为纯强度</x:v>
      </x:c>
      <x:c r="O498" s="17" t="str">
        <x:v>https://sts2log.com/cards</x:v>
      </x:c>
      <x:c r="P498" s="17" t="str">
        <x:v>https://op.gg/zh-cn/slay-the-spire2/events/Darv</x:v>
      </x:c>
    </x:row>
    <x:row r="499" ht="42" customHeight="1">
      <x:c r="A499" s="2" t="str">
        <x:v>v0.107</x:v>
      </x:c>
      <x:c r="B499" s="2" t="str">
        <x:v>储君</x:v>
      </x:c>
      <x:c r="C499" s="2" t="str">
        <x:v>达弗</x:v>
      </x:c>
      <x:c r="D499" s="2" t="str">
        <x:v>添水</x:v>
      </x:c>
      <x:c r="E499" s="16" t="n">
        <x:f>IF(G499=0,I499,IF(G499=1,H499,G499*H499+(1-G499)*I499))</x:f>
        <x:v>0.34562823</x:v>
      </x:c>
      <x:c r="F499" s="12" t="n">
        <x:v>1030</x:v>
      </x:c>
      <x:c r="G499" s="11" t="n">
        <x:v>0.10869999999999999</x:v>
      </x:c>
      <x:c r="H499" s="11" t="n">
        <x:v>0.3393</x:v>
      </x:c>
      <x:c r="I499" s="11" t="n">
        <x:v>0.3464</x:v>
      </x:c>
      <x:c r="J499" s="13" t="n">
        <x:f>IF(OR(G499=0,G499=1),"",(H499-I499)*100)</x:f>
        <x:v>-0.7099999999999995</x:v>
      </x:c>
      <x:c r="K499" s="14" t="n">
        <x:v>11.08</x:v>
      </x:c>
      <x:c r="L499" s="15" t="n">
        <x:f>F499*G499</x:f>
        <x:v>111.96099999999998</x:v>
      </x:c>
      <x:c r="M499" s="15" t="n">
        <x:f>F499-L499</x:f>
        <x:v>918.039</x:v>
      </x:c>
      <x:c r="N499" s="17" t="str">
        <x:v>不同幕混合，勿直接解释为纯强度</x:v>
      </x:c>
      <x:c r="O499" s="17" t="str">
        <x:v>https://sts2log.com/cards</x:v>
      </x:c>
      <x:c r="P499" s="17" t="str">
        <x:v>https://op.gg/zh-cn/slay-the-spire2/events/Darv</x:v>
      </x:c>
    </x:row>
    <x:row r="500" ht="25" customHeight="1">
      <x:c r="A500" s="2" t="str">
        <x:v>v0.111</x:v>
      </x:c>
      <x:c r="B500" s="2" t="str">
        <x:v>铁甲战士</x:v>
      </x:c>
      <x:c r="C500" s="2" t="str">
        <x:v>涅奥</x:v>
      </x:c>
      <x:c r="D500" s="2" t="str">
        <x:v>巨大扭蛋</x:v>
      </x:c>
      <x:c r="E500" s="16" t="n">
        <x:f>IF(G500=0,I500,IF(G500=1,H500,G500*H500+(1-G500)*I500))</x:f>
        <x:v>0.35806791</x:v>
      </x:c>
      <x:c r="F500" s="12" t="n">
        <x:v>6384</x:v>
      </x:c>
      <x:c r="G500" s="11" t="n">
        <x:v>0.4403</x:v>
      </x:c>
      <x:c r="H500" s="11" t="n">
        <x:v>0.3579</x:v>
      </x:c>
      <x:c r="I500" s="11" t="n">
        <x:v>0.3582</x:v>
      </x:c>
      <x:c r="J500" s="13" t="n">
        <x:f>IF(OR(G500=0,G500=1),"",(H500-I500)*100)</x:f>
        <x:v>-0.030000000000002247</x:v>
      </x:c>
      <x:c r="K500" s="14" t="n">
        <x:v>2.71</x:v>
      </x:c>
      <x:c r="L500" s="15" t="n">
        <x:f>F500*G500</x:f>
        <x:v>2810.8752</x:v>
      </x:c>
      <x:c r="M500" s="15" t="n">
        <x:f>F500-L500</x:f>
        <x:v>3573.1248</x:v>
      </x:c>
      <x:c r="N500" s="17" t="str"/>
      <x:c r="O500" s="17" t="str">
        <x:v>https://sts2log.com/cards</x:v>
      </x:c>
      <x:c r="P500" s="17" t="str">
        <x:v>https://slaythespire2.net/ancient/neow</x:v>
      </x:c>
    </x:row>
    <x:row r="501" ht="25" customHeight="1">
      <x:c r="A501" s="2" t="str">
        <x:v>v0.111</x:v>
      </x:c>
      <x:c r="B501" s="2" t="str">
        <x:v>铁甲战士</x:v>
      </x:c>
      <x:c r="C501" s="2" t="str">
        <x:v>涅奥</x:v>
      </x:c>
      <x:c r="D501" s="2" t="str">
        <x:v>树叶药膏</x:v>
      </x:c>
      <x:c r="E501" s="16" t="n">
        <x:f>IF(G501=0,I501,IF(G501=1,H501,G501*H501+(1-G501)*I501))</x:f>
        <x:v>0.352785</x:v>
      </x:c>
      <x:c r="F501" s="12" t="n">
        <x:v>6778</x:v>
      </x:c>
      <x:c r="G501" s="11" t="n">
        <x:v>0.65</x:v>
      </x:c>
      <x:c r="H501" s="11" t="n">
        <x:v>0.365</x:v>
      </x:c>
      <x:c r="I501" s="11" t="n">
        <x:v>0.3301</x:v>
      </x:c>
      <x:c r="J501" s="13" t="n">
        <x:f>IF(OR(G501=0,G501=1),"",(H501-I501)*100)</x:f>
        <x:v>3.4899999999999984</x:v>
      </x:c>
      <x:c r="K501" s="14" t="n">
        <x:v>3.42</x:v>
      </x:c>
      <x:c r="L501" s="15" t="n">
        <x:f>F501*G501</x:f>
        <x:v>4405.7</x:v>
      </x:c>
      <x:c r="M501" s="15" t="n">
        <x:f>F501-L501</x:f>
        <x:v>2372.3</x:v>
      </x:c>
      <x:c r="N501" s="17" t="str"/>
      <x:c r="O501" s="17" t="str">
        <x:v>https://sts2log.com/cards</x:v>
      </x:c>
      <x:c r="P501" s="17" t="str">
        <x:v>https://slaythespire2.net/ancient/neow</x:v>
      </x:c>
    </x:row>
    <x:row r="502" ht="25" customHeight="1">
      <x:c r="A502" s="2" t="str">
        <x:v>v0.111</x:v>
      </x:c>
      <x:c r="B502" s="2" t="str">
        <x:v>铁甲战士</x:v>
      </x:c>
      <x:c r="C502" s="2" t="str">
        <x:v>涅奥</x:v>
      </x:c>
      <x:c r="D502" s="2" t="str">
        <x:v>药瓶皮套</x:v>
      </x:c>
      <x:c r="E502" s="16" t="n">
        <x:f>IF(G502=0,I502,IF(G502=1,H502,G502*H502+(1-G502)*I502))</x:f>
        <x:v>0.3410795</x:v>
      </x:c>
      <x:c r="F502" s="12" t="n">
        <x:v>7968</x:v>
      </x:c>
      <x:c r="G502" s="11" t="n">
        <x:v>0.1825</x:v>
      </x:c>
      <x:c r="H502" s="11" t="n">
        <x:v>0.40369999999999995</x:v>
      </x:c>
      <x:c r="I502" s="11" t="n">
        <x:v>0.3271</x:v>
      </x:c>
      <x:c r="J502" s="13" t="n">
        <x:f>IF(OR(G502=0,G502=1),"",(H502-I502)*100)</x:f>
        <x:v>7.659999999999995</x:v>
      </x:c>
      <x:c r="K502" s="14" t="n">
        <x:v>7.29</x:v>
      </x:c>
      <x:c r="L502" s="15" t="n">
        <x:f>F502*G502</x:f>
        <x:v>1454.1599999999999</x:v>
      </x:c>
      <x:c r="M502" s="15" t="n">
        <x:f>F502-L502</x:f>
        <x:v>6513.84</x:v>
      </x:c>
      <x:c r="N502" s="17" t="str"/>
      <x:c r="O502" s="17" t="str">
        <x:v>https://sts2log.com/cards</x:v>
      </x:c>
      <x:c r="P502" s="17" t="str">
        <x:v>https://slaythespire2.net/ancient/neow</x:v>
      </x:c>
    </x:row>
    <x:row r="503" ht="25" customHeight="1">
      <x:c r="A503" s="2" t="str">
        <x:v>v0.111</x:v>
      </x:c>
      <x:c r="B503" s="2" t="str">
        <x:v>铁甲战士</x:v>
      </x:c>
      <x:c r="C503" s="2" t="str">
        <x:v>涅奥</x:v>
      </x:c>
      <x:c r="D503" s="2" t="str">
        <x:v>轰鸣海螺</x:v>
      </x:c>
      <x:c r="E503" s="16" t="n">
        <x:f>IF(G503=0,I503,IF(G503=1,H503,G503*H503+(1-G503)*I503))</x:f>
        <x:v>0.34105749999999996</x:v>
      </x:c>
      <x:c r="F503" s="12" t="n">
        <x:v>8940</x:v>
      </x:c>
      <x:c r="G503" s="11" t="n">
        <x:v>0.183</x:v>
      </x:c>
      <x:c r="H503" s="11" t="n">
        <x:v>0.42479999999999996</x:v>
      </x:c>
      <x:c r="I503" s="11" t="n">
        <x:v>0.3223</x:v>
      </x:c>
      <x:c r="J503" s="13" t="n">
        <x:f>IF(OR(G503=0,G503=1),"",(H503-I503)*100)</x:f>
        <x:v>10.249999999999998</x:v>
      </x:c>
      <x:c r="K503" s="14" t="n">
        <x:v>9.4</x:v>
      </x:c>
      <x:c r="L503" s="15" t="n">
        <x:f>F503*G503</x:f>
        <x:v>1636.02</x:v>
      </x:c>
      <x:c r="M503" s="15" t="n">
        <x:f>F503-L503</x:f>
        <x:v>7303.98</x:v>
      </x:c>
      <x:c r="N503" s="17" t="str"/>
      <x:c r="O503" s="17" t="str">
        <x:v>https://sts2log.com/cards</x:v>
      </x:c>
      <x:c r="P503" s="17" t="str">
        <x:v>https://slaythespire2.net/ancient/neow</x:v>
      </x:c>
    </x:row>
    <x:row r="504" ht="25" customHeight="1">
      <x:c r="A504" s="2" t="str">
        <x:v>v0.111</x:v>
      </x:c>
      <x:c r="B504" s="2" t="str">
        <x:v>铁甲战士</x:v>
      </x:c>
      <x:c r="C504" s="2" t="str">
        <x:v>涅奥</x:v>
      </x:c>
      <x:c r="D504" s="2" t="str">
        <x:v>涅奥的牺牲</x:v>
      </x:c>
      <x:c r="E504" s="16" t="n">
        <x:f>IF(G504=0,I504,IF(G504=1,H504,G504*H504+(1-G504)*I504))</x:f>
        <x:v>0.33823621</x:v>
      </x:c>
      <x:c r="F504" s="12" t="n">
        <x:v>6004</x:v>
      </x:c>
      <x:c r="G504" s="11" t="n">
        <x:v>0.1481</x:v>
      </x:c>
      <x:c r="H504" s="11" t="n">
        <x:v>0.41840000000000005</x:v>
      </x:c>
      <x:c r="I504" s="11" t="n">
        <x:v>0.3243</x:v>
      </x:c>
      <x:c r="J504" s="13" t="n">
        <x:f>IF(OR(G504=0,G504=1),"",(H504-I504)*100)</x:f>
        <x:v>9.410000000000007</x:v>
      </x:c>
      <x:c r="K504" s="14" t="n">
        <x:v>8.76</x:v>
      </x:c>
      <x:c r="L504" s="15" t="n">
        <x:f>F504*G504</x:f>
        <x:v>889.1924</x:v>
      </x:c>
      <x:c r="M504" s="15" t="n">
        <x:f>F504-L504</x:f>
        <x:v>5114.8076</x:v>
      </x:c>
      <x:c r="N504" s="17" t="str"/>
      <x:c r="O504" s="17" t="str">
        <x:v>https://sts2log.com/cards</x:v>
      </x:c>
      <x:c r="P504" s="17" t="str">
        <x:v>https://op.gg/zh-cn/slay-the-spire2/events/Neow</x:v>
      </x:c>
    </x:row>
    <x:row r="505" ht="25" customHeight="1">
      <x:c r="A505" s="2" t="str">
        <x:v>v0.111</x:v>
      </x:c>
      <x:c r="B505" s="2" t="str">
        <x:v>铁甲战士</x:v>
      </x:c>
      <x:c r="C505" s="2" t="str">
        <x:v>涅奥</x:v>
      </x:c>
      <x:c r="D505" s="2" t="str">
        <x:v>铅制镇纸</x:v>
      </x:c>
      <x:c r="E505" s="16" t="n">
        <x:f>IF(G505=0,I505,IF(G505=1,H505,G505*H505+(1-G505)*I505))</x:f>
        <x:v>0.33723824</x:v>
      </x:c>
      <x:c r="F505" s="12" t="n">
        <x:v>9026</x:v>
      </x:c>
      <x:c r="G505" s="11" t="n">
        <x:v>0.33759999999999996</x:v>
      </x:c>
      <x:c r="H505" s="11" t="n">
        <x:v>0.35869999999999996</x:v>
      </x:c>
      <x:c r="I505" s="11" t="n">
        <x:v>0.32630000000000003</x:v>
      </x:c>
      <x:c r="J505" s="13" t="n">
        <x:f>IF(OR(G505=0,G505=1),"",(H505-I505)*100)</x:f>
        <x:v>3.239999999999993</x:v>
      </x:c>
      <x:c r="K505" s="14" t="n">
        <x:v>2.79</x:v>
      </x:c>
      <x:c r="L505" s="15" t="n">
        <x:f>F505*G505</x:f>
        <x:v>3047.1775999999995</x:v>
      </x:c>
      <x:c r="M505" s="15" t="n">
        <x:f>F505-L505</x:f>
        <x:v>5978.822400000001</x:v>
      </x:c>
      <x:c r="N505" s="17" t="str"/>
      <x:c r="O505" s="17" t="str">
        <x:v>https://sts2log.com/cards</x:v>
      </x:c>
      <x:c r="P505" s="17" t="str">
        <x:v>https://slaythespire2.net/ancient/neow</x:v>
      </x:c>
    </x:row>
    <x:row r="506" ht="25" customHeight="1">
      <x:c r="A506" s="2" t="str">
        <x:v>v0.111</x:v>
      </x:c>
      <x:c r="B506" s="2" t="str">
        <x:v>铁甲战士</x:v>
      </x:c>
      <x:c r="C506" s="2" t="str">
        <x:v>涅奥</x:v>
      </x:c>
      <x:c r="D506" s="2" t="str">
        <x:v>涅奥的苦痛</x:v>
      </x:c>
      <x:c r="E506" s="16" t="n">
        <x:f>IF(G506=0,I506,IF(G506=1,H506,G506*H506+(1-G506)*I506))</x:f>
        <x:v>0.33714016</x:v>
      </x:c>
      <x:c r="F506" s="12" t="n">
        <x:v>8739</x:v>
      </x:c>
      <x:c r="G506" s="11" t="n">
        <x:v>0.0992</x:v>
      </x:c>
      <x:c r="H506" s="11" t="n">
        <x:v>0.43829999999999997</x:v>
      </x:c>
      <x:c r="I506" s="11" t="n">
        <x:v>0.326</x:v>
      </x:c>
      <x:c r="J506" s="13" t="n">
        <x:f>IF(OR(G506=0,G506=1),"",(H506-I506)*100)</x:f>
        <x:v>11.229999999999995</x:v>
      </x:c>
      <x:c r="K506" s="14" t="n">
        <x:v>10.75</x:v>
      </x:c>
      <x:c r="L506" s="15" t="n">
        <x:f>F506*G506</x:f>
        <x:v>866.9087999999999</x:v>
      </x:c>
      <x:c r="M506" s="15" t="n">
        <x:f>F506-L506</x:f>
        <x:v>7872.0912</x:v>
      </x:c>
      <x:c r="N506" s="17" t="str"/>
      <x:c r="O506" s="17" t="str">
        <x:v>https://sts2log.com/cards</x:v>
      </x:c>
      <x:c r="P506" s="17" t="str">
        <x:v>https://slaythespire2.net/ancient/neow</x:v>
      </x:c>
    </x:row>
    <x:row r="507" ht="25" customHeight="1">
      <x:c r="A507" s="2" t="str">
        <x:v>v0.111</x:v>
      </x:c>
      <x:c r="B507" s="2" t="str">
        <x:v>铁甲战士</x:v>
      </x:c>
      <x:c r="C507" s="2" t="str">
        <x:v>涅奥</x:v>
      </x:c>
      <x:c r="D507" s="2" t="str">
        <x:v>华美发束</x:v>
      </x:c>
      <x:c r="E507" s="16" t="n">
        <x:f>IF(G507=0,I507,IF(G507=1,H507,G507*H507+(1-G507)*I507))</x:f>
        <x:v>0.33679538</x:v>
      </x:c>
      <x:c r="F507" s="12" t="n">
        <x:v>7663</x:v>
      </x:c>
      <x:c r="G507" s="11" t="n">
        <x:v>0.8067</x:v>
      </x:c>
      <x:c r="H507" s="11" t="n">
        <x:v>0.3332</x:v>
      </x:c>
      <x:c r="I507" s="11" t="n">
        <x:v>0.3518</x:v>
      </x:c>
      <x:c r="J507" s="13" t="n">
        <x:f>IF(OR(G507=0,G507=1),"",(H507-I507)*100)</x:f>
        <x:v>-1.8600000000000005</x:v>
      </x:c>
      <x:c r="K507" s="14" t="n">
        <x:v>0.24</x:v>
      </x:c>
      <x:c r="L507" s="15" t="n">
        <x:f>F507*G507</x:f>
        <x:v>6181.7420999999995</x:v>
      </x:c>
      <x:c r="M507" s="15" t="n">
        <x:f>F507-L507</x:f>
        <x:v>1481.2579000000005</x:v>
      </x:c>
      <x:c r="N507" s="17" t="str"/>
      <x:c r="O507" s="17" t="str">
        <x:v>https://sts2log.com/cards</x:v>
      </x:c>
      <x:c r="P507" s="17" t="str">
        <x:v>https://slaythespire2.net/ancient/neow</x:v>
      </x:c>
    </x:row>
    <x:row r="508" ht="25" customHeight="1">
      <x:c r="A508" s="2" t="str">
        <x:v>v0.111</x:v>
      </x:c>
      <x:c r="B508" s="2" t="str">
        <x:v>铁甲战士</x:v>
      </x:c>
      <x:c r="C508" s="2" t="str">
        <x:v>涅奥</x:v>
      </x:c>
      <x:c r="D508" s="2" t="str">
        <x:v>熔岩石</x:v>
      </x:c>
      <x:c r="E508" s="16" t="n">
        <x:f>IF(G508=0,I508,IF(G508=1,H508,G508*H508+(1-G508)*I508))</x:f>
        <x:v>0.3364767</x:v>
      </x:c>
      <x:c r="F508" s="12" t="n">
        <x:v>3971</x:v>
      </x:c>
      <x:c r="G508" s="11" t="n">
        <x:v>0.109</x:v>
      </x:c>
      <x:c r="H508" s="11" t="n">
        <x:v>0.35100000000000003</x:v>
      </x:c>
      <x:c r="I508" s="11" t="n">
        <x:v>0.3347</x:v>
      </x:c>
      <x:c r="J508" s="13" t="n">
        <x:f>IF(OR(G508=0,G508=1),"",(H508-I508)*100)</x:f>
        <x:v>1.6300000000000037</x:v>
      </x:c>
      <x:c r="K508" s="14" t="n">
        <x:v>2.02</x:v>
      </x:c>
      <x:c r="L508" s="15" t="n">
        <x:f>F508*G508</x:f>
        <x:v>432.839</x:v>
      </x:c>
      <x:c r="M508" s="15" t="n">
        <x:f>F508-L508</x:f>
        <x:v>3538.161</x:v>
      </x:c>
      <x:c r="N508" s="17" t="str"/>
      <x:c r="O508" s="17" t="str">
        <x:v>https://sts2log.com/cards</x:v>
      </x:c>
      <x:c r="P508" s="17" t="str">
        <x:v>https://slaythespire2.net/ancient/neow</x:v>
      </x:c>
    </x:row>
    <x:row r="509" ht="25" customHeight="1">
      <x:c r="A509" s="2" t="str">
        <x:v>v0.111</x:v>
      </x:c>
      <x:c r="B509" s="2" t="str">
        <x:v>铁甲战士</x:v>
      </x:c>
      <x:c r="C509" s="2" t="str">
        <x:v>涅奥</x:v>
      </x:c>
      <x:c r="D509" s="2" t="str">
        <x:v>橙型香盒</x:v>
      </x:c>
      <x:c r="E509" s="16" t="n">
        <x:f>IF(G509=0,I509,IF(G509=1,H509,G509*H509+(1-G509)*I509))</x:f>
        <x:v>0.33520813000000005</x:v>
      </x:c>
      <x:c r="F509" s="12" t="n">
        <x:v>4516</x:v>
      </x:c>
      <x:c r="G509" s="11" t="n">
        <x:v>0.0817</x:v>
      </x:c>
      <x:c r="H509" s="11" t="n">
        <x:v>0.2791</x:v>
      </x:c>
      <x:c r="I509" s="11" t="n">
        <x:v>0.34020000000000006</x:v>
      </x:c>
      <x:c r="J509" s="13" t="n">
        <x:f>IF(OR(G509=0,G509=1),"",(H509-I509)*100)</x:f>
        <x:v>-6.110000000000005</x:v>
      </x:c>
      <x:c r="K509" s="14" t="n">
        <x:v>-5.17</x:v>
      </x:c>
      <x:c r="L509" s="15" t="n">
        <x:f>F509*G509</x:f>
        <x:v>368.9572</x:v>
      </x:c>
      <x:c r="M509" s="15" t="n">
        <x:f>F509-L509</x:f>
        <x:v>4147.0428</x:v>
      </x:c>
      <x:c r="N509" s="17" t="str"/>
      <x:c r="O509" s="17" t="str">
        <x:v>https://sts2log.com/cards</x:v>
      </x:c>
      <x:c r="P509" s="17" t="str">
        <x:v>https://slaythespire2.net/ancient/neow</x:v>
      </x:c>
    </x:row>
    <x:row r="510" ht="25" customHeight="1">
      <x:c r="A510" s="2" t="str">
        <x:v>v0.111</x:v>
      </x:c>
      <x:c r="B510" s="2" t="str">
        <x:v>铁甲战士</x:v>
      </x:c>
      <x:c r="C510" s="2" t="str">
        <x:v>涅奥</x:v>
      </x:c>
      <x:c r="D510" s="2" t="str">
        <x:v>新叶</x:v>
      </x:c>
      <x:c r="E510" s="16" t="n">
        <x:f>IF(G510=0,I510,IF(G510=1,H510,G510*H510+(1-G510)*I510))</x:f>
        <x:v>0.3349034000000001</x:v>
      </x:c>
      <x:c r="F510" s="12" t="n">
        <x:v>8325</x:v>
      </x:c>
      <x:c r="G510" s="11" t="n">
        <x:v>0.3815</x:v>
      </x:c>
      <x:c r="H510" s="11" t="n">
        <x:v>0.34950000000000003</x:v>
      </x:c>
      <x:c r="I510" s="11" t="n">
        <x:v>0.3259</x:v>
      </x:c>
      <x:c r="J510" s="13" t="n">
        <x:f>IF(OR(G510=0,G510=1),"",(H510-I510)*100)</x:f>
        <x:v>2.360000000000001</x:v>
      </x:c>
      <x:c r="K510" s="14" t="n">
        <x:v>1.87</x:v>
      </x:c>
      <x:c r="L510" s="15" t="n">
        <x:f>F510*G510</x:f>
        <x:v>3175.9875</x:v>
      </x:c>
      <x:c r="M510" s="15" t="n">
        <x:f>F510-L510</x:f>
        <x:v>5149.0125</x:v>
      </x:c>
      <x:c r="N510" s="17" t="str"/>
      <x:c r="O510" s="17" t="str">
        <x:v>https://sts2log.com/cards</x:v>
      </x:c>
      <x:c r="P510" s="17" t="str">
        <x:v>https://slaythespire2.net/ancient/neow</x:v>
      </x:c>
    </x:row>
    <x:row r="511" ht="25" customHeight="1">
      <x:c r="A511" s="2" t="str">
        <x:v>v0.111</x:v>
      </x:c>
      <x:c r="B511" s="2" t="str">
        <x:v>铁甲战士</x:v>
      </x:c>
      <x:c r="C511" s="2" t="str">
        <x:v>涅奥</x:v>
      </x:c>
      <x:c r="D511" s="2" t="str">
        <x:v>涅奥的护符</x:v>
      </x:c>
      <x:c r="E511" s="16" t="n">
        <x:f>IF(G511=0,I511,IF(G511=1,H511,G511*H511+(1-G511)*I511))</x:f>
        <x:v>0.33438324999999997</x:v>
      </x:c>
      <x:c r="F511" s="12" t="n">
        <x:v>4429</x:v>
      </x:c>
      <x:c r="G511" s="11" t="n">
        <x:v>0.0975</x:v>
      </x:c>
      <x:c r="H511" s="11" t="n">
        <x:v>0.3657</x:v>
      </x:c>
      <x:c r="I511" s="11" t="n">
        <x:v>0.331</x:v>
      </x:c>
      <x:c r="J511" s="13" t="n">
        <x:f>IF(OR(G511=0,G511=1),"",(H511-I511)*100)</x:f>
        <x:v>3.4700000000000006</x:v>
      </x:c>
      <x:c r="K511" s="14" t="n">
        <x:v>3.49</x:v>
      </x:c>
      <x:c r="L511" s="15" t="n">
        <x:f>F511*G511</x:f>
        <x:v>431.8275</x:v>
      </x:c>
      <x:c r="M511" s="15" t="n">
        <x:f>F511-L511</x:f>
        <x:v>3997.1725</x:v>
      </x:c>
      <x:c r="N511" s="17" t="str"/>
      <x:c r="O511" s="17" t="str">
        <x:v>https://sts2log.com/cards</x:v>
      </x:c>
      <x:c r="P511" s="17" t="str">
        <x:v>https://slaythespire2.net/ancient/neow</x:v>
      </x:c>
    </x:row>
    <x:row r="512" ht="25" customHeight="1">
      <x:c r="A512" s="2" t="str">
        <x:v>v0.111</x:v>
      </x:c>
      <x:c r="B512" s="2" t="str">
        <x:v>铁甲战士</x:v>
      </x:c>
      <x:c r="C512" s="2" t="str">
        <x:v>涅奥</x:v>
      </x:c>
      <x:c r="D512" s="2" t="str">
        <x:v>松动羊毛剪</x:v>
      </x:c>
      <x:c r="E512" s="16" t="n">
        <x:f>IF(G512=0,I512,IF(G512=1,H512,G512*H512+(1-G512)*I512))</x:f>
        <x:v>0.3342731</x:v>
      </x:c>
      <x:c r="F512" s="12" t="n">
        <x:v>6639</x:v>
      </x:c>
      <x:c r="G512" s="11" t="n">
        <x:v>0.3165</x:v>
      </x:c>
      <x:c r="H512" s="11" t="n">
        <x:v>0.3489</x:v>
      </x:c>
      <x:c r="I512" s="11" t="n">
        <x:v>0.3275</x:v>
      </x:c>
      <x:c r="J512" s="13" t="n">
        <x:f>IF(OR(G512=0,G512=1),"",(H512-I512)*100)</x:f>
        <x:v>2.1399999999999975</x:v>
      </x:c>
      <x:c r="K512" s="14" t="n">
        <x:v>1.81</x:v>
      </x:c>
      <x:c r="L512" s="15" t="n">
        <x:f>F512*G512</x:f>
        <x:v>2101.2435</x:v>
      </x:c>
      <x:c r="M512" s="15" t="n">
        <x:f>F512-L512</x:f>
        <x:v>4537.7564999999995</x:v>
      </x:c>
      <x:c r="N512" s="17" t="str"/>
      <x:c r="O512" s="17" t="str">
        <x:v>https://sts2log.com/cards</x:v>
      </x:c>
      <x:c r="P512" s="17" t="str">
        <x:v>https://slaythespire2.net/ancient/neow</x:v>
      </x:c>
    </x:row>
    <x:row r="513" ht="25" customHeight="1">
      <x:c r="A513" s="2" t="str">
        <x:v>v0.111</x:v>
      </x:c>
      <x:c r="B513" s="2" t="str">
        <x:v>铁甲战士</x:v>
      </x:c>
      <x:c r="C513" s="2" t="str">
        <x:v>涅奥</x:v>
      </x:c>
      <x:c r="D513" s="2" t="str">
        <x:v>小型扭蛋</x:v>
      </x:c>
      <x:c r="E513" s="16" t="n">
        <x:f>IF(G513=0,I513,IF(G513=1,H513,G513*H513+(1-G513)*I513))</x:f>
        <x:v>0.33396576</x:v>
      </x:c>
      <x:c r="F513" s="12" t="n">
        <x:v>4096</x:v>
      </x:c>
      <x:c r="G513" s="11" t="n">
        <x:v>0.2612</x:v>
      </x:c>
      <x:c r="H513" s="11" t="n">
        <x:v>0.34490000000000004</x:v>
      </x:c>
      <x:c r="I513" s="11" t="n">
        <x:v>0.3301</x:v>
      </x:c>
      <x:c r="J513" s="13" t="n">
        <x:f>IF(OR(G513=0,G513=1),"",(H513-I513)*100)</x:f>
        <x:v>1.4800000000000035</x:v>
      </x:c>
      <x:c r="K513" s="14" t="n">
        <x:v>1.41</x:v>
      </x:c>
      <x:c r="L513" s="15" t="n">
        <x:f>F513*G513</x:f>
        <x:v>1069.8752</x:v>
      </x:c>
      <x:c r="M513" s="15" t="n">
        <x:f>F513-L513</x:f>
        <x:v>3026.1248</x:v>
      </x:c>
      <x:c r="N513" s="17" t="str"/>
      <x:c r="O513" s="17" t="str">
        <x:v>https://sts2log.com/cards</x:v>
      </x:c>
      <x:c r="P513" s="17" t="str">
        <x:v>https://slaythespire2.net/ancient/neow</x:v>
      </x:c>
    </x:row>
    <x:row r="514" ht="25" customHeight="1">
      <x:c r="A514" s="2" t="str">
        <x:v>v0.111</x:v>
      </x:c>
      <x:c r="B514" s="2" t="str">
        <x:v>铁甲战士</x:v>
      </x:c>
      <x:c r="C514" s="2" t="str">
        <x:v>涅奥</x:v>
      </x:c>
      <x:c r="D514" s="2" t="str">
        <x:v>石炉加湿器</x:v>
      </x:c>
      <x:c r="E514" s="16" t="n">
        <x:f>IF(G514=0,I514,IF(G514=1,H514,G514*H514+(1-G514)*I514))</x:f>
        <x:v>0.33312408</x:v>
      </x:c>
      <x:c r="F514" s="12" t="n">
        <x:v>4380</x:v>
      </x:c>
      <x:c r="G514" s="11" t="n">
        <x:v>0.0664</x:v>
      </x:c>
      <x:c r="H514" s="11" t="n">
        <x:v>0.2955</x:v>
      </x:c>
      <x:c r="I514" s="11" t="n">
        <x:v>0.3358</x:v>
      </x:c>
      <x:c r="J514" s="13" t="n">
        <x:f>IF(OR(G514=0,G514=1),"",(H514-I514)*100)</x:f>
        <x:v>-4.03</x:v>
      </x:c>
      <x:c r="K514" s="14" t="n">
        <x:v>-3.53</x:v>
      </x:c>
      <x:c r="L514" s="15" t="n">
        <x:f>F514*G514</x:f>
        <x:v>290.832</x:v>
      </x:c>
      <x:c r="M514" s="15" t="n">
        <x:f>F514-L514</x:f>
        <x:v>4089.168</x:v>
      </x:c>
      <x:c r="N514" s="17" t="str"/>
      <x:c r="O514" s="17" t="str">
        <x:v>https://sts2log.com/cards</x:v>
      </x:c>
      <x:c r="P514" s="17" t="str">
        <x:v>https://slaythespire2.net/ancient/neow</x:v>
      </x:c>
    </x:row>
    <x:row r="515" ht="25" customHeight="1">
      <x:c r="A515" s="2" t="str">
        <x:v>v0.111</x:v>
      </x:c>
      <x:c r="B515" s="2" t="str">
        <x:v>铁甲战士</x:v>
      </x:c>
      <x:c r="C515" s="2" t="str">
        <x:v>涅奥</x:v>
      </x:c>
      <x:c r="D515" s="2" t="str">
        <x:v>奥术卷轴</x:v>
      </x:c>
      <x:c r="E515" s="16" t="n">
        <x:f>IF(G515=0,I515,IF(G515=1,H515,G515*H515+(1-G515)*I515))</x:f>
        <x:v>0.33288144000000003</x:v>
      </x:c>
      <x:c r="F515" s="12" t="n">
        <x:v>8345</x:v>
      </x:c>
      <x:c r="G515" s="11" t="n">
        <x:v>0.5312</x:v>
      </x:c>
      <x:c r="H515" s="11" t="n">
        <x:v>0.3018</x:v>
      </x:c>
      <x:c r="I515" s="11" t="n">
        <x:v>0.36810000000000004</x:v>
      </x:c>
      <x:c r="J515" s="13" t="n">
        <x:f>IF(OR(G515=0,G515=1),"",(H515-I515)*100)</x:f>
        <x:v>-6.630000000000003</x:v>
      </x:c>
      <x:c r="K515" s="14" t="n">
        <x:v>-2.9</x:v>
      </x:c>
      <x:c r="L515" s="15" t="n">
        <x:f>F515*G515</x:f>
        <x:v>4432.8640000000005</x:v>
      </x:c>
      <x:c r="M515" s="15" t="n">
        <x:f>F515-L515</x:f>
        <x:v>3912.1359999999995</x:v>
      </x:c>
      <x:c r="N515" s="17" t="str"/>
      <x:c r="O515" s="17" t="str">
        <x:v>https://sts2log.com/cards</x:v>
      </x:c>
      <x:c r="P515" s="17" t="str">
        <x:v>https://slaythespire2.net/ancient/neow</x:v>
      </x:c>
    </x:row>
    <x:row r="516" ht="25" customHeight="1">
      <x:c r="A516" s="2" t="str">
        <x:v>v0.111</x:v>
      </x:c>
      <x:c r="B516" s="2" t="str">
        <x:v>铁甲战士</x:v>
      </x:c>
      <x:c r="C516" s="2" t="str">
        <x:v>涅奥</x:v>
      </x:c>
      <x:c r="D516" s="2" t="str">
        <x:v>钓鱼竿</x:v>
      </x:c>
      <x:c r="E516" s="16" t="n">
        <x:f>IF(G516=0,I516,IF(G516=1,H516,G516*H516+(1-G516)*I516))</x:f>
        <x:v>0.33073377000000004</x:v>
      </x:c>
      <x:c r="F516" s="12" t="n">
        <x:v>8984</x:v>
      </x:c>
      <x:c r="G516" s="11" t="n">
        <x:v>0.1131</x:v>
      </x:c>
      <x:c r="H516" s="11" t="n">
        <x:v>0.3012</x:v>
      </x:c>
      <x:c r="I516" s="11" t="n">
        <x:v>0.3345</x:v>
      </x:c>
      <x:c r="J516" s="13" t="n">
        <x:f>IF(OR(G516=0,G516=1),"",(H516-I516)*100)</x:f>
        <x:v>-3.3299999999999996</x:v>
      </x:c>
      <x:c r="K516" s="14" t="n">
        <x:v>-2.96</x:v>
      </x:c>
      <x:c r="L516" s="15" t="n">
        <x:f>F516*G516</x:f>
        <x:v>1016.0904</x:v>
      </x:c>
      <x:c r="M516" s="15" t="n">
        <x:f>F516-L516</x:f>
        <x:v>7967.9096</x:v>
      </x:c>
      <x:c r="N516" s="17" t="str"/>
      <x:c r="O516" s="17" t="str">
        <x:v>https://sts2log.com/cards</x:v>
      </x:c>
      <x:c r="P516" s="17" t="str">
        <x:v>https://slaythespire2.net/ancient/neow</x:v>
      </x:c>
    </x:row>
    <x:row r="517" ht="25" customHeight="1">
      <x:c r="A517" s="2" t="str">
        <x:v>v0.111</x:v>
      </x:c>
      <x:c r="B517" s="2" t="str">
        <x:v>铁甲战士</x:v>
      </x:c>
      <x:c r="C517" s="2" t="str">
        <x:v>涅奥</x:v>
      </x:c>
      <x:c r="D517" s="2" t="str">
        <x:v>万花筒</x:v>
      </x:c>
      <x:c r="E517" s="16" t="n">
        <x:f>IF(G517=0,I517,IF(G517=1,H517,G517*H517+(1-G517)*I517))</x:f>
        <x:v>0.3296448</x:v>
      </x:c>
      <x:c r="F517" s="12" t="n">
        <x:v>8505</x:v>
      </x:c>
      <x:c r="G517" s="11" t="n">
        <x:v>0.3069</x:v>
      </x:c>
      <x:c r="H517" s="11" t="n">
        <x:v>0.32409999999999994</x:v>
      </x:c>
      <x:c r="I517" s="11" t="n">
        <x:v>0.3321</x:v>
      </x:c>
      <x:c r="J517" s="13" t="n">
        <x:f>IF(OR(G517=0,G517=1),"",(H517-I517)*100)</x:f>
        <x:v>-0.8000000000000063</x:v>
      </x:c>
      <x:c r="K517" s="14" t="n">
        <x:v>-0.67</x:v>
      </x:c>
      <x:c r="L517" s="15" t="n">
        <x:f>F517*G517</x:f>
        <x:v>2610.1845</x:v>
      </x:c>
      <x:c r="M517" s="15" t="n">
        <x:f>F517-L517</x:f>
        <x:v>5894.815500000001</x:v>
      </x:c>
      <x:c r="N517" s="17" t="str"/>
      <x:c r="O517" s="17" t="str">
        <x:v>https://sts2log.com/cards</x:v>
      </x:c>
      <x:c r="P517" s="17" t="str">
        <x:v>https://slaythespire2.net/ancient/neow</x:v>
      </x:c>
    </x:row>
    <x:row r="518" ht="25" customHeight="1">
      <x:c r="A518" s="2" t="str">
        <x:v>v0.111</x:v>
      </x:c>
      <x:c r="B518" s="2" t="str">
        <x:v>铁甲战士</x:v>
      </x:c>
      <x:c r="C518" s="2" t="str">
        <x:v>涅奥</x:v>
      </x:c>
      <x:c r="D518" s="2" t="str">
        <x:v>失物盒</x:v>
      </x:c>
      <x:c r="E518" s="16" t="n">
        <x:f>IF(G518=0,I518,IF(G518=1,H518,G518*H518+(1-G518)*I518))</x:f>
        <x:v>0.3284702</x:v>
      </x:c>
      <x:c r="F518" s="12" t="n">
        <x:v>8058</x:v>
      </x:c>
      <x:c r="G518" s="11" t="n">
        <x:v>0.19260000000000002</x:v>
      </x:c>
      <x:c r="H518" s="11" t="n">
        <x:v>0.3099</x:v>
      </x:c>
      <x:c r="I518" s="11" t="n">
        <x:v>0.3329</x:v>
      </x:c>
      <x:c r="J518" s="13" t="n">
        <x:f>IF(OR(G518=0,G518=1),"",(H518-I518)*100)</x:f>
        <x:v>-2.2999999999999963</x:v>
      </x:c>
      <x:c r="K518" s="14" t="n">
        <x:v>-2.09</x:v>
      </x:c>
      <x:c r="L518" s="15" t="n">
        <x:f>F518*G518</x:f>
        <x:v>1551.9708000000003</x:v>
      </x:c>
      <x:c r="M518" s="15" t="n">
        <x:f>F518-L518</x:f>
        <x:v>6506.0292</x:v>
      </x:c>
      <x:c r="N518" s="17" t="str"/>
      <x:c r="O518" s="17" t="str">
        <x:v>https://sts2log.com/cards</x:v>
      </x:c>
      <x:c r="P518" s="17" t="str">
        <x:v>https://slaythespire2.net/ancient/neow</x:v>
      </x:c>
    </x:row>
    <x:row r="519" ht="25" customHeight="1">
      <x:c r="A519" s="2" t="str">
        <x:v>v0.111</x:v>
      </x:c>
      <x:c r="B519" s="2" t="str">
        <x:v>铁甲战士</x:v>
      </x:c>
      <x:c r="C519" s="2" t="str">
        <x:v>涅奥</x:v>
      </x:c>
      <x:c r="D519" s="2" t="str">
        <x:v>涅奥骨骰</x:v>
      </x:c>
      <x:c r="E519" s="16" t="n">
        <x:f>IF(G519=0,I519,IF(G519=1,H519,G519*H519+(1-G519)*I519))</x:f>
        <x:v>0.32790602</x:v>
      </x:c>
      <x:c r="F519" s="12" t="n">
        <x:v>6730</x:v>
      </x:c>
      <x:c r="G519" s="11" t="n">
        <x:v>0.5438000000000001</x:v>
      </x:c>
      <x:c r="H519" s="11" t="n">
        <x:v>0.30870000000000003</x:v>
      </x:c>
      <x:c r="I519" s="11" t="n">
        <x:v>0.3508</x:v>
      </x:c>
      <x:c r="J519" s="13" t="n">
        <x:f>IF(OR(G519=0,G519=1),"",(H519-I519)*100)</x:f>
        <x:v>-4.209999999999997</x:v>
      </x:c>
      <x:c r="K519" s="14" t="n">
        <x:v>-2.21</x:v>
      </x:c>
      <x:c r="L519" s="15" t="n">
        <x:f>F519*G519</x:f>
        <x:v>3659.7740000000003</x:v>
      </x:c>
      <x:c r="M519" s="15" t="n">
        <x:f>F519-L519</x:f>
        <x:v>3070.2259999999997</x:v>
      </x:c>
      <x:c r="N519" s="17" t="str"/>
      <x:c r="O519" s="17" t="str">
        <x:v>https://sts2log.com/cards</x:v>
      </x:c>
      <x:c r="P519" s="17" t="str">
        <x:v>https://slaythespire2.net/ancient/neow</x:v>
      </x:c>
    </x:row>
    <x:row r="520" ht="25" customHeight="1">
      <x:c r="A520" s="2" t="str">
        <x:v>v0.111</x:v>
      </x:c>
      <x:c r="B520" s="2" t="str">
        <x:v>铁甲战士</x:v>
      </x:c>
      <x:c r="C520" s="2" t="str">
        <x:v>涅奥</x:v>
      </x:c>
      <x:c r="D520" s="2" t="str">
        <x:v>金色珍珠</x:v>
      </x:c>
      <x:c r="E520" s="16" t="n">
        <x:f>IF(G520=0,I520,IF(G520=1,H520,G520*H520+(1-G520)*I520))</x:f>
        <x:v>0.32751793</x:v>
      </x:c>
      <x:c r="F520" s="12" t="n">
        <x:v>8397</x:v>
      </x:c>
      <x:c r="G520" s="11" t="n">
        <x:v>0.3839</x:v>
      </x:c>
      <x:c r="H520" s="11" t="n">
        <x:v>0.3452</x:v>
      </x:c>
      <x:c r="I520" s="11" t="n">
        <x:v>0.3165</x:v>
      </x:c>
      <x:c r="J520" s="13" t="n">
        <x:f>IF(OR(G520=0,G520=1),"",(H520-I520)*100)</x:f>
        <x:v>2.87</x:v>
      </x:c>
      <x:c r="K520" s="14" t="n">
        <x:v>1.44</x:v>
      </x:c>
      <x:c r="L520" s="15" t="n">
        <x:f>F520*G520</x:f>
        <x:v>3223.6083000000003</x:v>
      </x:c>
      <x:c r="M520" s="15" t="n">
        <x:f>F520-L520</x:f>
        <x:v>5173.3917</x:v>
      </x:c>
      <x:c r="N520" s="17" t="str"/>
      <x:c r="O520" s="17" t="str">
        <x:v>https://sts2log.com/cards</x:v>
      </x:c>
      <x:c r="P520" s="17" t="str">
        <x:v>https://slaythespire2.net/ancient/neow</x:v>
      </x:c>
    </x:row>
    <x:row r="521" ht="25" customHeight="1">
      <x:c r="A521" s="2" t="str">
        <x:v>v0.111</x:v>
      </x:c>
      <x:c r="B521" s="2" t="str">
        <x:v>铁甲战士</x:v>
      </x:c>
      <x:c r="C521" s="2" t="str">
        <x:v>涅奥</x:v>
      </x:c>
      <x:c r="D521" s="2" t="str">
        <x:v>精准剪刀</x:v>
      </x:c>
      <x:c r="E521" s="16" t="n">
        <x:f>IF(G521=0,I521,IF(G521=1,H521,G521*H521+(1-G521)*I521))</x:f>
        <x:v>0.32471754</x:v>
      </x:c>
      <x:c r="F521" s="12" t="n">
        <x:v>8071</x:v>
      </x:c>
      <x:c r="G521" s="11" t="n">
        <x:v>0.09789999999999999</x:v>
      </x:c>
      <x:c r="H521" s="11" t="n">
        <x:v>0.3</x:v>
      </x:c>
      <x:c r="I521" s="11" t="n">
        <x:v>0.3274</x:v>
      </x:c>
      <x:c r="J521" s="13" t="n">
        <x:f>IF(OR(G521=0,G521=1),"",(H521-I521)*100)</x:f>
        <x:v>-2.7400000000000038</x:v>
      </x:c>
      <x:c r="K521" s="14" t="n">
        <x:v>-3.08</x:v>
      </x:c>
      <x:c r="L521" s="15" t="n">
        <x:f>F521*G521</x:f>
        <x:v>790.1508999999999</x:v>
      </x:c>
      <x:c r="M521" s="15" t="n">
        <x:f>F521-L521</x:f>
        <x:v>7280.8491</x:v>
      </x:c>
      <x:c r="N521" s="17" t="str"/>
      <x:c r="O521" s="17" t="str">
        <x:v>https://sts2log.com/cards</x:v>
      </x:c>
      <x:c r="P521" s="17" t="str">
        <x:v>https://slaythespire2.net/ancient/neow</x:v>
      </x:c>
    </x:row>
    <x:row r="522" ht="25" customHeight="1">
      <x:c r="A522" s="2" t="str">
        <x:v>v0.111</x:v>
      </x:c>
      <x:c r="B522" s="2" t="str">
        <x:v>铁甲战士</x:v>
      </x:c>
      <x:c r="C522" s="2" t="str">
        <x:v>涅奥</x:v>
      </x:c>
      <x:c r="D522" s="2" t="str">
        <x:v>卷轴箱</x:v>
      </x:c>
      <x:c r="E522" s="16" t="n">
        <x:f>IF(G522=0,I522,IF(G522=1,H522,G522*H522+(1-G522)*I522))</x:f>
        <x:v>0.32432216</x:v>
      </x:c>
      <x:c r="F522" s="12" t="n">
        <x:v>8929</x:v>
      </x:c>
      <x:c r="G522" s="11" t="n">
        <x:v>0.3103</x:v>
      </x:c>
      <x:c r="H522" s="11" t="n">
        <x:v>0.3017</x:v>
      </x:c>
      <x:c r="I522" s="11" t="n">
        <x:v>0.3345</x:v>
      </x:c>
      <x:c r="J522" s="13" t="n">
        <x:f>IF(OR(G522=0,G522=1),"",(H522-I522)*100)</x:f>
        <x:v>-3.2799999999999994</x:v>
      </x:c>
      <x:c r="K522" s="14" t="n">
        <x:v>-2.91</x:v>
      </x:c>
      <x:c r="L522" s="15" t="n">
        <x:f>F522*G522</x:f>
        <x:v>2770.6687</x:v>
      </x:c>
      <x:c r="M522" s="15" t="n">
        <x:f>F522-L522</x:f>
        <x:v>6158.3313</x:v>
      </x:c>
      <x:c r="N522" s="17" t="str"/>
      <x:c r="O522" s="17" t="str">
        <x:v>https://sts2log.com/cards</x:v>
      </x:c>
      <x:c r="P522" s="17" t="str">
        <x:v>https://slaythespire2.net/ancient/neow</x:v>
      </x:c>
    </x:row>
    <x:row r="523" ht="25" customHeight="1">
      <x:c r="A523" s="2" t="str">
        <x:v>v0.111</x:v>
      </x:c>
      <x:c r="B523" s="2" t="str">
        <x:v>铁甲战士</x:v>
      </x:c>
      <x:c r="C523" s="2" t="str">
        <x:v>涅奥</x:v>
      </x:c>
      <x:c r="D523" s="2" t="str">
        <x:v>营养牡蛎</x:v>
      </x:c>
      <x:c r="E523" s="16" t="n">
        <x:f>IF(G523=0,I523,IF(G523=1,H523,G523*H523+(1-G523)*I523))</x:f>
        <x:v>0.32390388000000003</x:v>
      </x:c>
      <x:c r="F523" s="12" t="n">
        <x:v>4332</x:v>
      </x:c>
      <x:c r="G523" s="11" t="n">
        <x:v>0.0799</x:v>
      </x:c>
      <x:c r="H523" s="11" t="n">
        <x:v>0.2514</x:v>
      </x:c>
      <x:c r="I523" s="11" t="n">
        <x:v>0.33020000000000005</x:v>
      </x:c>
      <x:c r="J523" s="13" t="n">
        <x:f>IF(OR(G523=0,G523=1),"",(H523-I523)*100)</x:f>
        <x:v>-7.8800000000000034</x:v>
      </x:c>
      <x:c r="K523" s="14" t="n">
        <x:v>-7.94</x:v>
      </x:c>
      <x:c r="L523" s="15" t="n">
        <x:f>F523*G523</x:f>
        <x:v>346.1268</x:v>
      </x:c>
      <x:c r="M523" s="15" t="n">
        <x:f>F523-L523</x:f>
        <x:v>3985.8732</x:v>
      </x:c>
      <x:c r="N523" s="17" t="str"/>
      <x:c r="O523" s="17" t="str">
        <x:v>https://sts2log.com/cards</x:v>
      </x:c>
      <x:c r="P523" s="17" t="str">
        <x:v>https://slaythespire2.net/ancient/neow</x:v>
      </x:c>
    </x:row>
    <x:row r="524" ht="25" customHeight="1">
      <x:c r="A524" s="2" t="str">
        <x:v>v0.111</x:v>
      </x:c>
      <x:c r="B524" s="2" t="str">
        <x:v>铁甲战士</x:v>
      </x:c>
      <x:c r="C524" s="2" t="str">
        <x:v>涅奥</x:v>
      </x:c>
      <x:c r="D524" s="2" t="str">
        <x:v>白银熔炉</x:v>
      </x:c>
      <x:c r="E524" s="16" t="n">
        <x:f>IF(G524=0,I524,IF(G524=1,H524,G524*H524+(1-G524)*I524))</x:f>
        <x:v>0.32212375</x:v>
      </x:c>
      <x:c r="F524" s="12" t="n">
        <x:v>7553</x:v>
      </x:c>
      <x:c r="G524" s="11" t="n">
        <x:v>0.7365</x:v>
      </x:c>
      <x:c r="H524" s="11" t="n">
        <x:v>0.32409999999999994</x:v>
      </x:c>
      <x:c r="I524" s="11" t="n">
        <x:v>0.3166</x:v>
      </x:c>
      <x:c r="J524" s="13" t="n">
        <x:f>IF(OR(G524=0,G524=1),"",(H524-I524)*100)</x:f>
        <x:v>0.7499999999999951</x:v>
      </x:c>
      <x:c r="K524" s="14" t="n">
        <x:v>-0.67</x:v>
      </x:c>
      <x:c r="L524" s="15" t="n">
        <x:f>F524*G524</x:f>
        <x:v>5562.784500000001</x:v>
      </x:c>
      <x:c r="M524" s="15" t="n">
        <x:f>F524-L524</x:f>
        <x:v>1990.2154999999993</x:v>
      </x:c>
      <x:c r="N524" s="17" t="str"/>
      <x:c r="O524" s="17" t="str">
        <x:v>https://sts2log.com/cards</x:v>
      </x:c>
      <x:c r="P524" s="17" t="str">
        <x:v>https://slaythespire2.net/ancient/neow</x:v>
      </x:c>
    </x:row>
    <x:row r="525" ht="25" customHeight="1">
      <x:c r="A525" s="2" t="str">
        <x:v>v0.111</x:v>
      </x:c>
      <x:c r="B525" s="2" t="str">
        <x:v>铁甲战士</x:v>
      </x:c>
      <x:c r="C525" s="2" t="str">
        <x:v>涅奥</x:v>
      </x:c>
      <x:c r="D525" s="2" t="str">
        <x:v>诅咒珍珠</x:v>
      </x:c>
      <x:c r="E525" s="16" t="n">
        <x:f>IF(G525=0,I525,IF(G525=1,H525,G525*H525+(1-G525)*I525))</x:f>
        <x:v>0.32116848</x:v>
      </x:c>
      <x:c r="F525" s="12" t="n">
        <x:v>6897</x:v>
      </x:c>
      <x:c r="G525" s="11" t="n">
        <x:v>0.5584</x:v>
      </x:c>
      <x:c r="H525" s="11" t="n">
        <x:v>0.3111</x:v>
      </x:c>
      <x:c r="I525" s="11" t="n">
        <x:v>0.33390000000000003</x:v>
      </x:c>
      <x:c r="J525" s="13" t="n">
        <x:f>IF(OR(G525=0,G525=1),"",(H525-I525)*100)</x:f>
        <x:v>-2.2800000000000042</x:v>
      </x:c>
      <x:c r="K525" s="14" t="n">
        <x:v>-1.97</x:v>
      </x:c>
      <x:c r="L525" s="15" t="n">
        <x:f>F525*G525</x:f>
        <x:v>3851.2848</x:v>
      </x:c>
      <x:c r="M525" s="15" t="n">
        <x:f>F525-L525</x:f>
        <x:v>3045.7152</x:v>
      </x:c>
      <x:c r="N525" s="17" t="str"/>
      <x:c r="O525" s="17" t="str">
        <x:v>https://sts2log.com/cards</x:v>
      </x:c>
      <x:c r="P525" s="17" t="str">
        <x:v>https://slaythespire2.net/ancient/neow</x:v>
      </x:c>
    </x:row>
    <x:row r="526" ht="25" customHeight="1">
      <x:c r="A526" s="2" t="str">
        <x:v>v0.111</x:v>
      </x:c>
      <x:c r="B526" s="2" t="str">
        <x:v>铁甲战士</x:v>
      </x:c>
      <x:c r="C526" s="2" t="str">
        <x:v>涅奥</x:v>
      </x:c>
      <x:c r="D526" s="2" t="str">
        <x:v>羽翼之靴</x:v>
      </x:c>
      <x:c r="E526" s="16" t="n">
        <x:f>IF(G526=0,I526,IF(G526=1,H526,G526*H526+(1-G526)*I526))</x:f>
        <x:v>0.31684736999999996</x:v>
      </x:c>
      <x:c r="F526" s="12" t="n">
        <x:v>9007</x:v>
      </x:c>
      <x:c r="G526" s="11" t="n">
        <x:v>0.2047</x:v>
      </x:c>
      <x:c r="H526" s="11" t="n">
        <x:v>0.33840000000000003</x:v>
      </x:c>
      <x:c r="I526" s="11" t="n">
        <x:v>0.31129999999999997</x:v>
      </x:c>
      <x:c r="J526" s="13" t="n">
        <x:f>IF(OR(G526=0,G526=1),"",(H526-I526)*100)</x:f>
        <x:v>2.710000000000007</x:v>
      </x:c>
      <x:c r="K526" s="14" t="n">
        <x:v>0.76</x:v>
      </x:c>
      <x:c r="L526" s="15" t="n">
        <x:f>F526*G526</x:f>
        <x:v>1843.7329</x:v>
      </x:c>
      <x:c r="M526" s="15" t="n">
        <x:f>F526-L526</x:f>
        <x:v>7163.2671</x:v>
      </x:c>
      <x:c r="N526" s="17" t="str"/>
      <x:c r="O526" s="17" t="str">
        <x:v>https://sts2log.com/cards</x:v>
      </x:c>
      <x:c r="P526" s="17" t="str">
        <x:v>https://slaythespire2.net/ancient/neow</x:v>
      </x:c>
    </x:row>
    <x:row r="527" ht="25" customHeight="1">
      <x:c r="A527" s="2" t="str">
        <x:v>v0.111</x:v>
      </x:c>
      <x:c r="B527" s="2" t="str">
        <x:v>铁甲战士</x:v>
      </x:c>
      <x:c r="C527" s="2" t="str">
        <x:v>涅奥</x:v>
      </x:c>
      <x:c r="D527" s="2" t="str">
        <x:v>寻龙尺</x:v>
      </x:c>
      <x:c r="E527" s="16" t="n">
        <x:f>IF(G527=0,I527,IF(G527=1,H527,G527*H527+(1-G527)*I527))</x:f>
        <x:v>0.3168068</x:v>
      </x:c>
      <x:c r="F527" s="12" t="n">
        <x:v>6789</x:v>
      </x:c>
      <x:c r="G527" s="11" t="n">
        <x:v>0.3953</x:v>
      </x:c>
      <x:c r="H527" s="11" t="n">
        <x:v>0.2902</x:v>
      </x:c>
      <x:c r="I527" s="11" t="n">
        <x:v>0.3342</x:v>
      </x:c>
      <x:c r="J527" s="13" t="n">
        <x:f>IF(OR(G527=0,G527=1),"",(H527-I527)*100)</x:f>
        <x:v>-4.399999999999999</x:v>
      </x:c>
      <x:c r="K527" s="14" t="n">
        <x:v>-4.06</x:v>
      </x:c>
      <x:c r="L527" s="15" t="n">
        <x:f>F527*G527</x:f>
        <x:v>2683.6917</x:v>
      </x:c>
      <x:c r="M527" s="15" t="n">
        <x:f>F527-L527</x:f>
        <x:v>4105.308300000001</x:v>
      </x:c>
      <x:c r="N527" s="17" t="str"/>
      <x:c r="O527" s="17" t="str">
        <x:v>https://sts2log.com/cards</x:v>
      </x:c>
      <x:c r="P527" s="17" t="str">
        <x:v>https://op.gg/zh-cn/slay-the-spire2/events/Neow</x:v>
      </x:c>
    </x:row>
    <x:row r="528" ht="25" customHeight="1">
      <x:c r="A528" s="2" t="str">
        <x:v>v0.111</x:v>
      </x:c>
      <x:c r="B528" s="2" t="str">
        <x:v>铁甲战士</x:v>
      </x:c>
      <x:c r="C528" s="2" t="str">
        <x:v>涅奥</x:v>
      </x:c>
      <x:c r="D528" s="2" t="str">
        <x:v>沉重石板</x:v>
      </x:c>
      <x:c r="E528" s="16" t="n">
        <x:f>IF(G528=0,I528,IF(G528=1,H528,G528*H528+(1-G528)*I528))</x:f>
        <x:v>0.31202501</x:v>
      </x:c>
      <x:c r="F528" s="12" t="n">
        <x:v>7134</x:v>
      </x:c>
      <x:c r="G528" s="11" t="n">
        <x:v>0.6217</x:v>
      </x:c>
      <x:c r="H528" s="11" t="n">
        <x:v>0.2762</x:v>
      </x:c>
      <x:c r="I528" s="11" t="n">
        <x:v>0.3709</x:v>
      </x:c>
      <x:c r="J528" s="13" t="n">
        <x:f>IF(OR(G528=0,G528=1),"",(H528-I528)*100)</x:f>
        <x:v>-9.47</x:v>
      </x:c>
      <x:c r="K528" s="14" t="n">
        <x:v>-5.46</x:v>
      </x:c>
      <x:c r="L528" s="15" t="n">
        <x:f>F528*G528</x:f>
        <x:v>4435.2078</x:v>
      </x:c>
      <x:c r="M528" s="15" t="n">
        <x:f>F528-L528</x:f>
        <x:v>2698.7922</x:v>
      </x:c>
      <x:c r="N528" s="17" t="str"/>
      <x:c r="O528" s="17" t="str">
        <x:v>https://sts2log.com/cards</x:v>
      </x:c>
      <x:c r="P528" s="17" t="str">
        <x:v>https://slaythespire2.net/ancient/neow</x:v>
      </x:c>
    </x:row>
    <x:row r="529" ht="25" customHeight="1">
      <x:c r="A529" s="2" t="str">
        <x:v>v0.111</x:v>
      </x:c>
      <x:c r="B529" s="2" t="str">
        <x:v>铁甲战士</x:v>
      </x:c>
      <x:c r="C529" s="2" t="str">
        <x:v>欧洛巴斯</x:v>
      </x:c>
      <x:c r="D529" s="2" t="str">
        <x:v>炼金箱</x:v>
      </x:c>
      <x:c r="E529" s="16" t="n">
        <x:f>IF(G529=0,I529,IF(G529=1,H529,G529*H529+(1-G529)*I529))</x:f>
        <x:v>0.4755676</x:v>
      </x:c>
      <x:c r="F529" s="12" t="n">
        <x:v>2742</x:v>
      </x:c>
      <x:c r="G529" s="11" t="n">
        <x:v>0.2214</x:v>
      </x:c>
      <x:c r="H529" s="11" t="n">
        <x:v>0.5799</x:v>
      </x:c>
      <x:c r="I529" s="11" t="n">
        <x:v>0.4459</x:v>
      </x:c>
      <x:c r="J529" s="13" t="n">
        <x:f>IF(OR(G529=0,G529=1),"",(H529-I529)*100)</x:f>
        <x:v>13.399999999999995</x:v>
      </x:c>
      <x:c r="K529" s="14" t="n">
        <x:v>24.91</x:v>
      </x:c>
      <x:c r="L529" s="15" t="n">
        <x:f>F529*G529</x:f>
        <x:v>607.0788</x:v>
      </x:c>
      <x:c r="M529" s="15" t="n">
        <x:f>F529-L529</x:f>
        <x:v>2134.9211999999998</x:v>
      </x:c>
      <x:c r="N529" s="17" t="str"/>
      <x:c r="O529" s="17" t="str">
        <x:v>https://sts2log.com/cards</x:v>
      </x:c>
      <x:c r="P529" s="17" t="str">
        <x:v>https://slaythespire2.net/ancient/orobas</x:v>
      </x:c>
    </x:row>
    <x:row r="530" ht="25" customHeight="1">
      <x:c r="A530" s="2" t="str">
        <x:v>v0.111</x:v>
      </x:c>
      <x:c r="B530" s="2" t="str">
        <x:v>铁甲战士</x:v>
      </x:c>
      <x:c r="C530" s="2" t="str">
        <x:v>欧洛巴斯</x:v>
      </x:c>
      <x:c r="D530" s="2" t="str">
        <x:v>古老牙齿</x:v>
      </x:c>
      <x:c r="E530" s="16" t="n">
        <x:f>IF(G530=0,I530,IF(G530=1,H530,G530*H530+(1-G530)*I530))</x:f>
        <x:v>0.47465952</x:v>
      </x:c>
      <x:c r="F530" s="12" t="n">
        <x:v>5467</x:v>
      </x:c>
      <x:c r="G530" s="11" t="n">
        <x:v>0.7408</x:v>
      </x:c>
      <x:c r="H530" s="11" t="n">
        <x:v>0.4758</x:v>
      </x:c>
      <x:c r="I530" s="11" t="n">
        <x:v>0.4714</x:v>
      </x:c>
      <x:c r="J530" s="13" t="n">
        <x:f>IF(OR(G530=0,G530=1),"",(H530-I530)*100)</x:f>
        <x:v>0.4400000000000015</x:v>
      </x:c>
      <x:c r="K530" s="14" t="n">
        <x:v>14.5</x:v>
      </x:c>
      <x:c r="L530" s="15" t="n">
        <x:f>F530*G530</x:f>
        <x:v>4049.9536000000003</x:v>
      </x:c>
      <x:c r="M530" s="15" t="n">
        <x:f>F530-L530</x:f>
        <x:v>1417.0463999999997</x:v>
      </x:c>
      <x:c r="N530" s="17" t="str"/>
      <x:c r="O530" s="17" t="str">
        <x:v>https://sts2log.com/cards</x:v>
      </x:c>
      <x:c r="P530" s="17" t="str">
        <x:v>https://slaythespire2.net/ancient/orobas</x:v>
      </x:c>
    </x:row>
    <x:row r="531" ht="25" customHeight="1">
      <x:c r="A531" s="2" t="str">
        <x:v>v0.111</x:v>
      </x:c>
      <x:c r="B531" s="2" t="str">
        <x:v>铁甲战士</x:v>
      </x:c>
      <x:c r="C531" s="2" t="str">
        <x:v>欧洛巴斯</x:v>
      </x:c>
      <x:c r="D531" s="2" t="str">
        <x:v>放电异虾</x:v>
      </x:c>
      <x:c r="E531" s="16" t="n">
        <x:f>IF(G531=0,I531,IF(G531=1,H531,G531*H531+(1-G531)*I531))</x:f>
        <x:v>0.47207808</x:v>
      </x:c>
      <x:c r="F531" s="12" t="n">
        <x:v>4730</x:v>
      </x:c>
      <x:c r="G531" s="11" t="n">
        <x:v>0.1968</x:v>
      </x:c>
      <x:c r="H531" s="11" t="n">
        <x:v>0.5328</x:v>
      </x:c>
      <x:c r="I531" s="11" t="n">
        <x:v>0.4572</x:v>
      </x:c>
      <x:c r="J531" s="13" t="n">
        <x:f>IF(OR(G531=0,G531=1),"",(H531-I531)*100)</x:f>
        <x:v>7.560000000000006</x:v>
      </x:c>
      <x:c r="K531" s="14" t="n">
        <x:v>20.2</x:v>
      </x:c>
      <x:c r="L531" s="15" t="n">
        <x:f>F531*G531</x:f>
        <x:v>930.864</x:v>
      </x:c>
      <x:c r="M531" s="15" t="n">
        <x:f>F531-L531</x:f>
        <x:v>3799.136</x:v>
      </x:c>
      <x:c r="N531" s="17" t="str"/>
      <x:c r="O531" s="17" t="str">
        <x:v>https://sts2log.com/cards</x:v>
      </x:c>
      <x:c r="P531" s="17" t="str">
        <x:v>https://slaythespire2.net/ancient/orobas</x:v>
      </x:c>
    </x:row>
    <x:row r="532" ht="25" customHeight="1">
      <x:c r="A532" s="2" t="str">
        <x:v>v0.111</x:v>
      </x:c>
      <x:c r="B532" s="2" t="str">
        <x:v>铁甲战士</x:v>
      </x:c>
      <x:c r="C532" s="2" t="str">
        <x:v>欧洛巴斯</x:v>
      </x:c>
      <x:c r="D532" s="2" t="str">
        <x:v>棱彩宝石</x:v>
      </x:c>
      <x:c r="E532" s="16" t="n">
        <x:f>IF(G532=0,I532,IF(G532=1,H532,G532*H532+(1-G532)*I532))</x:f>
        <x:v>0.4700936</x:v>
      </x:c>
      <x:c r="F532" s="12" t="n">
        <x:v>1523</x:v>
      </x:c>
      <x:c r="G532" s="11" t="n">
        <x:v>0.392</x:v>
      </x:c>
      <x:c r="H532" s="11" t="n">
        <x:v>0.5025</x:v>
      </x:c>
      <x:c r="I532" s="11" t="n">
        <x:v>0.44920000000000004</x:v>
      </x:c>
      <x:c r="J532" s="13" t="n">
        <x:f>IF(OR(G532=0,G532=1),"",(H532-I532)*100)</x:f>
        <x:v>5.32999999999999</x:v>
      </x:c>
      <x:c r="K532" s="14" t="n">
        <x:v>17.17</x:v>
      </x:c>
      <x:c r="L532" s="15" t="n">
        <x:f>F532*G532</x:f>
        <x:v>597.0160000000001</x:v>
      </x:c>
      <x:c r="M532" s="15" t="n">
        <x:f>F532-L532</x:f>
        <x:v>925.9839999999999</x:v>
      </x:c>
      <x:c r="N532" s="17" t="str"/>
      <x:c r="O532" s="17" t="str">
        <x:v>https://sts2log.com/cards</x:v>
      </x:c>
      <x:c r="P532" s="17" t="str">
        <x:v>https://slaythespire2.net/ancient/orobas</x:v>
      </x:c>
    </x:row>
    <x:row r="533" ht="25" customHeight="1">
      <x:c r="A533" s="2" t="str">
        <x:v>v0.111</x:v>
      </x:c>
      <x:c r="B533" s="2" t="str">
        <x:v>铁甲战士</x:v>
      </x:c>
      <x:c r="C533" s="2" t="str">
        <x:v>欧洛巴斯</x:v>
      </x:c>
      <x:c r="D533" s="2" t="str">
        <x:v>沙堡</x:v>
      </x:c>
      <x:c r="E533" s="16" t="n">
        <x:f>IF(G533=0,I533,IF(G533=1,H533,G533*H533+(1-G533)*I533))</x:f>
        <x:v>0.46513967999999994</x:v>
      </x:c>
      <x:c r="F533" s="12" t="n">
        <x:v>2756</x:v>
      </x:c>
      <x:c r="G533" s="11" t="n">
        <x:v>0.1912</x:v>
      </x:c>
      <x:c r="H533" s="11" t="n">
        <x:v>0.41369999999999996</x:v>
      </x:c>
      <x:c r="I533" s="11" t="n">
        <x:v>0.47729999999999995</x:v>
      </x:c>
      <x:c r="J533" s="13" t="n">
        <x:f>IF(OR(G533=0,G533=1),"",(H533-I533)*100)</x:f>
        <x:v>-6.359999999999999</x:v>
      </x:c>
      <x:c r="K533" s="14" t="n">
        <x:v>8.29</x:v>
      </x:c>
      <x:c r="L533" s="15" t="n">
        <x:f>F533*G533</x:f>
        <x:v>526.9472000000001</x:v>
      </x:c>
      <x:c r="M533" s="15" t="n">
        <x:f>F533-L533</x:f>
        <x:v>2229.0528</x:v>
      </x:c>
      <x:c r="N533" s="17" t="str"/>
      <x:c r="O533" s="17" t="str">
        <x:v>https://sts2log.com/cards</x:v>
      </x:c>
      <x:c r="P533" s="17" t="str">
        <x:v>https://slaythespire2.net/ancient/orobas</x:v>
      </x:c>
    </x:row>
    <x:row r="534" ht="25" customHeight="1">
      <x:c r="A534" s="2" t="str">
        <x:v>v0.111</x:v>
      </x:c>
      <x:c r="B534" s="2" t="str">
        <x:v>铁甲战士</x:v>
      </x:c>
      <x:c r="C534" s="2" t="str">
        <x:v>欧洛巴斯</x:v>
      </x:c>
      <x:c r="D534" s="2" t="str">
        <x:v>发光珍珠</x:v>
      </x:c>
      <x:c r="E534" s="16" t="n">
        <x:f>IF(G534=0,I534,IF(G534=1,H534,G534*H534+(1-G534)*I534))</x:f>
        <x:v>0.46481167999999995</x:v>
      </x:c>
      <x:c r="F534" s="12" t="n">
        <x:v>2840</x:v>
      </x:c>
      <x:c r="G534" s="11" t="n">
        <x:v>0.22920000000000001</x:v>
      </x:c>
      <x:c r="H534" s="11" t="n">
        <x:v>0.5422</x:v>
      </x:c>
      <x:c r="I534" s="11" t="n">
        <x:v>0.44179999999999997</x:v>
      </x:c>
      <x:c r="J534" s="13" t="n">
        <x:f>IF(OR(G534=0,G534=1),"",(H534-I534)*100)</x:f>
        <x:v>10.040000000000004</x:v>
      </x:c>
      <x:c r="K534" s="14" t="n">
        <x:v>21.14</x:v>
      </x:c>
      <x:c r="L534" s="15" t="n">
        <x:f>F534*G534</x:f>
        <x:v>650.928</x:v>
      </x:c>
      <x:c r="M534" s="15" t="n">
        <x:f>F534-L534</x:f>
        <x:v>2189.072</x:v>
      </x:c>
      <x:c r="N534" s="17" t="str"/>
      <x:c r="O534" s="17" t="str">
        <x:v>https://sts2log.com/cards</x:v>
      </x:c>
      <x:c r="P534" s="17" t="str">
        <x:v>https://slaythespire2.net/ancient/orobas</x:v>
      </x:c>
    </x:row>
    <x:row r="535" ht="25" customHeight="1">
      <x:c r="A535" s="2" t="str">
        <x:v>v0.111</x:v>
      </x:c>
      <x:c r="B535" s="2" t="str">
        <x:v>铁甲战士</x:v>
      </x:c>
      <x:c r="C535" s="2" t="str">
        <x:v>欧洛巴斯</x:v>
      </x:c>
      <x:c r="D535" s="2" t="str">
        <x:v>欧洛巴斯之触</x:v>
      </x:c>
      <x:c r="E535" s="16" t="n">
        <x:f>IF(G535=0,I535,IF(G535=1,H535,G535*H535+(1-G535)*I535))</x:f>
        <x:v>0.44290056999999994</x:v>
      </x:c>
      <x:c r="F535" s="12" t="n">
        <x:v>5525</x:v>
      </x:c>
      <x:c r="G535" s="11" t="n">
        <x:v>0.2871</x:v>
      </x:c>
      <x:c r="H535" s="11" t="n">
        <x:v>0.355</x:v>
      </x:c>
      <x:c r="I535" s="11" t="n">
        <x:v>0.4783</x:v>
      </x:c>
      <x:c r="J535" s="13" t="n">
        <x:f>IF(OR(G535=0,G535=1),"",(H535-I535)*100)</x:f>
        <x:v>-12.330000000000002</x:v>
      </x:c>
      <x:c r="K535" s="14" t="n">
        <x:v>2.42</x:v>
      </x:c>
      <x:c r="L535" s="15" t="n">
        <x:f>F535*G535</x:f>
        <x:v>1586.2275000000002</x:v>
      </x:c>
      <x:c r="M535" s="15" t="n">
        <x:f>F535-L535</x:f>
        <x:v>3938.7725</x:v>
      </x:c>
      <x:c r="N535" s="17" t="str"/>
      <x:c r="O535" s="17" t="str">
        <x:v>https://sts2log.com/cards</x:v>
      </x:c>
      <x:c r="P535" s="17" t="str">
        <x:v>https://slaythespire2.net/ancient/orobas</x:v>
      </x:c>
    </x:row>
    <x:row r="536" ht="25" customHeight="1">
      <x:c r="A536" s="2" t="str">
        <x:v>v0.111</x:v>
      </x:c>
      <x:c r="B536" s="2" t="str">
        <x:v>铁甲战士</x:v>
      </x:c>
      <x:c r="C536" s="2" t="str">
        <x:v>欧洛巴斯</x:v>
      </x:c>
      <x:c r="D536" s="2" t="str">
        <x:v>玻璃眼珠</x:v>
      </x:c>
      <x:c r="E536" s="16" t="n">
        <x:f>IF(G536=0,I536,IF(G536=1,H536,G536*H536+(1-G536)*I536))</x:f>
        <x:v>0.44213026</x:v>
      </x:c>
      <x:c r="F536" s="12" t="n">
        <x:v>4732</x:v>
      </x:c>
      <x:c r="G536" s="11" t="n">
        <x:v>0.34590000000000004</x:v>
      </x:c>
      <x:c r="H536" s="11" t="n">
        <x:v>0.40380000000000005</x:v>
      </x:c>
      <x:c r="I536" s="11" t="n">
        <x:v>0.46240000000000003</x:v>
      </x:c>
      <x:c r="J536" s="13" t="n">
        <x:f>IF(OR(G536=0,G536=1),"",(H536-I536)*100)</x:f>
        <x:v>-5.8599999999999985</x:v>
      </x:c>
      <x:c r="K536" s="14" t="n">
        <x:v>7.3</x:v>
      </x:c>
      <x:c r="L536" s="15" t="n">
        <x:f>F536*G536</x:f>
        <x:v>1636.7988000000003</x:v>
      </x:c>
      <x:c r="M536" s="15" t="n">
        <x:f>F536-L536</x:f>
        <x:v>3095.2011999999995</x:v>
      </x:c>
      <x:c r="N536" s="17" t="str"/>
      <x:c r="O536" s="17" t="str">
        <x:v>https://sts2log.com/cards</x:v>
      </x:c>
      <x:c r="P536" s="17" t="str">
        <x:v>https://slaythespire2.net/ancient/orobas</x:v>
      </x:c>
    </x:row>
    <x:row r="537" ht="25" customHeight="1">
      <x:c r="A537" s="2" t="str">
        <x:v>v0.111</x:v>
      </x:c>
      <x:c r="B537" s="2" t="str">
        <x:v>铁甲战士</x:v>
      </x:c>
      <x:c r="C537" s="2" t="str">
        <x:v>欧洛巴斯</x:v>
      </x:c>
      <x:c r="D537" s="2" t="str">
        <x:v>浮木</x:v>
      </x:c>
      <x:c r="E537" s="16" t="n">
        <x:f>IF(G537=0,I537,IF(G537=1,H537,G537*H537+(1-G537)*I537))</x:f>
        <x:v>0.42726016999999994</x:v>
      </x:c>
      <x:c r="F537" s="12" t="n">
        <x:v>2661</x:v>
      </x:c>
      <x:c r="G537" s="11" t="n">
        <x:v>0.1507</x:v>
      </x:c>
      <x:c r="H537" s="11" t="n">
        <x:v>0.4214</x:v>
      </x:c>
      <x:c r="I537" s="11" t="n">
        <x:v>0.42829999999999996</x:v>
      </x:c>
      <x:c r="J537" s="13" t="n">
        <x:f>IF(OR(G537=0,G537=1),"",(H537-I537)*100)</x:f>
        <x:v>-0.6899999999999962</x:v>
      </x:c>
      <x:c r="K537" s="14" t="n">
        <x:v>9.06</x:v>
      </x:c>
      <x:c r="L537" s="15" t="n">
        <x:f>F537*G537</x:f>
        <x:v>401.0127</x:v>
      </x:c>
      <x:c r="M537" s="15" t="n">
        <x:f>F537-L537</x:f>
        <x:v>2259.9873</x:v>
      </x:c>
      <x:c r="N537" s="17" t="str"/>
      <x:c r="O537" s="17" t="str">
        <x:v>https://sts2log.com/cards</x:v>
      </x:c>
      <x:c r="P537" s="17" t="str">
        <x:v>https://slaythespire2.net/ancient/orobas</x:v>
      </x:c>
    </x:row>
    <x:row r="538" ht="25" customHeight="1">
      <x:c r="A538" s="2" t="str">
        <x:v>v0.111</x:v>
      </x:c>
      <x:c r="B538" s="2" t="str">
        <x:v>铁甲战士</x:v>
      </x:c>
      <x:c r="C538" s="2" t="str">
        <x:v>佩尔</x:v>
      </x:c>
      <x:c r="D538" s="2" t="str">
        <x:v>佩尔之血</x:v>
      </x:c>
      <x:c r="E538" s="16" t="n">
        <x:f>IF(G538=0,I538,IF(G538=1,H538,G538*H538+(1-G538)*I538))</x:f>
        <x:v>0.532764</x:v>
      </x:c>
      <x:c r="F538" s="12" t="n">
        <x:v>4916</x:v>
      </x:c>
      <x:c r="G538" s="11" t="n">
        <x:v>0.5936</x:v>
      </x:c>
      <x:c r="H538" s="11" t="n">
        <x:v>0.6049</x:v>
      </x:c>
      <x:c r="I538" s="11" t="n">
        <x:v>0.4274</x:v>
      </x:c>
      <x:c r="J538" s="13" t="n">
        <x:f>IF(OR(G538=0,G538=1),"",(H538-I538)*100)</x:f>
        <x:v>17.75</x:v>
      </x:c>
      <x:c r="K538" s="14" t="n">
        <x:v>27.41</x:v>
      </x:c>
      <x:c r="L538" s="15" t="n">
        <x:f>F538*G538</x:f>
        <x:v>2918.1376</x:v>
      </x:c>
      <x:c r="M538" s="15" t="n">
        <x:f>F538-L538</x:f>
        <x:v>1997.8624</x:v>
      </x:c>
      <x:c r="N538" s="17" t="str"/>
      <x:c r="O538" s="17" t="str">
        <x:v>https://sts2log.com/cards</x:v>
      </x:c>
      <x:c r="P538" s="17" t="str">
        <x:v>https://slaythespire2.net/ancient/pael</x:v>
      </x:c>
    </x:row>
    <x:row r="539" ht="25" customHeight="1">
      <x:c r="A539" s="2" t="str">
        <x:v>v0.111</x:v>
      </x:c>
      <x:c r="B539" s="2" t="str">
        <x:v>铁甲战士</x:v>
      </x:c>
      <x:c r="C539" s="2" t="str">
        <x:v>佩尔</x:v>
      </x:c>
      <x:c r="D539" s="2" t="str">
        <x:v>佩尔的增生组织</x:v>
      </x:c>
      <x:c r="E539" s="16" t="n">
        <x:f>IF(G539=0,I539,IF(G539=1,H539,G539*H539+(1-G539)*I539))</x:f>
        <x:v>0.5104964399999999</x:v>
      </x:c>
      <x:c r="F539" s="12" t="n">
        <x:v>2102</x:v>
      </x:c>
      <x:c r="G539" s="11" t="n">
        <x:v>0.2702</x:v>
      </x:c>
      <x:c r="H539" s="11" t="n">
        <x:v>0.5194</x:v>
      </x:c>
      <x:c r="I539" s="11" t="n">
        <x:v>0.5072</x:v>
      </x:c>
      <x:c r="J539" s="13" t="n">
        <x:f>IF(OR(G539=0,G539=1),"",(H539-I539)*100)</x:f>
        <x:v>1.2199999999999989</x:v>
      </x:c>
      <x:c r="K539" s="14" t="n">
        <x:v>18.86</x:v>
      </x:c>
      <x:c r="L539" s="15" t="n">
        <x:f>F539*G539</x:f>
        <x:v>567.9603999999999</x:v>
      </x:c>
      <x:c r="M539" s="15" t="n">
        <x:f>F539-L539</x:f>
        <x:v>1534.0396</x:v>
      </x:c>
      <x:c r="N539" s="17" t="str"/>
      <x:c r="O539" s="17" t="str">
        <x:v>https://sts2log.com/cards</x:v>
      </x:c>
      <x:c r="P539" s="17" t="str">
        <x:v>https://slaythespire2.net/ancient/pael</x:v>
      </x:c>
    </x:row>
    <x:row r="540" ht="25" customHeight="1">
      <x:c r="A540" s="2" t="str">
        <x:v>v0.111</x:v>
      </x:c>
      <x:c r="B540" s="2" t="str">
        <x:v>铁甲战士</x:v>
      </x:c>
      <x:c r="C540" s="2" t="str">
        <x:v>佩尔</x:v>
      </x:c>
      <x:c r="D540" s="2" t="str">
        <x:v>佩尔之翼</x:v>
      </x:c>
      <x:c r="E540" s="16" t="n">
        <x:f>IF(G540=0,I540,IF(G540=1,H540,G540*H540+(1-G540)*I540))</x:f>
        <x:v>0.49740276</x:v>
      </x:c>
      <x:c r="F540" s="12" t="n">
        <x:v>4184</x:v>
      </x:c>
      <x:c r="G540" s="11" t="n">
        <x:v>0.2937</x:v>
      </x:c>
      <x:c r="H540" s="11" t="n">
        <x:v>0.42310000000000003</x:v>
      </x:c>
      <x:c r="I540" s="11" t="n">
        <x:v>0.5283</x:v>
      </x:c>
      <x:c r="J540" s="13" t="n">
        <x:f>IF(OR(G540=0,G540=1),"",(H540-I540)*100)</x:f>
        <x:v>-10.519999999999996</x:v>
      </x:c>
      <x:c r="K540" s="14" t="n">
        <x:v>9.23</x:v>
      </x:c>
      <x:c r="L540" s="15" t="n">
        <x:f>F540*G540</x:f>
        <x:v>1228.8408000000002</x:v>
      </x:c>
      <x:c r="M540" s="15" t="n">
        <x:f>F540-L540</x:f>
        <x:v>2955.1592</x:v>
      </x:c>
      <x:c r="N540" s="17" t="str"/>
      <x:c r="O540" s="17" t="str">
        <x:v>https://sts2log.com/cards</x:v>
      </x:c>
      <x:c r="P540" s="17" t="str">
        <x:v>https://slaythespire2.net/ancient/pael</x:v>
      </x:c>
    </x:row>
    <x:row r="541" ht="25" customHeight="1">
      <x:c r="A541" s="2" t="str">
        <x:v>v0.111</x:v>
      </x:c>
      <x:c r="B541" s="2" t="str">
        <x:v>铁甲战士</x:v>
      </x:c>
      <x:c r="C541" s="2" t="str">
        <x:v>佩尔</x:v>
      </x:c>
      <x:c r="D541" s="2" t="str">
        <x:v>佩尔之角</x:v>
      </x:c>
      <x:c r="E541" s="16" t="n">
        <x:f>IF(G541=0,I541,IF(G541=1,H541,G541*H541+(1-G541)*I541))</x:f>
        <x:v>0.49710412</x:v>
      </x:c>
      <x:c r="F541" s="12" t="n">
        <x:v>4784</x:v>
      </x:c>
      <x:c r="G541" s="11" t="n">
        <x:v>0.17579999999999998</x:v>
      </x:c>
      <x:c r="H541" s="11" t="n">
        <x:v>0.5065</x:v>
      </x:c>
      <x:c r="I541" s="11" t="n">
        <x:v>0.4951</x:v>
      </x:c>
      <x:c r="J541" s="13" t="n">
        <x:f>IF(OR(G541=0,G541=1),"",(H541-I541)*100)</x:f>
        <x:v>1.1399999999999966</x:v>
      </x:c>
      <x:c r="K541" s="14" t="n">
        <x:v>17.57</x:v>
      </x:c>
      <x:c r="L541" s="15" t="n">
        <x:f>F541*G541</x:f>
        <x:v>841.0271999999999</x:v>
      </x:c>
      <x:c r="M541" s="15" t="n">
        <x:f>F541-L541</x:f>
        <x:v>3942.9728</x:v>
      </x:c>
      <x:c r="N541" s="17" t="str"/>
      <x:c r="O541" s="17" t="str">
        <x:v>https://sts2log.com/cards</x:v>
      </x:c>
      <x:c r="P541" s="17" t="str">
        <x:v>https://slaythespire2.net/ancient/pael</x:v>
      </x:c>
    </x:row>
    <x:row r="542" ht="25" customHeight="1">
      <x:c r="A542" s="2" t="str">
        <x:v>v0.111</x:v>
      </x:c>
      <x:c r="B542" s="2" t="str">
        <x:v>铁甲战士</x:v>
      </x:c>
      <x:c r="C542" s="2" t="str">
        <x:v>佩尔</x:v>
      </x:c>
      <x:c r="D542" s="2" t="str">
        <x:v>佩尔的士兵</x:v>
      </x:c>
      <x:c r="E542" s="16" t="n">
        <x:f>IF(G542=0,I542,IF(G542=1,H542,G542*H542+(1-G542)*I542))</x:f>
        <x:v>0.4956754</x:v>
      </x:c>
      <x:c r="F542" s="12" t="n">
        <x:v>4773</x:v>
      </x:c>
      <x:c r="G542" s="11" t="n">
        <x:v>0.5535</x:v>
      </x:c>
      <x:c r="H542" s="11" t="n">
        <x:v>0.5155</x:v>
      </x:c>
      <x:c r="I542" s="11" t="n">
        <x:v>0.4711</x:v>
      </x:c>
      <x:c r="J542" s="13" t="n">
        <x:f>IF(OR(G542=0,G542=1),"",(H542-I542)*100)</x:f>
        <x:v>4.439999999999994</x:v>
      </x:c>
      <x:c r="K542" s="14" t="n">
        <x:v>18.47</x:v>
      </x:c>
      <x:c r="L542" s="15" t="n">
        <x:f>F542*G542</x:f>
        <x:v>2641.8555</x:v>
      </x:c>
      <x:c r="M542" s="15" t="n">
        <x:f>F542-L542</x:f>
        <x:v>2131.1445</x:v>
      </x:c>
      <x:c r="N542" s="17" t="str"/>
      <x:c r="O542" s="17" t="str">
        <x:v>https://sts2log.com/cards</x:v>
      </x:c>
      <x:c r="P542" s="17" t="str">
        <x:v>https://slaythespire2.net/ancient/pael</x:v>
      </x:c>
    </x:row>
    <x:row r="543" ht="25" customHeight="1">
      <x:c r="A543" s="2" t="str">
        <x:v>v0.111</x:v>
      </x:c>
      <x:c r="B543" s="2" t="str">
        <x:v>铁甲战士</x:v>
      </x:c>
      <x:c r="C543" s="2" t="str">
        <x:v>佩尔</x:v>
      </x:c>
      <x:c r="D543" s="2" t="str">
        <x:v>佩尔之肉</x:v>
      </x:c>
      <x:c r="E543" s="16" t="n">
        <x:f>IF(G543=0,I543,IF(G543=1,H543,G543*H543+(1-G543)*I543))</x:f>
        <x:v>0.49242328</x:v>
      </x:c>
      <x:c r="F543" s="12" t="n">
        <x:v>4833</x:v>
      </x:c>
      <x:c r="G543" s="11" t="n">
        <x:v>0.3151</x:v>
      </x:c>
      <x:c r="H543" s="11" t="n">
        <x:v>0.43270000000000003</x:v>
      </x:c>
      <x:c r="I543" s="11" t="n">
        <x:v>0.5199</x:v>
      </x:c>
      <x:c r="J543" s="13" t="n">
        <x:f>IF(OR(G543=0,G543=1),"",(H543-I543)*100)</x:f>
        <x:v>-8.72</x:v>
      </x:c>
      <x:c r="K543" s="14" t="n">
        <x:v>10.19</x:v>
      </x:c>
      <x:c r="L543" s="15" t="n">
        <x:f>F543*G543</x:f>
        <x:v>1522.8782999999999</x:v>
      </x:c>
      <x:c r="M543" s="15" t="n">
        <x:f>F543-L543</x:f>
        <x:v>3310.1217</x:v>
      </x:c>
      <x:c r="N543" s="17" t="str"/>
      <x:c r="O543" s="17" t="str">
        <x:v>https://sts2log.com/cards</x:v>
      </x:c>
      <x:c r="P543" s="17" t="str">
        <x:v>https://slaythespire2.net/ancient/pael</x:v>
      </x:c>
    </x:row>
    <x:row r="544" ht="25" customHeight="1">
      <x:c r="A544" s="2" t="str">
        <x:v>v0.111</x:v>
      </x:c>
      <x:c r="B544" s="2" t="str">
        <x:v>铁甲战士</x:v>
      </x:c>
      <x:c r="C544" s="2" t="str">
        <x:v>佩尔</x:v>
      </x:c>
      <x:c r="D544" s="2" t="str">
        <x:v>佩尔之牙</x:v>
      </x:c>
      <x:c r="E544" s="16" t="n">
        <x:f>IF(G544=0,I544,IF(G544=1,H544,G544*H544+(1-G544)*I544))</x:f>
        <x:v>0.49002546</x:v>
      </x:c>
      <x:c r="F544" s="12" t="n">
        <x:v>4212</x:v>
      </x:c>
      <x:c r="G544" s="11" t="n">
        <x:v>0.1038</x:v>
      </x:c>
      <x:c r="H544" s="11" t="n">
        <x:v>0.3616</x:v>
      </x:c>
      <x:c r="I544" s="11" t="n">
        <x:v>0.5049</x:v>
      </x:c>
      <x:c r="J544" s="13" t="n">
        <x:f>IF(OR(G544=0,G544=1),"",(H544-I544)*100)</x:f>
        <x:v>-14.330000000000004</x:v>
      </x:c>
      <x:c r="K544" s="14" t="n">
        <x:v>3.08</x:v>
      </x:c>
      <x:c r="L544" s="15" t="n">
        <x:f>F544*G544</x:f>
        <x:v>437.2056</x:v>
      </x:c>
      <x:c r="M544" s="15" t="n">
        <x:f>F544-L544</x:f>
        <x:v>3774.7943999999998</x:v>
      </x:c>
      <x:c r="N544" s="17" t="str"/>
      <x:c r="O544" s="17" t="str">
        <x:v>https://sts2log.com/cards</x:v>
      </x:c>
      <x:c r="P544" s="17" t="str">
        <x:v>https://slaythespire2.net/ancient/pael</x:v>
      </x:c>
    </x:row>
    <x:row r="545" ht="25" customHeight="1">
      <x:c r="A545" s="2" t="str">
        <x:v>v0.111</x:v>
      </x:c>
      <x:c r="B545" s="2" t="str">
        <x:v>铁甲战士</x:v>
      </x:c>
      <x:c r="C545" s="2" t="str">
        <x:v>佩尔</x:v>
      </x:c>
      <x:c r="D545" s="2" t="str">
        <x:v>佩尔之泪</x:v>
      </x:c>
      <x:c r="E545" s="16" t="n">
        <x:f>IF(G545=0,I545,IF(G545=1,H545,G545*H545+(1-G545)*I545))</x:f>
        <x:v>0.48555046</x:v>
      </x:c>
      <x:c r="F545" s="12" t="n">
        <x:v>4768</x:v>
      </x:c>
      <x:c r="G545" s="11" t="n">
        <x:v>0.3427</x:v>
      </x:c>
      <x:c r="H545" s="11" t="n">
        <x:v>0.4657</x:v>
      </x:c>
      <x:c r="I545" s="11" t="n">
        <x:v>0.4959</x:v>
      </x:c>
      <x:c r="J545" s="13" t="n">
        <x:f>IF(OR(G545=0,G545=1),"",(H545-I545)*100)</x:f>
        <x:v>-3.0200000000000005</x:v>
      </x:c>
      <x:c r="K545" s="14" t="n">
        <x:v>13.49</x:v>
      </x:c>
      <x:c r="L545" s="15" t="n">
        <x:f>F545*G545</x:f>
        <x:v>1633.9936</x:v>
      </x:c>
      <x:c r="M545" s="15" t="n">
        <x:f>F545-L545</x:f>
        <x:v>3134.0064</x:v>
      </x:c>
      <x:c r="N545" s="17" t="str"/>
      <x:c r="O545" s="17" t="str">
        <x:v>https://sts2log.com/cards</x:v>
      </x:c>
      <x:c r="P545" s="17" t="str">
        <x:v>https://slaythespire2.net/ancient/pael</x:v>
      </x:c>
    </x:row>
    <x:row r="546" ht="25" customHeight="1">
      <x:c r="A546" s="2" t="str">
        <x:v>v0.111</x:v>
      </x:c>
      <x:c r="B546" s="2" t="str">
        <x:v>铁甲战士</x:v>
      </x:c>
      <x:c r="C546" s="2" t="str">
        <x:v>佩尔</x:v>
      </x:c>
      <x:c r="D546" s="2" t="str">
        <x:v>佩尔之爪</x:v>
      </x:c>
      <x:c r="E546" s="16" t="n">
        <x:f>IF(G546=0,I546,IF(G546=1,H546,G546*H546+(1-G546)*I546))</x:f>
        <x:v>0.47670272</x:v>
      </x:c>
      <x:c r="F546" s="12" t="n">
        <x:v>3902</x:v>
      </x:c>
      <x:c r="G546" s="11" t="n">
        <x:v>0.2396</x:v>
      </x:c>
      <x:c r="H546" s="11" t="n">
        <x:v>0.4107</x:v>
      </x:c>
      <x:c r="I546" s="11" t="n">
        <x:v>0.4975</x:v>
      </x:c>
      <x:c r="J546" s="13" t="n">
        <x:f>IF(OR(G546=0,G546=1),"",(H546-I546)*100)</x:f>
        <x:v>-8.68</x:v>
      </x:c>
      <x:c r="K546" s="14" t="n">
        <x:v>7.99</x:v>
      </x:c>
      <x:c r="L546" s="15" t="n">
        <x:f>F546*G546</x:f>
        <x:v>934.9192</x:v>
      </x:c>
      <x:c r="M546" s="15" t="n">
        <x:f>F546-L546</x:f>
        <x:v>2967.0807999999997</x:v>
      </x:c>
      <x:c r="N546" s="17" t="str"/>
      <x:c r="O546" s="17" t="str">
        <x:v>https://sts2log.com/cards</x:v>
      </x:c>
      <x:c r="P546" s="17" t="str">
        <x:v>https://slaythespire2.net/ancient/pael</x:v>
      </x:c>
    </x:row>
    <x:row r="547" ht="25" customHeight="1">
      <x:c r="A547" s="2" t="str">
        <x:v>v0.111</x:v>
      </x:c>
      <x:c r="B547" s="2" t="str">
        <x:v>铁甲战士</x:v>
      </x:c>
      <x:c r="C547" s="2" t="str">
        <x:v>佩尔</x:v>
      </x:c>
      <x:c r="D547" s="2" t="str">
        <x:v>佩尔之眼</x:v>
      </x:c>
      <x:c r="E547" s="16" t="n">
        <x:f>IF(G547=0,I547,IF(G547=1,H547,G547*H547+(1-G547)*I547))</x:f>
        <x:v>0.44465892</x:v>
      </x:c>
      <x:c r="F547" s="12" t="n">
        <x:v>4696</x:v>
      </x:c>
      <x:c r="G547" s="11" t="n">
        <x:v>0.3458</x:v>
      </x:c>
      <x:c r="H547" s="11" t="n">
        <x:v>0.4495</x:v>
      </x:c>
      <x:c r="I547" s="11" t="n">
        <x:v>0.4421</x:v>
      </x:c>
      <x:c r="J547" s="13" t="n">
        <x:f>IF(OR(G547=0,G547=1),"",(H547-I547)*100)</x:f>
        <x:v>0.7400000000000018</x:v>
      </x:c>
      <x:c r="K547" s="14" t="n">
        <x:v>11.87</x:v>
      </x:c>
      <x:c r="L547" s="15" t="n">
        <x:f>F547*G547</x:f>
        <x:v>1623.8768</x:v>
      </x:c>
      <x:c r="M547" s="15" t="n">
        <x:f>F547-L547</x:f>
        <x:v>3072.1232</x:v>
      </x:c>
      <x:c r="N547" s="17" t="str"/>
      <x:c r="O547" s="17" t="str">
        <x:v>https://sts2log.com/cards</x:v>
      </x:c>
      <x:c r="P547" s="17" t="str">
        <x:v>https://slaythespire2.net/ancient/pael</x:v>
      </x:c>
    </x:row>
    <x:row r="548" ht="25" customHeight="1">
      <x:c r="A548" s="2" t="str">
        <x:v>v0.111</x:v>
      </x:c>
      <x:c r="B548" s="2" t="str">
        <x:v>铁甲战士</x:v>
      </x:c>
      <x:c r="C548" s="2" t="str">
        <x:v>特兹卡塔拉</x:v>
      </x:c>
      <x:c r="D548" s="2" t="str">
        <x:v>黄金印</x:v>
      </x:c>
      <x:c r="E548" s="16" t="n">
        <x:f>IF(G548=0,I548,IF(G548=1,H548,G548*H548+(1-G548)*I548))</x:f>
        <x:v>0.5146769600000001</x:v>
      </x:c>
      <x:c r="F548" s="12" t="n">
        <x:v>3723</x:v>
      </x:c>
      <x:c r="G548" s="11" t="n">
        <x:v>0.2434</x:v>
      </x:c>
      <x:c r="H548" s="11" t="n">
        <x:v>0.5861</x:v>
      </x:c>
      <x:c r="I548" s="11" t="n">
        <x:v>0.4917</x:v>
      </x:c>
      <x:c r="J548" s="13" t="n">
        <x:f>IF(OR(G548=0,G548=1),"",(H548-I548)*100)</x:f>
        <x:v>9.439999999999992</x:v>
      </x:c>
      <x:c r="K548" s="14" t="n">
        <x:v>25.53</x:v>
      </x:c>
      <x:c r="L548" s="15" t="n">
        <x:f>F548*G548</x:f>
        <x:v>906.1782000000001</x:v>
      </x:c>
      <x:c r="M548" s="15" t="n">
        <x:f>F548-L548</x:f>
        <x:v>2816.8217999999997</x:v>
      </x:c>
      <x:c r="N548" s="17" t="str"/>
      <x:c r="O548" s="17" t="str">
        <x:v>https://sts2log.com/cards</x:v>
      </x:c>
      <x:c r="P548" s="17" t="str">
        <x:v>https://slaythespire2.net/ancient/tezcatara</x:v>
      </x:c>
    </x:row>
    <x:row r="549" ht="25" customHeight="1">
      <x:c r="A549" s="2" t="str">
        <x:v>v0.111</x:v>
      </x:c>
      <x:c r="B549" s="2" t="str">
        <x:v>铁甲战士</x:v>
      </x:c>
      <x:c r="C549" s="2" t="str">
        <x:v>特兹卡塔拉</x:v>
      </x:c>
      <x:c r="D549" s="2" t="str">
        <x:v>烘焙手套</x:v>
      </x:c>
      <x:c r="E549" s="16" t="n">
        <x:f>IF(G549=0,I549,IF(G549=1,H549,G549*H549+(1-G549)*I549))</x:f>
        <x:v>0.51462466</x:v>
      </x:c>
      <x:c r="F549" s="12" t="n">
        <x:v>4951</x:v>
      </x:c>
      <x:c r="G549" s="11" t="n">
        <x:v>0.4633</x:v>
      </x:c>
      <x:c r="H549" s="11" t="n">
        <x:v>0.5362</x:v>
      </x:c>
      <x:c r="I549" s="11" t="n">
        <x:v>0.496</x:v>
      </x:c>
      <x:c r="J549" s="13" t="n">
        <x:f>IF(OR(G549=0,G549=1),"",(H549-I549)*100)</x:f>
        <x:v>4.020000000000001</x:v>
      </x:c>
      <x:c r="K549" s="14" t="n">
        <x:v>20.54</x:v>
      </x:c>
      <x:c r="L549" s="15" t="n">
        <x:f>F549*G549</x:f>
        <x:v>2293.7983</x:v>
      </x:c>
      <x:c r="M549" s="15" t="n">
        <x:f>F549-L549</x:f>
        <x:v>2657.2017</x:v>
      </x:c>
      <x:c r="N549" s="17" t="str"/>
      <x:c r="O549" s="17" t="str">
        <x:v>https://sts2log.com/cards</x:v>
      </x:c>
      <x:c r="P549" s="17" t="str">
        <x:v>https://slaythespire2.net/ancient/tezcatara</x:v>
      </x:c>
    </x:row>
    <x:row r="550" ht="25" customHeight="1">
      <x:c r="A550" s="2" t="str">
        <x:v>v0.111</x:v>
      </x:c>
      <x:c r="B550" s="2" t="str">
        <x:v>铁甲战士</x:v>
      </x:c>
      <x:c r="C550" s="2" t="str">
        <x:v>特兹卡塔拉</x:v>
      </x:c>
      <x:c r="D550" s="2" t="str">
        <x:v>营养汤</x:v>
      </x:c>
      <x:c r="E550" s="16" t="n">
        <x:f>IF(G550=0,I550,IF(G550=1,H550,G550*H550+(1-G550)*I550))</x:f>
        <x:v>0.5139962600000001</x:v>
      </x:c>
      <x:c r="F550" s="12" t="n">
        <x:v>4957</x:v>
      </x:c>
      <x:c r="G550" s="11" t="n">
        <x:v>0.4263</x:v>
      </x:c>
      <x:c r="H550" s="11" t="n">
        <x:v>0.49689999999999995</x:v>
      </x:c>
      <x:c r="I550" s="11" t="n">
        <x:v>0.5267000000000001</x:v>
      </x:c>
      <x:c r="J550" s="13" t="n">
        <x:f>IF(OR(G550=0,G550=1),"",(H550-I550)*100)</x:f>
        <x:v>-2.98000000000001</x:v>
      </x:c>
      <x:c r="K550" s="14" t="n">
        <x:v>16.61</x:v>
      </x:c>
      <x:c r="L550" s="15" t="n">
        <x:f>F550*G550</x:f>
        <x:v>2113.1691</x:v>
      </x:c>
      <x:c r="M550" s="15" t="n">
        <x:f>F550-L550</x:f>
        <x:v>2843.8309</x:v>
      </x:c>
      <x:c r="N550" s="17" t="str"/>
      <x:c r="O550" s="17" t="str">
        <x:v>https://sts2log.com/cards</x:v>
      </x:c>
      <x:c r="P550" s="17" t="str">
        <x:v>https://slaythespire2.net/ancient/tezcatara</x:v>
      </x:c>
    </x:row>
    <x:row r="551" ht="25" customHeight="1">
      <x:c r="A551" s="2" t="str">
        <x:v>v0.111</x:v>
      </x:c>
      <x:c r="B551" s="2" t="str">
        <x:v>铁甲战士</x:v>
      </x:c>
      <x:c r="C551" s="2" t="str">
        <x:v>特兹卡塔拉</x:v>
      </x:c>
      <x:c r="D551" s="2" t="str">
        <x:v>烫嘴可可</x:v>
      </x:c>
      <x:c r="E551" s="16" t="n">
        <x:f>IF(G551=0,I551,IF(G551=1,H551,G551*H551+(1-G551)*I551))</x:f>
        <x:v>0.5002883</x:v>
      </x:c>
      <x:c r="F551" s="12" t="n">
        <x:v>4869</x:v>
      </x:c>
      <x:c r="G551" s="11" t="n">
        <x:v>0.35100000000000003</x:v>
      </x:c>
      <x:c r="H551" s="11" t="n">
        <x:v>0.457</x:v>
      </x:c>
      <x:c r="I551" s="11" t="n">
        <x:v>0.5236999999999999</x:v>
      </x:c>
      <x:c r="J551" s="13" t="n">
        <x:f>IF(OR(G551=0,G551=1),"",(H551-I551)*100)</x:f>
        <x:v>-6.669999999999993</x:v>
      </x:c>
      <x:c r="K551" s="14" t="n">
        <x:v>12.62</x:v>
      </x:c>
      <x:c r="L551" s="15" t="n">
        <x:f>F551*G551</x:f>
        <x:v>1709.0190000000002</x:v>
      </x:c>
      <x:c r="M551" s="15" t="n">
        <x:f>F551-L551</x:f>
        <x:v>3159.9809999999998</x:v>
      </x:c>
      <x:c r="N551" s="17" t="str"/>
      <x:c r="O551" s="17" t="str">
        <x:v>https://sts2log.com/cards</x:v>
      </x:c>
      <x:c r="P551" s="17" t="str">
        <x:v>https://slaythespire2.net/ancient/tezcatara</x:v>
      </x:c>
    </x:row>
    <x:row r="552" ht="25" customHeight="1">
      <x:c r="A552" s="2" t="str">
        <x:v>v0.111</x:v>
      </x:c>
      <x:c r="B552" s="2" t="str">
        <x:v>铁甲战士</x:v>
      </x:c>
      <x:c r="C552" s="2" t="str">
        <x:v>特兹卡塔拉</x:v>
      </x:c>
      <x:c r="D552" s="2" t="str">
        <x:v>故事书</x:v>
      </x:c>
      <x:c r="E552" s="16" t="n">
        <x:f>IF(G552=0,I552,IF(G552=1,H552,G552*H552+(1-G552)*I552))</x:f>
        <x:v>0.4988864</x:v>
      </x:c>
      <x:c r="F552" s="12" t="n">
        <x:v>4881</x:v>
      </x:c>
      <x:c r="G552" s="11" t="n">
        <x:v>0.2928</x:v>
      </x:c>
      <x:c r="H552" s="11" t="n">
        <x:v>0.5346</x:v>
      </x:c>
      <x:c r="I552" s="11" t="n">
        <x:v>0.4841</x:v>
      </x:c>
      <x:c r="J552" s="13" t="n">
        <x:f>IF(OR(G552=0,G552=1),"",(H552-I552)*100)</x:f>
        <x:v>5.049999999999999</x:v>
      </x:c>
      <x:c r="K552" s="14" t="n">
        <x:v>20.38</x:v>
      </x:c>
      <x:c r="L552" s="15" t="n">
        <x:f>F552*G552</x:f>
        <x:v>1429.1568</x:v>
      </x:c>
      <x:c r="M552" s="15" t="n">
        <x:f>F552-L552</x:f>
        <x:v>3451.8432000000003</x:v>
      </x:c>
      <x:c r="N552" s="17" t="str"/>
      <x:c r="O552" s="17" t="str">
        <x:v>https://sts2log.com/cards</x:v>
      </x:c>
      <x:c r="P552" s="17" t="str">
        <x:v>https://slaythespire2.net/ancient/tezcatara</x:v>
      </x:c>
    </x:row>
    <x:row r="553" ht="25" customHeight="1">
      <x:c r="A553" s="2" t="str">
        <x:v>v0.111</x:v>
      </x:c>
      <x:c r="B553" s="2" t="str">
        <x:v>铁甲战士</x:v>
      </x:c>
      <x:c r="C553" s="2" t="str">
        <x:v>特兹卡塔拉</x:v>
      </x:c>
      <x:c r="D553" s="2" t="str">
        <x:v>黄金罗盘</x:v>
      </x:c>
      <x:c r="E553" s="16" t="n">
        <x:f>IF(G553=0,I553,IF(G553=1,H553,G553*H553+(1-G553)*I553))</x:f>
        <x:v>0.49730096000000007</x:v>
      </x:c>
      <x:c r="F553" s="12" t="n">
        <x:v>3694</x:v>
      </x:c>
      <x:c r="G553" s="11" t="n">
        <x:v>0.21059999999999998</x:v>
      </x:c>
      <x:c r="H553" s="11" t="n">
        <x:v>0.4512</x:v>
      </x:c>
      <x:c r="I553" s="11" t="n">
        <x:v>0.5096</x:v>
      </x:c>
      <x:c r="J553" s="13" t="n">
        <x:f>IF(OR(G553=0,G553=1),"",(H553-I553)*100)</x:f>
        <x:v>-5.840000000000006</x:v>
      </x:c>
      <x:c r="K553" s="14" t="n">
        <x:v>12.04</x:v>
      </x:c>
      <x:c r="L553" s="15" t="n">
        <x:f>F553*G553</x:f>
        <x:v>777.9563999999999</x:v>
      </x:c>
      <x:c r="M553" s="15" t="n">
        <x:f>F553-L553</x:f>
        <x:v>2916.0436</x:v>
      </x:c>
      <x:c r="N553" s="17" t="str"/>
      <x:c r="O553" s="17" t="str">
        <x:v>https://sts2log.com/cards</x:v>
      </x:c>
      <x:c r="P553" s="17" t="str">
        <x:v>https://slaythespire2.net/ancient/tezcatara</x:v>
      </x:c>
    </x:row>
    <x:row r="554" ht="25" customHeight="1">
      <x:c r="A554" s="2" t="str">
        <x:v>v0.111</x:v>
      </x:c>
      <x:c r="B554" s="2" t="str">
        <x:v>铁甲战士</x:v>
      </x:c>
      <x:c r="C554" s="2" t="str">
        <x:v>特兹卡塔拉</x:v>
      </x:c>
      <x:c r="D554" s="2" t="str">
        <x:v>玩具盒</x:v>
      </x:c>
      <x:c r="E554" s="16" t="n">
        <x:f>IF(G554=0,I554,IF(G554=1,H554,G554*H554+(1-G554)*I554))</x:f>
        <x:v>0.49667171000000004</x:v>
      </x:c>
      <x:c r="F554" s="12" t="n">
        <x:v>3749</x:v>
      </x:c>
      <x:c r="G554" s="11" t="n">
        <x:v>0.2627</x:v>
      </x:c>
      <x:c r="H554" s="11" t="n">
        <x:v>0.5168</x:v>
      </x:c>
      <x:c r="I554" s="11" t="n">
        <x:v>0.48950000000000005</x:v>
      </x:c>
      <x:c r="J554" s="13" t="n">
        <x:f>IF(OR(G554=0,G554=1),"",(H554-I554)*100)</x:f>
        <x:v>2.729999999999999</x:v>
      </x:c>
      <x:c r="K554" s="14" t="n">
        <x:v>18.6</x:v>
      </x:c>
      <x:c r="L554" s="15" t="n">
        <x:f>F554*G554</x:f>
        <x:v>984.8623</x:v>
      </x:c>
      <x:c r="M554" s="15" t="n">
        <x:f>F554-L554</x:f>
        <x:v>2764.1377</x:v>
      </x:c>
      <x:c r="N554" s="17" t="str"/>
      <x:c r="O554" s="17" t="str">
        <x:v>https://sts2log.com/cards</x:v>
      </x:c>
      <x:c r="P554" s="17" t="str">
        <x:v>https://slaythespire2.net/ancient/tezcatara</x:v>
      </x:c>
    </x:row>
    <x:row r="555" ht="25" customHeight="1">
      <x:c r="A555" s="2" t="str">
        <x:v>v0.111</x:v>
      </x:c>
      <x:c r="B555" s="2" t="str">
        <x:v>铁甲战士</x:v>
      </x:c>
      <x:c r="C555" s="2" t="str">
        <x:v>特兹卡塔拉</x:v>
      </x:c>
      <x:c r="D555" s="2" t="str">
        <x:v>南瓜蜡烛</x:v>
      </x:c>
      <x:c r="E555" s="16" t="n">
        <x:f>IF(G555=0,I555,IF(G555=1,H555,G555*H555+(1-G555)*I555))</x:f>
        <x:v>0.49341864</x:v>
      </x:c>
      <x:c r="F555" s="12" t="n">
        <x:v>3557</x:v>
      </x:c>
      <x:c r="G555" s="11" t="n">
        <x:v>0.3272</x:v>
      </x:c>
      <x:c r="H555" s="11" t="n">
        <x:v>0.506</x:v>
      </x:c>
      <x:c r="I555" s="11" t="n">
        <x:v>0.48729999999999996</x:v>
      </x:c>
      <x:c r="J555" s="13" t="n">
        <x:f>IF(OR(G555=0,G555=1),"",(H555-I555)*100)</x:f>
        <x:v>1.870000000000005</x:v>
      </x:c>
      <x:c r="K555" s="14" t="n">
        <x:v>17.52</x:v>
      </x:c>
      <x:c r="L555" s="15" t="n">
        <x:f>F555*G555</x:f>
        <x:v>1163.8504</x:v>
      </x:c>
      <x:c r="M555" s="15" t="n">
        <x:f>F555-L555</x:f>
        <x:v>2393.1495999999997</x:v>
      </x:c>
      <x:c r="N555" s="17" t="str"/>
      <x:c r="O555" s="17" t="str">
        <x:v>https://sts2log.com/cards</x:v>
      </x:c>
      <x:c r="P555" s="17" t="str">
        <x:v>https://slaythespire2.net/ancient/tezcatara</x:v>
      </x:c>
    </x:row>
    <x:row r="556" ht="25" customHeight="1">
      <x:c r="A556" s="2" t="str">
        <x:v>v0.111</x:v>
      </x:c>
      <x:c r="B556" s="2" t="str">
        <x:v>铁甲战士</x:v>
      </x:c>
      <x:c r="C556" s="2" t="str">
        <x:v>特兹卡塔拉</x:v>
      </x:c>
      <x:c r="D556" s="2" t="str">
        <x:v>大～抱抱</x:v>
      </x:c>
      <x:c r="E556" s="16" t="n">
        <x:f>IF(G556=0,I556,IF(G556=1,H556,G556*H556+(1-G556)*I556))</x:f>
        <x:v>0.48787165999999993</x:v>
      </x:c>
      <x:c r="F556" s="12" t="n">
        <x:v>4870</x:v>
      </x:c>
      <x:c r="G556" s="11" t="n">
        <x:v>0.2758</x:v>
      </x:c>
      <x:c r="H556" s="11" t="n">
        <x:v>0.5368999999999999</x:v>
      </x:c>
      <x:c r="I556" s="11" t="n">
        <x:v>0.4692</x:v>
      </x:c>
      <x:c r="J556" s="13" t="n">
        <x:f>IF(OR(G556=0,G556=1),"",(H556-I556)*100)</x:f>
        <x:v>6.7699999999999925</x:v>
      </x:c>
      <x:c r="K556" s="14" t="n">
        <x:v>20.61</x:v>
      </x:c>
      <x:c r="L556" s="15" t="n">
        <x:f>F556*G556</x:f>
        <x:v>1343.146</x:v>
      </x:c>
      <x:c r="M556" s="15" t="n">
        <x:f>F556-L556</x:f>
        <x:v>3526.8540000000003</x:v>
      </x:c>
      <x:c r="N556" s="17" t="str"/>
      <x:c r="O556" s="17" t="str">
        <x:v>https://sts2log.com/cards</x:v>
      </x:c>
      <x:c r="P556" s="17" t="str">
        <x:v>https://slaythespire2.net/ancient/tezcatara</x:v>
      </x:c>
    </x:row>
    <x:row r="557" ht="25" customHeight="1">
      <x:c r="A557" s="2" t="str">
        <x:v>v0.111</x:v>
      </x:c>
      <x:c r="B557" s="2" t="str">
        <x:v>铁甲战士</x:v>
      </x:c>
      <x:c r="C557" s="2" t="str">
        <x:v>特兹卡塔拉</x:v>
      </x:c>
      <x:c r="D557" s="2" t="str">
        <x:v>美味饼干</x:v>
      </x:c>
      <x:c r="E557" s="16" t="n">
        <x:f>IF(G557=0,I557,IF(G557=1,H557,G557*H557+(1-G557)*I557))</x:f>
        <x:v>0.48717257999999997</x:v>
      </x:c>
      <x:c r="F557" s="12" t="n">
        <x:v>4877</x:v>
      </x:c>
      <x:c r="G557" s="11" t="n">
        <x:v>0.3982</x:v>
      </x:c>
      <x:c r="H557" s="11" t="n">
        <x:v>0.41609999999999997</x:v>
      </x:c>
      <x:c r="I557" s="11" t="n">
        <x:v>0.5342</x:v>
      </x:c>
      <x:c r="J557" s="13" t="n">
        <x:f>IF(OR(G557=0,G557=1),"",(H557-I557)*100)</x:f>
        <x:v>-11.810000000000004</x:v>
      </x:c>
      <x:c r="K557" s="14" t="n">
        <x:v>8.53</x:v>
      </x:c>
      <x:c r="L557" s="15" t="n">
        <x:f>F557*G557</x:f>
        <x:v>1942.0214</x:v>
      </x:c>
      <x:c r="M557" s="15" t="n">
        <x:f>F557-L557</x:f>
        <x:v>2934.9786</x:v>
      </x:c>
      <x:c r="N557" s="17" t="str"/>
      <x:c r="O557" s="17" t="str">
        <x:v>https://sts2log.com/cards</x:v>
      </x:c>
      <x:c r="P557" s="17" t="str">
        <x:v>https://slaythespire2.net/ancient/tezcatara</x:v>
      </x:c>
    </x:row>
    <x:row r="558" ht="25" customHeight="1">
      <x:c r="A558" s="2" t="str">
        <x:v>v0.111</x:v>
      </x:c>
      <x:c r="B558" s="2" t="str">
        <x:v>铁甲战士</x:v>
      </x:c>
      <x:c r="C558" s="2" t="str">
        <x:v>诺奴佩普</x:v>
      </x:c>
      <x:c r="D558" s="2" t="str">
        <x:v>图章戒指</x:v>
      </x:c>
      <x:c r="E558" s="16" t="n">
        <x:f>IF(G558=0,I558,IF(G558=1,H558,G558*H558+(1-G558)*I558))</x:f>
        <x:v>0.7081292</x:v>
      </x:c>
      <x:c r="F558" s="12" t="n">
        <x:v>3142</x:v>
      </x:c>
      <x:c r="G558" s="11" t="n">
        <x:v>0.499</x:v>
      </x:c>
      <x:c r="H558" s="11" t="n">
        <x:v>0.7436</x:v>
      </x:c>
      <x:c r="I558" s="11" t="n">
        <x:v>0.6728000000000001</x:v>
      </x:c>
      <x:c r="J558" s="13" t="n">
        <x:f>IF(OR(G558=0,G558=1),"",(H558-I558)*100)</x:f>
        <x:v>7.079999999999997</x:v>
      </x:c>
      <x:c r="K558" s="14" t="n">
        <x:v>41.28</x:v>
      </x:c>
      <x:c r="L558" s="15" t="n">
        <x:f>F558*G558</x:f>
        <x:v>1567.858</x:v>
      </x:c>
      <x:c r="M558" s="15" t="n">
        <x:f>F558-L558</x:f>
        <x:v>1574.142</x:v>
      </x:c>
      <x:c r="N558" s="17" t="str"/>
      <x:c r="O558" s="17" t="str">
        <x:v>https://sts2log.com/cards</x:v>
      </x:c>
      <x:c r="P558" s="17" t="str">
        <x:v>https://slaythespire2.net/ancient/nonupeipe</x:v>
      </x:c>
    </x:row>
    <x:row r="559" ht="25" customHeight="1">
      <x:c r="A559" s="2" t="str">
        <x:v>v0.111</x:v>
      </x:c>
      <x:c r="B559" s="2" t="str">
        <x:v>铁甲战士</x:v>
      </x:c>
      <x:c r="C559" s="2" t="str">
        <x:v>诺奴佩普</x:v>
      </x:c>
      <x:c r="D559" s="2" t="str">
        <x:v>钻石头冠</x:v>
      </x:c>
      <x:c r="E559" s="16" t="n">
        <x:f>IF(G559=0,I559,IF(G559=1,H559,G559*H559+(1-G559)*I559))</x:f>
        <x:v>0.70464276</x:v>
      </x:c>
      <x:c r="F559" s="12" t="n">
        <x:v>3169</x:v>
      </x:c>
      <x:c r="G559" s="11" t="n">
        <x:v>0.4598</x:v>
      </x:c>
      <x:c r="H559" s="11" t="n">
        <x:v>0.7295999999999999</x:v>
      </x:c>
      <x:c r="I559" s="11" t="n">
        <x:v>0.6834</x:v>
      </x:c>
      <x:c r="J559" s="13" t="n">
        <x:f>IF(OR(G559=0,G559=1),"",(H559-I559)*100)</x:f>
        <x:v>4.61999999999999</x:v>
      </x:c>
      <x:c r="K559" s="14" t="n">
        <x:v>39.88</x:v>
      </x:c>
      <x:c r="L559" s="15" t="n">
        <x:f>F559*G559</x:f>
        <x:v>1457.1062</x:v>
      </x:c>
      <x:c r="M559" s="15" t="n">
        <x:f>F559-L559</x:f>
        <x:v>1711.8938</x:v>
      </x:c>
      <x:c r="N559" s="17" t="str"/>
      <x:c r="O559" s="17" t="str">
        <x:v>https://sts2log.com/cards</x:v>
      </x:c>
      <x:c r="P559" s="17" t="str">
        <x:v>https://slaythespire2.net/ancient/nonupeipe</x:v>
      </x:c>
    </x:row>
    <x:row r="560" ht="25" customHeight="1">
      <x:c r="A560" s="2" t="str">
        <x:v>v0.111</x:v>
      </x:c>
      <x:c r="B560" s="2" t="str">
        <x:v>铁甲战士</x:v>
      </x:c>
      <x:c r="C560" s="2" t="str">
        <x:v>诺奴佩普</x:v>
      </x:c>
      <x:c r="D560" s="2" t="str">
        <x:v>亮片</x:v>
      </x:c>
      <x:c r="E560" s="16" t="n">
        <x:f>IF(G560=0,I560,IF(G560=1,H560,G560*H560+(1-G560)*I560))</x:f>
        <x:v>0.69607912</x:v>
      </x:c>
      <x:c r="F560" s="12" t="n">
        <x:v>3083</x:v>
      </x:c>
      <x:c r="G560" s="11" t="n">
        <x:v>0.4424</x:v>
      </x:c>
      <x:c r="H560" s="11" t="n">
        <x:v>0.6745</x:v>
      </x:c>
      <x:c r="I560" s="11" t="n">
        <x:v>0.7132</x:v>
      </x:c>
      <x:c r="J560" s="13" t="n">
        <x:f>IF(OR(G560=0,G560=1),"",(H560-I560)*100)</x:f>
        <x:v>-3.8699999999999957</x:v>
      </x:c>
      <x:c r="K560" s="14" t="n">
        <x:v>34.37</x:v>
      </x:c>
      <x:c r="L560" s="15" t="n">
        <x:f>F560*G560</x:f>
        <x:v>1363.9192</x:v>
      </x:c>
      <x:c r="M560" s="15" t="n">
        <x:f>F560-L560</x:f>
        <x:v>1719.0808</x:v>
      </x:c>
      <x:c r="N560" s="17" t="str"/>
      <x:c r="O560" s="17" t="str">
        <x:v>https://sts2log.com/cards</x:v>
      </x:c>
      <x:c r="P560" s="17" t="str">
        <x:v>https://slaythespire2.net/ancient/nonupeipe</x:v>
      </x:c>
    </x:row>
    <x:row r="561" ht="25" customHeight="1">
      <x:c r="A561" s="2" t="str">
        <x:v>v0.111</x:v>
      </x:c>
      <x:c r="B561" s="2" t="str">
        <x:v>铁甲战士</x:v>
      </x:c>
      <x:c r="C561" s="2" t="str">
        <x:v>诺奴佩普</x:v>
      </x:c>
      <x:c r="D561" s="2" t="str">
        <x:v>珠宝盒</x:v>
      </x:c>
      <x:c r="E561" s="16" t="n">
        <x:f>IF(G561=0,I561,IF(G561=1,H561,G561*H561+(1-G561)*I561))</x:f>
        <x:v>0.69464276</x:v>
      </x:c>
      <x:c r="F561" s="12" t="n">
        <x:v>3131</x:v>
      </x:c>
      <x:c r="G561" s="11" t="n">
        <x:v>0.1638</x:v>
      </x:c>
      <x:c r="H561" s="11" t="n">
        <x:v>0.653</x:v>
      </x:c>
      <x:c r="I561" s="11" t="n">
        <x:v>0.7028</x:v>
      </x:c>
      <x:c r="J561" s="13" t="n">
        <x:f>IF(OR(G561=0,G561=1),"",(H561-I561)*100)</x:f>
        <x:v>-4.979999999999995</x:v>
      </x:c>
      <x:c r="K561" s="14" t="n">
        <x:v>32.22</x:v>
      </x:c>
      <x:c r="L561" s="15" t="n">
        <x:f>F561*G561</x:f>
        <x:v>512.8578</x:v>
      </x:c>
      <x:c r="M561" s="15" t="n">
        <x:f>F561-L561</x:f>
        <x:v>2618.1422000000002</x:v>
      </x:c>
      <x:c r="N561" s="17" t="str"/>
      <x:c r="O561" s="17" t="str">
        <x:v>https://sts2log.com/cards</x:v>
      </x:c>
      <x:c r="P561" s="17" t="str">
        <x:v>https://slaythespire2.net/ancient/nonupeipe</x:v>
      </x:c>
    </x:row>
    <x:row r="562" ht="25" customHeight="1">
      <x:c r="A562" s="2" t="str">
        <x:v>v0.111</x:v>
      </x:c>
      <x:c r="B562" s="2" t="str">
        <x:v>铁甲战士</x:v>
      </x:c>
      <x:c r="C562" s="2" t="str">
        <x:v>诺奴佩普</x:v>
      </x:c>
      <x:c r="D562" s="2" t="str">
        <x:v>华美手镯</x:v>
      </x:c>
      <x:c r="E562" s="16" t="n">
        <x:f>IF(G562=0,I562,IF(G562=1,H562,G562*H562+(1-G562)*I562))</x:f>
        <x:v>0.6931430000000001</x:v>
      </x:c>
      <x:c r="F562" s="12" t="n">
        <x:v>3112</x:v>
      </x:c>
      <x:c r="G562" s="11" t="n">
        <x:v>0.385</x:v>
      </x:c>
      <x:c r="H562" s="11" t="n">
        <x:v>0.7495999999999999</x:v>
      </x:c>
      <x:c r="I562" s="11" t="n">
        <x:v>0.6578</x:v>
      </x:c>
      <x:c r="J562" s="13" t="n">
        <x:f>IF(OR(G562=0,G562=1),"",(H562-I562)*100)</x:f>
        <x:v>9.179999999999989</x:v>
      </x:c>
      <x:c r="K562" s="14" t="n">
        <x:v>41.88</x:v>
      </x:c>
      <x:c r="L562" s="15" t="n">
        <x:f>F562*G562</x:f>
        <x:v>1198.1200000000001</x:v>
      </x:c>
      <x:c r="M562" s="15" t="n">
        <x:f>F562-L562</x:f>
        <x:v>1913.8799999999999</x:v>
      </x:c>
      <x:c r="N562" s="17" t="str"/>
      <x:c r="O562" s="17" t="str">
        <x:v>https://sts2log.com/cards</x:v>
      </x:c>
      <x:c r="P562" s="17" t="str">
        <x:v>https://slaythespire2.net/ancient/nonupeipe</x:v>
      </x:c>
    </x:row>
    <x:row r="563" ht="25" customHeight="1">
      <x:c r="A563" s="2" t="str">
        <x:v>v0.111</x:v>
      </x:c>
      <x:c r="B563" s="2" t="str">
        <x:v>铁甲战士</x:v>
      </x:c>
      <x:c r="C563" s="2" t="str">
        <x:v>诺奴佩普</x:v>
      </x:c>
      <x:c r="D563" s="2" t="str">
        <x:v>娇嫩蕨草</x:v>
      </x:c>
      <x:c r="E563" s="16" t="n">
        <x:f>IF(G563=0,I563,IF(G563=1,H563,G563*H563+(1-G563)*I563))</x:f>
        <x:v>0.68905647</x:v>
      </x:c>
      <x:c r="F563" s="12" t="n">
        <x:v>3132</x:v>
      </x:c>
      <x:c r="G563" s="11" t="n">
        <x:v>0.16510000000000002</x:v>
      </x:c>
      <x:c r="H563" s="11" t="n">
        <x:v>0.7389</x:v>
      </x:c>
      <x:c r="I563" s="11" t="n">
        <x:v>0.6792</x:v>
      </x:c>
      <x:c r="J563" s="13" t="n">
        <x:f>IF(OR(G563=0,G563=1),"",(H563-I563)*100)</x:f>
        <x:v>5.969999999999997</x:v>
      </x:c>
      <x:c r="K563" s="14" t="n">
        <x:v>40.81</x:v>
      </x:c>
      <x:c r="L563" s="15" t="n">
        <x:f>F563*G563</x:f>
        <x:v>517.0932</x:v>
      </x:c>
      <x:c r="M563" s="15" t="n">
        <x:f>F563-L563</x:f>
        <x:v>2614.9067999999997</x:v>
      </x:c>
      <x:c r="N563" s="17" t="str"/>
      <x:c r="O563" s="17" t="str">
        <x:v>https://sts2log.com/cards</x:v>
      </x:c>
      <x:c r="P563" s="17" t="str">
        <x:v>https://slaythespire2.net/ancient/nonupeipe</x:v>
      </x:c>
    </x:row>
    <x:row r="564" ht="25" customHeight="1">
      <x:c r="A564" s="2" t="str">
        <x:v>v0.111</x:v>
      </x:c>
      <x:c r="B564" s="2" t="str">
        <x:v>铁甲战士</x:v>
      </x:c>
      <x:c r="C564" s="2" t="str">
        <x:v>诺奴佩普</x:v>
      </x:c>
      <x:c r="D564" s="2" t="str">
        <x:v>布质果实</x:v>
      </x:c>
      <x:c r="E564" s="16" t="n">
        <x:f>IF(G564=0,I564,IF(G564=1,H564,G564*H564+(1-G564)*I564))</x:f>
        <x:v>0.68661456</x:v>
      </x:c>
      <x:c r="F564" s="12" t="n">
        <x:v>3114</x:v>
      </x:c>
      <x:c r="G564" s="11" t="n">
        <x:v>0.2688</x:v>
      </x:c>
      <x:c r="H564" s="11" t="n">
        <x:v>0.6618999999999999</x:v>
      </x:c>
      <x:c r="I564" s="11" t="n">
        <x:v>0.6957</x:v>
      </x:c>
      <x:c r="J564" s="13" t="n">
        <x:f>IF(OR(G564=0,G564=1),"",(H564-I564)*100)</x:f>
        <x:v>-3.3800000000000052</x:v>
      </x:c>
      <x:c r="K564" s="14" t="n">
        <x:v>33.11</x:v>
      </x:c>
      <x:c r="L564" s="15" t="n">
        <x:f>F564*G564</x:f>
        <x:v>837.0432</x:v>
      </x:c>
      <x:c r="M564" s="15" t="n">
        <x:f>F564-L564</x:f>
        <x:v>2276.9568</x:v>
      </x:c>
      <x:c r="N564" s="17" t="str"/>
      <x:c r="O564" s="17" t="str">
        <x:v>https://sts2log.com/cards</x:v>
      </x:c>
      <x:c r="P564" s="17" t="str">
        <x:v>https://slaythespire2.net/ancient/nonupeipe</x:v>
      </x:c>
    </x:row>
    <x:row r="565" ht="25" customHeight="1">
      <x:c r="A565" s="2" t="str">
        <x:v>v0.111</x:v>
      </x:c>
      <x:c r="B565" s="2" t="str">
        <x:v>铁甲战士</x:v>
      </x:c>
      <x:c r="C565" s="2" t="str">
        <x:v>诺奴佩普</x:v>
      </x:c>
      <x:c r="D565" s="2" t="str">
        <x:v>艳丽围巾</x:v>
      </x:c>
      <x:c r="E565" s="16" t="n">
        <x:f>IF(G565=0,I565,IF(G565=1,H565,G565*H565+(1-G565)*I565))</x:f>
        <x:v>0.68476415</x:v>
      </x:c>
      <x:c r="F565" s="12" t="n">
        <x:v>3131</x:v>
      </x:c>
      <x:c r="G565" s="11" t="n">
        <x:v>0.35450000000000004</x:v>
      </x:c>
      <x:c r="H565" s="11" t="n">
        <x:v>0.7162000000000001</x:v>
      </x:c>
      <x:c r="I565" s="11" t="n">
        <x:v>0.6675</x:v>
      </x:c>
      <x:c r="J565" s="13" t="n">
        <x:f>IF(OR(G565=0,G565=1),"",(H565-I565)*100)</x:f>
        <x:v>4.870000000000008</x:v>
      </x:c>
      <x:c r="K565" s="14" t="n">
        <x:v>38.54</x:v>
      </x:c>
      <x:c r="L565" s="15" t="n">
        <x:f>F565*G565</x:f>
        <x:v>1109.9395000000002</x:v>
      </x:c>
      <x:c r="M565" s="15" t="n">
        <x:f>F565-L565</x:f>
        <x:v>2021.0604999999998</x:v>
      </x:c>
      <x:c r="N565" s="17" t="str"/>
      <x:c r="O565" s="17" t="str">
        <x:v>https://sts2log.com/cards</x:v>
      </x:c>
      <x:c r="P565" s="17" t="str">
        <x:v>https://slaythespire2.net/ancient/nonupeipe</x:v>
      </x:c>
    </x:row>
    <x:row r="566" ht="25" customHeight="1">
      <x:c r="A566" s="2" t="str">
        <x:v>v0.111</x:v>
      </x:c>
      <x:c r="B566" s="2" t="str">
        <x:v>铁甲战士</x:v>
      </x:c>
      <x:c r="C566" s="2" t="str">
        <x:v>诺奴佩普</x:v>
      </x:c>
      <x:c r="D566" s="2" t="str">
        <x:v>皮草大衣</x:v>
      </x:c>
      <x:c r="E566" s="16" t="n">
        <x:f>IF(G566=0,I566,IF(G566=1,H566,G566*H566+(1-G566)*I566))</x:f>
        <x:v>0.6787308000000001</x:v>
      </x:c>
      <x:c r="F566" s="12" t="n">
        <x:v>3116</x:v>
      </x:c>
      <x:c r="G566" s="11" t="n">
        <x:v>0.29109999999999997</x:v>
      </x:c>
      <x:c r="H566" s="11" t="n">
        <x:v>0.5568</x:v>
      </x:c>
      <x:c r="I566" s="11" t="n">
        <x:v>0.7288</x:v>
      </x:c>
      <x:c r="J566" s="13" t="n">
        <x:f>IF(OR(G566=0,G566=1),"",(H566-I566)*100)</x:f>
        <x:v>-17.200000000000003</x:v>
      </x:c>
      <x:c r="K566" s="14" t="n">
        <x:v>22.6</x:v>
      </x:c>
      <x:c r="L566" s="15" t="n">
        <x:f>F566*G566</x:f>
        <x:v>907.0675999999999</x:v>
      </x:c>
      <x:c r="M566" s="15" t="n">
        <x:f>F566-L566</x:f>
        <x:v>2208.9324</x:v>
      </x:c>
      <x:c r="N566" s="17" t="str"/>
      <x:c r="O566" s="17" t="str">
        <x:v>https://sts2log.com/cards</x:v>
      </x:c>
      <x:c r="P566" s="17" t="str">
        <x:v>https://slaythespire2.net/ancient/nonupeipe</x:v>
      </x:c>
    </x:row>
    <x:row r="567" ht="25" customHeight="1">
      <x:c r="A567" s="2" t="str">
        <x:v>v0.111</x:v>
      </x:c>
      <x:c r="B567" s="2" t="str">
        <x:v>铁甲战士</x:v>
      </x:c>
      <x:c r="C567" s="2" t="str">
        <x:v>诺奴佩普</x:v>
      </x:c>
      <x:c r="D567" s="2" t="str">
        <x:v>赐福鹿角</x:v>
      </x:c>
      <x:c r="E567" s="16" t="n">
        <x:f>IF(G567=0,I567,IF(G567=1,H567,G567*H567+(1-G567)*I567))</x:f>
        <x:v>0.6701945</x:v>
      </x:c>
      <x:c r="F567" s="12" t="n">
        <x:v>3126</x:v>
      </x:c>
      <x:c r="G567" s="11" t="n">
        <x:v>0.2969</x:v>
      </x:c>
      <x:c r="H567" s="11" t="n">
        <x:v>0.6034</x:v>
      </x:c>
      <x:c r="I567" s="11" t="n">
        <x:v>0.6984</x:v>
      </x:c>
      <x:c r="J567" s="13" t="n">
        <x:f>IF(OR(G567=0,G567=1),"",(H567-I567)*100)</x:f>
        <x:v>-9.499999999999996</x:v>
      </x:c>
      <x:c r="K567" s="14" t="n">
        <x:v>27.26</x:v>
      </x:c>
      <x:c r="L567" s="15" t="n">
        <x:f>F567*G567</x:f>
        <x:v>928.1093999999999</x:v>
      </x:c>
      <x:c r="M567" s="15" t="n">
        <x:f>F567-L567</x:f>
        <x:v>2197.8906</x:v>
      </x:c>
      <x:c r="N567" s="17" t="str"/>
      <x:c r="O567" s="17" t="str">
        <x:v>https://sts2log.com/cards</x:v>
      </x:c>
      <x:c r="P567" s="17" t="str">
        <x:v>https://slaythespire2.net/ancient/nonupeipe</x:v>
      </x:c>
    </x:row>
    <x:row r="568" ht="25" customHeight="1">
      <x:c r="A568" s="2" t="str">
        <x:v>v0.111</x:v>
      </x:c>
      <x:c r="B568" s="2" t="str">
        <x:v>铁甲战士</x:v>
      </x:c>
      <x:c r="C568" s="2" t="str">
        <x:v>坦克斯</x:v>
      </x:c>
      <x:c r="D568" s="2" t="str">
        <x:v>钗</x:v>
      </x:c>
      <x:c r="E568" s="16" t="n">
        <x:f>IF(G568=0,I568,IF(G568=1,H568,G568*H568+(1-G568)*I568))</x:f>
        <x:v>0.73103713</x:v>
      </x:c>
      <x:c r="F568" s="12" t="n">
        <x:v>3164</x:v>
      </x:c>
      <x:c r="G568" s="11" t="n">
        <x:v>0.4839</x:v>
      </x:c>
      <x:c r="H568" s="11" t="n">
        <x:v>0.7603</x:v>
      </x:c>
      <x:c r="I568" s="11" t="n">
        <x:v>0.7036</x:v>
      </x:c>
      <x:c r="J568" s="13" t="n">
        <x:f>IF(OR(G568=0,G568=1),"",(H568-I568)*100)</x:f>
        <x:v>5.669999999999997</x:v>
      </x:c>
      <x:c r="K568" s="14" t="n">
        <x:v>42.95</x:v>
      </x:c>
      <x:c r="L568" s="15" t="n">
        <x:f>F568*G568</x:f>
        <x:v>1531.0596</x:v>
      </x:c>
      <x:c r="M568" s="15" t="n">
        <x:f>F568-L568</x:f>
        <x:v>1632.9404</x:v>
      </x:c>
      <x:c r="N568" s="17" t="str"/>
      <x:c r="O568" s="17" t="str">
        <x:v>https://sts2log.com/cards</x:v>
      </x:c>
      <x:c r="P568" s="17" t="str">
        <x:v>https://slaythespire2.net/ancient/tanx</x:v>
      </x:c>
    </x:row>
    <x:row r="569" ht="25" customHeight="1">
      <x:c r="A569" s="2" t="str">
        <x:v>v0.111</x:v>
      </x:c>
      <x:c r="B569" s="2" t="str">
        <x:v>铁甲战士</x:v>
      </x:c>
      <x:c r="C569" s="2" t="str">
        <x:v>坦克斯</x:v>
      </x:c>
      <x:c r="D569" s="2" t="str">
        <x:v>十字弓</x:v>
      </x:c>
      <x:c r="E569" s="16" t="n">
        <x:f>IF(G569=0,I569,IF(G569=1,H569,G569*H569+(1-G569)*I569))</x:f>
        <x:v>0.7297269200000001</x:v>
      </x:c>
      <x:c r="F569" s="12" t="n">
        <x:v>3097</x:v>
      </x:c>
      <x:c r="G569" s="11" t="n">
        <x:v>0.2531</x:v>
      </x:c>
      <x:c r="H569" s="11" t="n">
        <x:v>0.7844</x:v>
      </x:c>
      <x:c r="I569" s="11" t="n">
        <x:v>0.7112</x:v>
      </x:c>
      <x:c r="J569" s="13" t="n">
        <x:f>IF(OR(G569=0,G569=1),"",(H569-I569)*100)</x:f>
        <x:v>7.319999999999993</x:v>
      </x:c>
      <x:c r="K569" s="14" t="n">
        <x:v>45.36</x:v>
      </x:c>
      <x:c r="L569" s="15" t="n">
        <x:f>F569*G569</x:f>
        <x:v>783.8507</x:v>
      </x:c>
      <x:c r="M569" s="15" t="n">
        <x:f>F569-L569</x:f>
        <x:v>2313.1493</x:v>
      </x:c>
      <x:c r="N569" s="17" t="str"/>
      <x:c r="O569" s="17" t="str">
        <x:v>https://sts2log.com/cards</x:v>
      </x:c>
      <x:c r="P569" s="17" t="str">
        <x:v>https://slaythespire2.net/ancient/tanx</x:v>
      </x:c>
    </x:row>
    <x:row r="570" ht="25" customHeight="1">
      <x:c r="A570" s="2" t="str">
        <x:v>v0.111</x:v>
      </x:c>
      <x:c r="B570" s="2" t="str">
        <x:v>铁甲战士</x:v>
      </x:c>
      <x:c r="C570" s="2" t="str">
        <x:v>坦克斯</x:v>
      </x:c>
      <x:c r="D570" s="2" t="str">
        <x:v>铁棒</x:v>
      </x:c>
      <x:c r="E570" s="16" t="n">
        <x:f>IF(G570=0,I570,IF(G570=1,H570,G570*H570+(1-G570)*I570))</x:f>
        <x:v>0.7202902</x:v>
      </x:c>
      <x:c r="F570" s="12" t="n">
        <x:v>3078</x:v>
      </x:c>
      <x:c r="G570" s="11" t="n">
        <x:v>0.462</x:v>
      </x:c>
      <x:c r="H570" s="11" t="n">
        <x:v>0.7806000000000001</x:v>
      </x:c>
      <x:c r="I570" s="11" t="n">
        <x:v>0.6685</x:v>
      </x:c>
      <x:c r="J570" s="13" t="n">
        <x:f>IF(OR(G570=0,G570=1),"",(H570-I570)*100)</x:f>
        <x:v>11.210000000000008</x:v>
      </x:c>
      <x:c r="K570" s="14" t="n">
        <x:v>44.98</x:v>
      </x:c>
      <x:c r="L570" s="15" t="n">
        <x:f>F570*G570</x:f>
        <x:v>1422.036</x:v>
      </x:c>
      <x:c r="M570" s="15" t="n">
        <x:f>F570-L570</x:f>
        <x:v>1655.964</x:v>
      </x:c>
      <x:c r="N570" s="17" t="str"/>
      <x:c r="O570" s="17" t="str">
        <x:v>https://sts2log.com/cards</x:v>
      </x:c>
      <x:c r="P570" s="17" t="str">
        <x:v>https://slaythespire2.net/ancient/tanx</x:v>
      </x:c>
    </x:row>
    <x:row r="571" ht="25" customHeight="1">
      <x:c r="A571" s="2" t="str">
        <x:v>v0.111</x:v>
      </x:c>
      <x:c r="B571" s="2" t="str">
        <x:v>铁甲战士</x:v>
      </x:c>
      <x:c r="C571" s="2" t="str">
        <x:v>坦克斯</x:v>
      </x:c>
      <x:c r="D571" s="2" t="str">
        <x:v>三刃回旋镖</x:v>
      </x:c>
      <x:c r="E571" s="16" t="n">
        <x:f>IF(G571=0,I571,IF(G571=1,H571,G571*H571+(1-G571)*I571))</x:f>
        <x:v>0.7096539499999999</x:v>
      </x:c>
      <x:c r="F571" s="12" t="n">
        <x:v>3148</x:v>
      </x:c>
      <x:c r="G571" s="11" t="n">
        <x:v>0.5435</x:v>
      </x:c>
      <x:c r="H571" s="11" t="n">
        <x:v>0.7012999999999999</x:v>
      </x:c>
      <x:c r="I571" s="11" t="n">
        <x:v>0.7195999999999999</x:v>
      </x:c>
      <x:c r="J571" s="13" t="n">
        <x:f>IF(OR(G571=0,G571=1),"",(H571-I571)*100)</x:f>
        <x:v>-1.8299999999999983</x:v>
      </x:c>
      <x:c r="K571" s="14" t="n">
        <x:v>37.05</x:v>
      </x:c>
      <x:c r="L571" s="15" t="n">
        <x:f>F571*G571</x:f>
        <x:v>1710.9379999999999</x:v>
      </x:c>
      <x:c r="M571" s="15" t="n">
        <x:f>F571-L571</x:f>
        <x:v>1437.0620000000001</x:v>
      </x:c>
      <x:c r="N571" s="17" t="str"/>
      <x:c r="O571" s="17" t="str">
        <x:v>https://sts2log.com/cards</x:v>
      </x:c>
      <x:c r="P571" s="17" t="str">
        <x:v>https://slaythespire2.net/ancient/tanx</x:v>
      </x:c>
    </x:row>
    <x:row r="572" ht="25" customHeight="1">
      <x:c r="A572" s="2" t="str">
        <x:v>v0.111</x:v>
      </x:c>
      <x:c r="B572" s="2" t="str">
        <x:v>铁甲战士</x:v>
      </x:c>
      <x:c r="C572" s="2" t="str">
        <x:v>坦克斯</x:v>
      </x:c>
      <x:c r="D572" s="2" t="str">
        <x:v>利爪</x:v>
      </x:c>
      <x:c r="E572" s="16" t="n">
        <x:f>IF(G572=0,I572,IF(G572=1,H572,G572*H572+(1-G572)*I572))</x:f>
        <x:v>0.70661662</x:v>
      </x:c>
      <x:c r="F572" s="12" t="n">
        <x:v>3119</x:v>
      </x:c>
      <x:c r="G572" s="11" t="n">
        <x:v>0.2738</x:v>
      </x:c>
      <x:c r="H572" s="11" t="n">
        <x:v>0.6194</x:v>
      </x:c>
      <x:c r="I572" s="11" t="n">
        <x:v>0.7395</x:v>
      </x:c>
      <x:c r="J572" s="13" t="n">
        <x:f>IF(OR(G572=0,G572=1),"",(H572-I572)*100)</x:f>
        <x:v>-12.010000000000009</x:v>
      </x:c>
      <x:c r="K572" s="14" t="n">
        <x:v>28.86</x:v>
      </x:c>
      <x:c r="L572" s="15" t="n">
        <x:f>F572*G572</x:f>
        <x:v>853.9821999999999</x:v>
      </x:c>
      <x:c r="M572" s="15" t="n">
        <x:f>F572-L572</x:f>
        <x:v>2265.0178</x:v>
      </x:c>
      <x:c r="N572" s="17" t="str"/>
      <x:c r="O572" s="17" t="str">
        <x:v>https://sts2log.com/cards</x:v>
      </x:c>
      <x:c r="P572" s="17" t="str">
        <x:v>https://slaythespire2.net/ancient/tanx</x:v>
      </x:c>
    </x:row>
    <x:row r="573" ht="25" customHeight="1">
      <x:c r="A573" s="2" t="str">
        <x:v>v0.111</x:v>
      </x:c>
      <x:c r="B573" s="2" t="str">
        <x:v>铁甲战士</x:v>
      </x:c>
      <x:c r="C573" s="2" t="str">
        <x:v>坦克斯</x:v>
      </x:c>
      <x:c r="D573" s="2" t="str">
        <x:v>切肉刀</x:v>
      </x:c>
      <x:c r="E573" s="16" t="n">
        <x:f>IF(G573=0,I573,IF(G573=1,H573,G573*H573+(1-G573)*I573))</x:f>
        <x:v>0.69941472</x:v>
      </x:c>
      <x:c r="F573" s="12" t="n">
        <x:v>3187</x:v>
      </x:c>
      <x:c r="G573" s="11" t="n">
        <x:v>0.4048</x:v>
      </x:c>
      <x:c r="H573" s="11" t="n">
        <x:v>0.7062</x:v>
      </x:c>
      <x:c r="I573" s="11" t="n">
        <x:v>0.6948000000000001</x:v>
      </x:c>
      <x:c r="J573" s="13" t="n">
        <x:f>IF(OR(G573=0,G573=1),"",(H573-I573)*100)</x:f>
        <x:v>1.1399999999999966</x:v>
      </x:c>
      <x:c r="K573" s="14" t="n">
        <x:v>37.54</x:v>
      </x:c>
      <x:c r="L573" s="15" t="n">
        <x:f>F573*G573</x:f>
        <x:v>1290.0976</x:v>
      </x:c>
      <x:c r="M573" s="15" t="n">
        <x:f>F573-L573</x:f>
        <x:v>1896.9024</x:v>
      </x:c>
      <x:c r="N573" s="17" t="str"/>
      <x:c r="O573" s="17" t="str">
        <x:v>https://sts2log.com/cards</x:v>
      </x:c>
      <x:c r="P573" s="17" t="str">
        <x:v>https://slaythespire2.net/ancient/tanx</x:v>
      </x:c>
    </x:row>
    <x:row r="574" ht="25" customHeight="1">
      <x:c r="A574" s="2" t="str">
        <x:v>v0.111</x:v>
      </x:c>
      <x:c r="B574" s="2" t="str">
        <x:v>铁甲战士</x:v>
      </x:c>
      <x:c r="C574" s="2" t="str">
        <x:v>坦克斯</x:v>
      </x:c>
      <x:c r="D574" s="2" t="str">
        <x:v>战锤</x:v>
      </x:c>
      <x:c r="E574" s="16" t="n">
        <x:f>IF(G574=0,I574,IF(G574=1,H574,G574*H574+(1-G574)*I574))</x:f>
        <x:v>0.6922676999999999</x:v>
      </x:c>
      <x:c r="F574" s="12" t="n">
        <x:v>3087</x:v>
      </x:c>
      <x:c r="G574" s="11" t="n">
        <x:v>0.1535</x:v>
      </x:c>
      <x:c r="H574" s="11" t="n">
        <x:v>0.6772</x:v>
      </x:c>
      <x:c r="I574" s="11" t="n">
        <x:v>0.695</x:v>
      </x:c>
      <x:c r="J574" s="13" t="n">
        <x:f>IF(OR(G574=0,G574=1),"",(H574-I574)*100)</x:f>
        <x:v>-1.7799999999999927</x:v>
      </x:c>
      <x:c r="K574" s="14" t="n">
        <x:v>34.64</x:v>
      </x:c>
      <x:c r="L574" s="15" t="n">
        <x:f>F574*G574</x:f>
        <x:v>473.8545</x:v>
      </x:c>
      <x:c r="M574" s="15" t="n">
        <x:f>F574-L574</x:f>
        <x:v>2613.1455</x:v>
      </x:c>
      <x:c r="N574" s="17" t="str"/>
      <x:c r="O574" s="17" t="str">
        <x:v>https://sts2log.com/cards</x:v>
      </x:c>
      <x:c r="P574" s="17" t="str">
        <x:v>https://slaythespire2.net/ancient/tanx</x:v>
      </x:c>
    </x:row>
    <x:row r="575" ht="25" customHeight="1">
      <x:c r="A575" s="2" t="str">
        <x:v>v0.111</x:v>
      </x:c>
      <x:c r="B575" s="2" t="str">
        <x:v>铁甲战士</x:v>
      </x:c>
      <x:c r="C575" s="2" t="str">
        <x:v>坦克斯</x:v>
      </x:c>
      <x:c r="D575" s="2" t="str">
        <x:v>带刺手甲</x:v>
      </x:c>
      <x:c r="E575" s="16" t="n">
        <x:f>IF(G575=0,I575,IF(G575=1,H575,G575*H575+(1-G575)*I575))</x:f>
        <x:v>0.6900836800000001</x:v>
      </x:c>
      <x:c r="F575" s="12" t="n">
        <x:v>3172</x:v>
      </x:c>
      <x:c r="G575" s="11" t="n">
        <x:v>0.21780000000000002</x:v>
      </x:c>
      <x:c r="H575" s="11" t="n">
        <x:v>0.6006</x:v>
      </x:c>
      <x:c r="I575" s="11" t="n">
        <x:v>0.715</x:v>
      </x:c>
      <x:c r="J575" s="13" t="n">
        <x:f>IF(OR(G575=0,G575=1),"",(H575-I575)*100)</x:f>
        <x:v>-11.439999999999994</x:v>
      </x:c>
      <x:c r="K575" s="14" t="n">
        <x:v>26.98</x:v>
      </x:c>
      <x:c r="L575" s="15" t="n">
        <x:f>F575*G575</x:f>
        <x:v>690.8616000000001</x:v>
      </x:c>
      <x:c r="M575" s="15" t="n">
        <x:f>F575-L575</x:f>
        <x:v>2481.1384</x:v>
      </x:c>
      <x:c r="N575" s="17" t="str"/>
      <x:c r="O575" s="17" t="str">
        <x:v>https://sts2log.com/cards</x:v>
      </x:c>
      <x:c r="P575" s="17" t="str">
        <x:v>https://slaythespire2.net/ancient/tanx</x:v>
      </x:c>
    </x:row>
    <x:row r="576" ht="25" customHeight="1">
      <x:c r="A576" s="2" t="str">
        <x:v>v0.111</x:v>
      </x:c>
      <x:c r="B576" s="2" t="str">
        <x:v>铁甲战士</x:v>
      </x:c>
      <x:c r="C576" s="2" t="str">
        <x:v>坦克斯</x:v>
      </x:c>
      <x:c r="D576" s="2" t="str">
        <x:v>坦克斯的哨子</x:v>
      </x:c>
      <x:c r="E576" s="16" t="n">
        <x:f>IF(G576=0,I576,IF(G576=1,H576,G576*H576+(1-G576)*I576))</x:f>
        <x:v>0.687672</x:v>
      </x:c>
      <x:c r="F576" s="12" t="n">
        <x:v>3093</x:v>
      </x:c>
      <x:c r="G576" s="11" t="n">
        <x:v>0.21760000000000002</x:v>
      </x:c>
      <x:c r="H576" s="11" t="n">
        <x:v>0.6642</x:v>
      </x:c>
      <x:c r="I576" s="11" t="n">
        <x:v>0.6942</x:v>
      </x:c>
      <x:c r="J576" s="13" t="n">
        <x:f>IF(OR(G576=0,G576=1),"",(H576-I576)*100)</x:f>
        <x:v>-3.0000000000000027</x:v>
      </x:c>
      <x:c r="K576" s="14" t="n">
        <x:v>33.34</x:v>
      </x:c>
      <x:c r="L576" s="15" t="n">
        <x:f>F576*G576</x:f>
        <x:v>673.0368000000001</x:v>
      </x:c>
      <x:c r="M576" s="15" t="n">
        <x:f>F576-L576</x:f>
        <x:v>2419.9632</x:v>
      </x:c>
      <x:c r="N576" s="17" t="str"/>
      <x:c r="O576" s="17" t="str">
        <x:v>https://sts2log.com/cards</x:v>
      </x:c>
      <x:c r="P576" s="17" t="str">
        <x:v>https://slaythespire2.net/ancient/tanx</x:v>
      </x:c>
    </x:row>
    <x:row r="577" ht="25" customHeight="1">
      <x:c r="A577" s="2" t="str">
        <x:v>v0.111</x:v>
      </x:c>
      <x:c r="B577" s="2" t="str">
        <x:v>铁甲战士</x:v>
      </x:c>
      <x:c r="C577" s="2" t="str">
        <x:v>坦克斯</x:v>
      </x:c>
      <x:c r="D577" s="2" t="str">
        <x:v>投斧</x:v>
      </x:c>
      <x:c r="E577" s="16" t="n">
        <x:f>IF(G577=0,I577,IF(G577=1,H577,G577*H577+(1-G577)*I577))</x:f>
        <x:v>0.6844506800000001</x:v>
      </x:c>
      <x:c r="F577" s="12" t="n">
        <x:v>3147</x:v>
      </x:c>
      <x:c r="G577" s="11" t="n">
        <x:v>0.31079999999999997</x:v>
      </x:c>
      <x:c r="H577" s="11" t="n">
        <x:v>0.6411</x:v>
      </x:c>
      <x:c r="I577" s="11" t="n">
        <x:v>0.7040000000000001</x:v>
      </x:c>
      <x:c r="J577" s="13" t="n">
        <x:f>IF(OR(G577=0,G577=1),"",(H577-I577)*100)</x:f>
        <x:v>-6.290000000000006</x:v>
      </x:c>
      <x:c r="K577" s="14" t="n">
        <x:v>31.03</x:v>
      </x:c>
      <x:c r="L577" s="15" t="n">
        <x:f>F577*G577</x:f>
        <x:v>978.0875999999998</x:v>
      </x:c>
      <x:c r="M577" s="15" t="n">
        <x:f>F577-L577</x:f>
        <x:v>2168.9124</x:v>
      </x:c>
      <x:c r="N577" s="17" t="str"/>
      <x:c r="O577" s="17" t="str">
        <x:v>https://sts2log.com/cards</x:v>
      </x:c>
      <x:c r="P577" s="17" t="str">
        <x:v>https://slaythespire2.net/ancient/tanx</x:v>
      </x:c>
    </x:row>
    <x:row r="578" ht="25" customHeight="1">
      <x:c r="A578" s="2" t="str">
        <x:v>v0.111</x:v>
      </x:c>
      <x:c r="B578" s="2" t="str">
        <x:v>铁甲战士</x:v>
      </x:c>
      <x:c r="C578" s="2" t="str">
        <x:v>瓦库</x:v>
      </x:c>
      <x:c r="D578" s="2" t="str">
        <x:v>音乐盒</x:v>
      </x:c>
      <x:c r="E578" s="16" t="n">
        <x:f>IF(G578=0,I578,IF(G578=1,H578,G578*H578+(1-G578)*I578))</x:f>
        <x:v>0.67362192</x:v>
      </x:c>
      <x:c r="F578" s="12" t="n">
        <x:v>2543</x:v>
      </x:c>
      <x:c r="G578" s="11" t="n">
        <x:v>0.5088</x:v>
      </x:c>
      <x:c r="H578" s="11" t="n">
        <x:v>0.7195</x:v>
      </x:c>
      <x:c r="I578" s="11" t="n">
        <x:v>0.6261</x:v>
      </x:c>
      <x:c r="J578" s="13" t="n">
        <x:f>IF(OR(G578=0,G578=1),"",(H578-I578)*100)</x:f>
        <x:v>9.340000000000003</x:v>
      </x:c>
      <x:c r="K578" s="14" t="n">
        <x:v>38.87</x:v>
      </x:c>
      <x:c r="L578" s="15" t="n">
        <x:f>F578*G578</x:f>
        <x:v>1293.8784</x:v>
      </x:c>
      <x:c r="M578" s="15" t="n">
        <x:f>F578-L578</x:f>
        <x:v>1249.1216</x:v>
      </x:c>
      <x:c r="N578" s="17" t="str"/>
      <x:c r="O578" s="17" t="str">
        <x:v>https://sts2log.com/cards</x:v>
      </x:c>
      <x:c r="P578" s="17" t="str">
        <x:v>https://slaythespire2.net/ancient/vakuu</x:v>
      </x:c>
    </x:row>
    <x:row r="579" ht="25" customHeight="1">
      <x:c r="A579" s="2" t="str">
        <x:v>v0.111</x:v>
      </x:c>
      <x:c r="B579" s="2" t="str">
        <x:v>铁甲战士</x:v>
      </x:c>
      <x:c r="C579" s="2" t="str">
        <x:v>瓦库</x:v>
      </x:c>
      <x:c r="D579" s="2" t="str">
        <x:v>宝石面具</x:v>
      </x:c>
      <x:c r="E579" s="16" t="n">
        <x:f>IF(G579=0,I579,IF(G579=1,H579,G579*H579+(1-G579)*I579))</x:f>
        <x:v>0.6702704199999999</x:v>
      </x:c>
      <x:c r="F579" s="12" t="n">
        <x:v>2578</x:v>
      </x:c>
      <x:c r="G579" s="11" t="n">
        <x:v>0.7614</x:v>
      </x:c>
      <x:c r="H579" s="11" t="n">
        <x:v>0.6775</x:v>
      </x:c>
      <x:c r="I579" s="11" t="n">
        <x:v>0.6472</x:v>
      </x:c>
      <x:c r="J579" s="13" t="n">
        <x:f>IF(OR(G579=0,G579=1),"",(H579-I579)*100)</x:f>
        <x:v>3.0299999999999994</x:v>
      </x:c>
      <x:c r="K579" s="14" t="n">
        <x:v>34.67</x:v>
      </x:c>
      <x:c r="L579" s="15" t="n">
        <x:f>F579*G579</x:f>
        <x:v>1962.8891999999998</x:v>
      </x:c>
      <x:c r="M579" s="15" t="n">
        <x:f>F579-L579</x:f>
        <x:v>615.1108000000002</x:v>
      </x:c>
      <x:c r="N579" s="17" t="str"/>
      <x:c r="O579" s="17" t="str">
        <x:v>https://sts2log.com/cards</x:v>
      </x:c>
      <x:c r="P579" s="17" t="str">
        <x:v>https://slaythespire2.net/ancient/vakuu</x:v>
      </x:c>
    </x:row>
    <x:row r="580" ht="25" customHeight="1">
      <x:c r="A580" s="2" t="str">
        <x:v>v0.111</x:v>
      </x:c>
      <x:c r="B580" s="2" t="str">
        <x:v>铁甲战士</x:v>
      </x:c>
      <x:c r="C580" s="2" t="str">
        <x:v>瓦库</x:v>
      </x:c>
      <x:c r="D580" s="2" t="str">
        <x:v>卓越斗篷</x:v>
      </x:c>
      <x:c r="E580" s="16" t="n">
        <x:f>IF(G580=0,I580,IF(G580=1,H580,G580*H580+(1-G580)*I580))</x:f>
        <x:v>0.6599664900000001</x:v>
      </x:c>
      <x:c r="F580" s="12" t="n">
        <x:v>3420</x:v>
      </x:c>
      <x:c r="G580" s="11" t="n">
        <x:v>0.2751</x:v>
      </x:c>
      <x:c r="H580" s="11" t="n">
        <x:v>0.6164000000000001</x:v>
      </x:c>
      <x:c r="I580" s="11" t="n">
        <x:v>0.6765000000000001</x:v>
      </x:c>
      <x:c r="J580" s="13" t="n">
        <x:f>IF(OR(G580=0,G580=1),"",(H580-I580)*100)</x:f>
        <x:v>-6.010000000000004</x:v>
      </x:c>
      <x:c r="K580" s="14" t="n">
        <x:v>28.56</x:v>
      </x:c>
      <x:c r="L580" s="15" t="n">
        <x:f>F580*G580</x:f>
        <x:v>940.842</x:v>
      </x:c>
      <x:c r="M580" s="15" t="n">
        <x:f>F580-L580</x:f>
        <x:v>2479.158</x:v>
      </x:c>
      <x:c r="N580" s="17" t="str"/>
      <x:c r="O580" s="17" t="str">
        <x:v>https://sts2log.com/cards</x:v>
      </x:c>
      <x:c r="P580" s="17" t="str">
        <x:v>https://slaythespire2.net/ancient/vakuu</x:v>
      </x:c>
    </x:row>
    <x:row r="581" ht="25" customHeight="1">
      <x:c r="A581" s="2" t="str">
        <x:v>v0.111</x:v>
      </x:c>
      <x:c r="B581" s="2" t="str">
        <x:v>铁甲战士</x:v>
      </x:c>
      <x:c r="C581" s="2" t="str">
        <x:v>瓦库</x:v>
      </x:c>
      <x:c r="D581" s="2" t="str">
        <x:v>小提琴</x:v>
      </x:c>
      <x:c r="E581" s="16" t="n">
        <x:f>IF(G581=0,I581,IF(G581=1,H581,G581*H581+(1-G581)*I581))</x:f>
        <x:v>0.6497788000000001</x:v>
      </x:c>
      <x:c r="F581" s="12" t="n">
        <x:v>3418</x:v>
      </x:c>
      <x:c r="G581" s="11" t="n">
        <x:v>0.08310000000000001</x:v>
      </x:c>
      <x:c r="H581" s="11" t="n">
        <x:v>0.6021</x:v>
      </x:c>
      <x:c r="I581" s="11" t="n">
        <x:v>0.6541</x:v>
      </x:c>
      <x:c r="J581" s="13" t="n">
        <x:f>IF(OR(G581=0,G581=1),"",(H581-I581)*100)</x:f>
        <x:v>-5.200000000000005</x:v>
      </x:c>
      <x:c r="K581" s="14" t="n">
        <x:v>27.13</x:v>
      </x:c>
      <x:c r="L581" s="15" t="n">
        <x:f>F581*G581</x:f>
        <x:v>284.03580000000005</x:v>
      </x:c>
      <x:c r="M581" s="15" t="n">
        <x:f>F581-L581</x:f>
        <x:v>3133.9642</x:v>
      </x:c>
      <x:c r="N581" s="17" t="str"/>
      <x:c r="O581" s="17" t="str">
        <x:v>https://sts2log.com/cards</x:v>
      </x:c>
      <x:c r="P581" s="17" t="str">
        <x:v>https://slaythespire2.net/ancient/vakuu</x:v>
      </x:c>
    </x:row>
    <x:row r="582" ht="25" customHeight="1">
      <x:c r="A582" s="2" t="str">
        <x:v>v0.111</x:v>
      </x:c>
      <x:c r="B582" s="2" t="str">
        <x:v>铁甲战士</x:v>
      </x:c>
      <x:c r="C582" s="2" t="str">
        <x:v>瓦库</x:v>
      </x:c>
      <x:c r="D582" s="2" t="str">
        <x:v>低语耳环</x:v>
      </x:c>
      <x:c r="E582" s="16" t="n">
        <x:f>IF(G582=0,I582,IF(G582=1,H582,G582*H582+(1-G582)*I582))</x:f>
        <x:v>0.6461720000000001</x:v>
      </x:c>
      <x:c r="F582" s="12" t="n">
        <x:v>3420</x:v>
      </x:c>
      <x:c r="G582" s="11" t="n">
        <x:v>0.1152</x:v>
      </x:c>
      <x:c r="H582" s="11" t="n">
        <x:v>0.467</x:v>
      </x:c>
      <x:c r="I582" s="11" t="n">
        <x:v>0.6695</x:v>
      </x:c>
      <x:c r="J582" s="13" t="n">
        <x:f>IF(OR(G582=0,G582=1),"",(H582-I582)*100)</x:f>
        <x:v>-20.249999999999996</x:v>
      </x:c>
      <x:c r="K582" s="14" t="n">
        <x:v>13.62</x:v>
      </x:c>
      <x:c r="L582" s="15" t="n">
        <x:f>F582*G582</x:f>
        <x:v>393.984</x:v>
      </x:c>
      <x:c r="M582" s="15" t="n">
        <x:f>F582-L582</x:f>
        <x:v>3026.016</x:v>
      </x:c>
      <x:c r="N582" s="17" t="str"/>
      <x:c r="O582" s="17" t="str">
        <x:v>https://sts2log.com/cards</x:v>
      </x:c>
      <x:c r="P582" s="17" t="str">
        <x:v>https://slaythespire2.net/ancient/vakuu</x:v>
      </x:c>
    </x:row>
    <x:row r="583" ht="25" customHeight="1">
      <x:c r="A583" s="2" t="str">
        <x:v>v0.111</x:v>
      </x:c>
      <x:c r="B583" s="2" t="str">
        <x:v>铁甲战士</x:v>
      </x:c>
      <x:c r="C583" s="2" t="str">
        <x:v>瓦库</x:v>
      </x:c>
      <x:c r="D583" s="2" t="str">
        <x:v>血染玫瑰</x:v>
      </x:c>
      <x:c r="E583" s="16" t="n">
        <x:f>IF(G583=0,I583,IF(G583=1,H583,G583*H583+(1-G583)*I583))</x:f>
        <x:v>0.6439408000000001</x:v>
      </x:c>
      <x:c r="F583" s="12" t="n">
        <x:v>3483</x:v>
      </x:c>
      <x:c r="G583" s="11" t="n">
        <x:v>0.10800000000000001</x:v>
      </x:c>
      <x:c r="H583" s="11" t="n">
        <x:v>0.508</x:v>
      </x:c>
      <x:c r="I583" s="11" t="n">
        <x:v>0.6604000000000001</x:v>
      </x:c>
      <x:c r="J583" s="13" t="n">
        <x:f>IF(OR(G583=0,G583=1),"",(H583-I583)*100)</x:f>
        <x:v>-15.240000000000009</x:v>
      </x:c>
      <x:c r="K583" s="14" t="n">
        <x:v>17.72</x:v>
      </x:c>
      <x:c r="L583" s="15" t="n">
        <x:f>F583*G583</x:f>
        <x:v>376.16400000000004</x:v>
      </x:c>
      <x:c r="M583" s="15" t="n">
        <x:f>F583-L583</x:f>
        <x:v>3106.836</x:v>
      </x:c>
      <x:c r="N583" s="17" t="str"/>
      <x:c r="O583" s="17" t="str">
        <x:v>https://sts2log.com/cards</x:v>
      </x:c>
      <x:c r="P583" s="17" t="str">
        <x:v>https://slaythespire2.net/ancient/vakuu</x:v>
      </x:c>
    </x:row>
    <x:row r="584" ht="25" customHeight="1">
      <x:c r="A584" s="2" t="str">
        <x:v>v0.111</x:v>
      </x:c>
      <x:c r="B584" s="2" t="str">
        <x:v>铁甲战士</x:v>
      </x:c>
      <x:c r="C584" s="2" t="str">
        <x:v>瓦库</x:v>
      </x:c>
      <x:c r="D584" s="2" t="str">
        <x:v>原初之爪</x:v>
      </x:c>
      <x:c r="E584" s="16" t="n">
        <x:f>IF(G584=0,I584,IF(G584=1,H584,G584*H584+(1-G584)*I584))</x:f>
        <x:v>0.64235436</x:v>
      </x:c>
      <x:c r="F584" s="12" t="n">
        <x:v>3400</x:v>
      </x:c>
      <x:c r="G584" s="11" t="n">
        <x:v>0.47909999999999997</x:v>
      </x:c>
      <x:c r="H584" s="11" t="n">
        <x:v>0.6734</x:v>
      </x:c>
      <x:c r="I584" s="11" t="n">
        <x:v>0.6138</x:v>
      </x:c>
      <x:c r="J584" s="13" t="n">
        <x:f>IF(OR(G584=0,G584=1),"",(H584-I584)*100)</x:f>
        <x:v>5.959999999999999</x:v>
      </x:c>
      <x:c r="K584" s="14" t="n">
        <x:v>34.26</x:v>
      </x:c>
      <x:c r="L584" s="15" t="n">
        <x:f>F584*G584</x:f>
        <x:v>1628.9399999999998</x:v>
      </x:c>
      <x:c r="M584" s="15" t="n">
        <x:f>F584-L584</x:f>
        <x:v>1771.0600000000002</x:v>
      </x:c>
      <x:c r="N584" s="17" t="str"/>
      <x:c r="O584" s="17" t="str">
        <x:v>https://sts2log.com/cards</x:v>
      </x:c>
      <x:c r="P584" s="17" t="str">
        <x:v>https://slaythespire2.net/ancient/vakuu</x:v>
      </x:c>
    </x:row>
    <x:row r="585" ht="25" customHeight="1">
      <x:c r="A585" s="2" t="str">
        <x:v>v0.111</x:v>
      </x:c>
      <x:c r="B585" s="2" t="str">
        <x:v>铁甲战士</x:v>
      </x:c>
      <x:c r="C585" s="2" t="str">
        <x:v>瓦库</x:v>
      </x:c>
      <x:c r="D585" s="2" t="str">
        <x:v>腌制活雾</x:v>
      </x:c>
      <x:c r="E585" s="16" t="n">
        <x:f>IF(G585=0,I585,IF(G585=1,H585,G585*H585+(1-G585)*I585))</x:f>
        <x:v>0.6380911300000001</x:v>
      </x:c>
      <x:c r="F585" s="12" t="n">
        <x:v>3504</x:v>
      </x:c>
      <x:c r="G585" s="11" t="n">
        <x:v>0.5478999999999999</x:v>
      </x:c>
      <x:c r="H585" s="11" t="n">
        <x:v>0.6583</x:v>
      </x:c>
      <x:c r="I585" s="11" t="n">
        <x:v>0.6136</x:v>
      </x:c>
      <x:c r="J585" s="13" t="n">
        <x:f>IF(OR(G585=0,G585=1),"",(H585-I585)*100)</x:f>
        <x:v>4.469999999999996</x:v>
      </x:c>
      <x:c r="K585" s="14" t="n">
        <x:v>32.75</x:v>
      </x:c>
      <x:c r="L585" s="15" t="n">
        <x:f>F585*G585</x:f>
        <x:v>1919.8415999999997</x:v>
      </x:c>
      <x:c r="M585" s="15" t="n">
        <x:f>F585-L585</x:f>
        <x:v>1584.1584000000003</x:v>
      </x:c>
      <x:c r="N585" s="17" t="str"/>
      <x:c r="O585" s="17" t="str">
        <x:v>https://sts2log.com/cards</x:v>
      </x:c>
      <x:c r="P585" s="17" t="str">
        <x:v>https://slaythespire2.net/ancient/vakuu</x:v>
      </x:c>
    </x:row>
    <x:row r="586" ht="25" customHeight="1">
      <x:c r="A586" s="2" t="str">
        <x:v>v0.111</x:v>
      </x:c>
      <x:c r="B586" s="2" t="str">
        <x:v>铁甲战士</x:v>
      </x:c>
      <x:c r="C586" s="2" t="str">
        <x:v>瓦库</x:v>
      </x:c>
      <x:c r="D586" s="2" t="str">
        <x:v>选择悖论</x:v>
      </x:c>
      <x:c r="E586" s="16" t="n">
        <x:f>IF(G586=0,I586,IF(G586=1,H586,G586*H586+(1-G586)*I586))</x:f>
        <x:v>0.6293678899999999</x:v>
      </x:c>
      <x:c r="F586" s="12" t="n">
        <x:v>2636</x:v>
      </x:c>
      <x:c r="G586" s="11" t="n">
        <x:v>0.4321</x:v>
      </x:c>
      <x:c r="H586" s="11" t="n">
        <x:v>0.6242</x:v>
      </x:c>
      <x:c r="I586" s="11" t="n">
        <x:v>0.6333</x:v>
      </x:c>
      <x:c r="J586" s="13" t="n">
        <x:f>IF(OR(G586=0,G586=1),"",(H586-I586)*100)</x:f>
        <x:v>-0.9099999999999997</x:v>
      </x:c>
      <x:c r="K586" s="14" t="n">
        <x:v>29.34</x:v>
      </x:c>
      <x:c r="L586" s="15" t="n">
        <x:f>F586*G586</x:f>
        <x:v>1139.0156</x:v>
      </x:c>
      <x:c r="M586" s="15" t="n">
        <x:f>F586-L586</x:f>
        <x:v>1496.9844</x:v>
      </x:c>
      <x:c r="N586" s="17" t="str"/>
      <x:c r="O586" s="17" t="str">
        <x:v>https://sts2log.com/cards</x:v>
      </x:c>
      <x:c r="P586" s="17" t="str">
        <x:v>https://slaythespire2.net/ancient/vakuu</x:v>
      </x:c>
    </x:row>
    <x:row r="587" ht="25" customHeight="1">
      <x:c r="A587" s="2" t="str">
        <x:v>v0.111</x:v>
      </x:c>
      <x:c r="B587" s="2" t="str">
        <x:v>铁甲战士</x:v>
      </x:c>
      <x:c r="C587" s="2" t="str">
        <x:v>瓦库</x:v>
      </x:c>
      <x:c r="D587" s="2" t="str">
        <x:v>领主阳伞</x:v>
      </x:c>
      <x:c r="E587" s="16" t="n">
        <x:f>IF(G587=0,I587,IF(G587=1,H587,G587*H587+(1-G587)*I587))</x:f>
        <x:v>0.61584912</x:v>
      </x:c>
      <x:c r="F587" s="12" t="n">
        <x:v>2585</x:v>
      </x:c>
      <x:c r="G587" s="11" t="n">
        <x:v>0.1416</x:v>
      </x:c>
      <x:c r="H587" s="11" t="n">
        <x:v>0.5628</x:v>
      </x:c>
      <x:c r="I587" s="11" t="n">
        <x:v>0.6246</x:v>
      </x:c>
      <x:c r="J587" s="13" t="n">
        <x:f>IF(OR(G587=0,G587=1),"",(H587-I587)*100)</x:f>
        <x:v>-6.180000000000008</x:v>
      </x:c>
      <x:c r="K587" s="14" t="n">
        <x:v>23.2</x:v>
      </x:c>
      <x:c r="L587" s="15" t="n">
        <x:f>F587*G587</x:f>
        <x:v>366.036</x:v>
      </x:c>
      <x:c r="M587" s="15" t="n">
        <x:f>F587-L587</x:f>
        <x:v>2218.964</x:v>
      </x:c>
      <x:c r="N587" s="17" t="str"/>
      <x:c r="O587" s="17" t="str">
        <x:v>https://sts2log.com/cards</x:v>
      </x:c>
      <x:c r="P587" s="17" t="str">
        <x:v>https://slaythespire2.net/ancient/vakuu</x:v>
      </x:c>
    </x:row>
    <x:row r="588" ht="42" customHeight="1">
      <x:c r="A588" s="2" t="str">
        <x:v>v0.111</x:v>
      </x:c>
      <x:c r="B588" s="2" t="str">
        <x:v>铁甲战士</x:v>
      </x:c>
      <x:c r="C588" s="2" t="str">
        <x:v>达弗</x:v>
      </x:c>
      <x:c r="D588" s="2" t="str">
        <x:v>符文金字塔</x:v>
      </x:c>
      <x:c r="E588" s="16" t="n">
        <x:f>IF(G588=0,I588,IF(G588=1,H588,G588*H588+(1-G588)*I588))</x:f>
        <x:v>0.63409848</x:v>
      </x:c>
      <x:c r="F588" s="12" t="n">
        <x:v>1954</x:v>
      </x:c>
      <x:c r="G588" s="11" t="n">
        <x:v>0.6796</x:v>
      </x:c>
      <x:c r="H588" s="11" t="n">
        <x:v>0.7026</x:v>
      </x:c>
      <x:c r="I588" s="11" t="n">
        <x:v>0.4888</x:v>
      </x:c>
      <x:c r="J588" s="13" t="n">
        <x:f>IF(OR(G588=0,G588=1),"",(H588-I588)*100)</x:f>
        <x:v>21.38</x:v>
      </x:c>
      <x:c r="K588" s="14" t="n">
        <x:v>37.18</x:v>
      </x:c>
      <x:c r="L588" s="15" t="n">
        <x:f>F588*G588</x:f>
        <x:v>1327.9384</x:v>
      </x:c>
      <x:c r="M588" s="15" t="n">
        <x:f>F588-L588</x:f>
        <x:v>626.0616</x:v>
      </x:c>
      <x:c r="N588" s="17" t="str">
        <x:v>不同幕混合，勿直接解释为纯强度</x:v>
      </x:c>
      <x:c r="O588" s="17" t="str">
        <x:v>https://sts2log.com/cards</x:v>
      </x:c>
      <x:c r="P588" s="17" t="str">
        <x:v>https://slaythespire2.net/ancient/darv</x:v>
      </x:c>
    </x:row>
    <x:row r="589" ht="42" customHeight="1">
      <x:c r="A589" s="2" t="str">
        <x:v>v0.111</x:v>
      </x:c>
      <x:c r="B589" s="2" t="str">
        <x:v>铁甲战士</x:v>
      </x:c>
      <x:c r="C589" s="2" t="str">
        <x:v>达弗</x:v>
      </x:c>
      <x:c r="D589" s="2" t="str">
        <x:v>潘多拉魔盒</x:v>
      </x:c>
      <x:c r="E589" s="16" t="n">
        <x:f>IF(G589=0,I589,IF(G589=1,H589,G589*H589+(1-G589)*I589))</x:f>
        <x:v>0.58757685</x:v>
      </x:c>
      <x:c r="F589" s="12" t="n">
        <x:v>2015</x:v>
      </x:c>
      <x:c r="G589" s="11" t="n">
        <x:v>0.5285</x:v>
      </x:c>
      <x:c r="H589" s="11" t="n">
        <x:v>0.6178</x:v>
      </x:c>
      <x:c r="I589" s="11" t="n">
        <x:v>0.5537</x:v>
      </x:c>
      <x:c r="J589" s="13" t="n">
        <x:f>IF(OR(G589=0,G589=1),"",(H589-I589)*100)</x:f>
        <x:v>6.410000000000005</x:v>
      </x:c>
      <x:c r="K589" s="14" t="n">
        <x:v>28.7</x:v>
      </x:c>
      <x:c r="L589" s="15" t="n">
        <x:f>F589*G589</x:f>
        <x:v>1064.9275</x:v>
      </x:c>
      <x:c r="M589" s="15" t="n">
        <x:f>F589-L589</x:f>
        <x:v>950.0725</x:v>
      </x:c>
      <x:c r="N589" s="17" t="str">
        <x:v>不同幕混合，勿直接解释为纯强度</x:v>
      </x:c>
      <x:c r="O589" s="17" t="str">
        <x:v>https://sts2log.com/cards</x:v>
      </x:c>
      <x:c r="P589" s="17" t="str">
        <x:v>https://slaythespire2.net/ancient/darv</x:v>
      </x:c>
    </x:row>
    <x:row r="590" ht="42" customHeight="1">
      <x:c r="A590" s="2" t="str">
        <x:v>v0.111</x:v>
      </x:c>
      <x:c r="B590" s="2" t="str">
        <x:v>铁甲战士</x:v>
      </x:c>
      <x:c r="C590" s="2" t="str">
        <x:v>达弗</x:v>
      </x:c>
      <x:c r="D590" s="2" t="str">
        <x:v>星盘</x:v>
      </x:c>
      <x:c r="E590" s="16" t="n">
        <x:f>IF(G590=0,I590,IF(G590=1,H590,G590*H590+(1-G590)*I590))</x:f>
        <x:v>0.55822076</x:v>
      </x:c>
      <x:c r="F590" s="12" t="n">
        <x:v>1940</x:v>
      </x:c>
      <x:c r="G590" s="11" t="n">
        <x:v>0.6381</x:v>
      </x:c>
      <x:c r="H590" s="11" t="n">
        <x:v>0.5436</x:v>
      </x:c>
      <x:c r="I590" s="11" t="n">
        <x:v>0.584</x:v>
      </x:c>
      <x:c r="J590" s="13" t="n">
        <x:f>IF(OR(G590=0,G590=1),"",(H590-I590)*100)</x:f>
        <x:v>-4.039999999999999</x:v>
      </x:c>
      <x:c r="K590" s="14" t="n">
        <x:v>21.28</x:v>
      </x:c>
      <x:c r="L590" s="15" t="n">
        <x:f>F590*G590</x:f>
        <x:v>1237.914</x:v>
      </x:c>
      <x:c r="M590" s="15" t="n">
        <x:f>F590-L590</x:f>
        <x:v>702.086</x:v>
      </x:c>
      <x:c r="N590" s="17" t="str">
        <x:v>不同幕混合，勿直接解释为纯强度</x:v>
      </x:c>
      <x:c r="O590" s="17" t="str">
        <x:v>https://sts2log.com/cards</x:v>
      </x:c>
      <x:c r="P590" s="17" t="str">
        <x:v>https://slaythespire2.net/ancient/darv</x:v>
      </x:c>
    </x:row>
    <x:row r="591" ht="42" customHeight="1">
      <x:c r="A591" s="2" t="str">
        <x:v>v0.111</x:v>
      </x:c>
      <x:c r="B591" s="2" t="str">
        <x:v>铁甲战士</x:v>
      </x:c>
      <x:c r="C591" s="2" t="str">
        <x:v>达弗</x:v>
      </x:c>
      <x:c r="D591" s="2" t="str">
        <x:v>异蛇之眼</x:v>
      </x:c>
      <x:c r="E591" s="16" t="n">
        <x:f>IF(G591=0,I591,IF(G591=1,H591,G591*H591+(1-G591)*I591))</x:f>
        <x:v>0.55387319</x:v>
      </x:c>
      <x:c r="F591" s="12" t="n">
        <x:v>1939</x:v>
      </x:c>
      <x:c r="G591" s="11" t="n">
        <x:v>0.09230000000000001</x:v>
      </x:c>
      <x:c r="H591" s="11" t="n">
        <x:v>0.6313</x:v>
      </x:c>
      <x:c r="I591" s="11" t="n">
        <x:v>0.546</x:v>
      </x:c>
      <x:c r="J591" s="13" t="n">
        <x:f>IF(OR(G591=0,G591=1),"",(H591-I591)*100)</x:f>
        <x:v>8.529999999999994</x:v>
      </x:c>
      <x:c r="K591" s="14" t="n">
        <x:v>30.05</x:v>
      </x:c>
      <x:c r="L591" s="15" t="n">
        <x:f>F591*G591</x:f>
        <x:v>178.96970000000002</x:v>
      </x:c>
      <x:c r="M591" s="15" t="n">
        <x:f>F591-L591</x:f>
        <x:v>1760.0303</x:v>
      </x:c>
      <x:c r="N591" s="17" t="str">
        <x:v>不同幕混合，勿直接解释为纯强度</x:v>
      </x:c>
      <x:c r="O591" s="17" t="str">
        <x:v>https://sts2log.com/cards</x:v>
      </x:c>
      <x:c r="P591" s="17" t="str">
        <x:v>https://slaythespire2.net/ancient/darv</x:v>
      </x:c>
    </x:row>
    <x:row r="592" ht="42" customHeight="1">
      <x:c r="A592" s="2" t="str">
        <x:v>v0.111</x:v>
      </x:c>
      <x:c r="B592" s="2" t="str">
        <x:v>铁甲战士</x:v>
      </x:c>
      <x:c r="C592" s="2" t="str">
        <x:v>达弗</x:v>
      </x:c>
      <x:c r="D592" s="2" t="str">
        <x:v>召唤铃铛</x:v>
      </x:c>
      <x:c r="E592" s="16" t="n">
        <x:f>IF(G592=0,I592,IF(G592=1,H592,G592*H592+(1-G592)*I592))</x:f>
        <x:v>0.54947561</x:v>
      </x:c>
      <x:c r="F592" s="12" t="n">
        <x:v>1909</x:v>
      </x:c>
      <x:c r="G592" s="11" t="n">
        <x:v>0.34990000000000004</x:v>
      </x:c>
      <x:c r="H592" s="11" t="n">
        <x:v>0.4805</x:v>
      </x:c>
      <x:c r="I592" s="11" t="n">
        <x:v>0.5866</x:v>
      </x:c>
      <x:c r="J592" s="13" t="n">
        <x:f>IF(OR(G592=0,G592=1),"",(H592-I592)*100)</x:f>
        <x:v>-10.610000000000003</x:v>
      </x:c>
      <x:c r="K592" s="14" t="n">
        <x:v>14.97</x:v>
      </x:c>
      <x:c r="L592" s="15" t="n">
        <x:f>F592*G592</x:f>
        <x:v>667.9591</x:v>
      </x:c>
      <x:c r="M592" s="15" t="n">
        <x:f>F592-L592</x:f>
        <x:v>1241.0409</x:v>
      </x:c>
      <x:c r="N592" s="17" t="str">
        <x:v>不同幕混合，勿直接解释为纯强度</x:v>
      </x:c>
      <x:c r="O592" s="17" t="str">
        <x:v>https://sts2log.com/cards</x:v>
      </x:c>
      <x:c r="P592" s="17" t="str">
        <x:v>https://slaythespire2.net/ancient/darv</x:v>
      </x:c>
    </x:row>
    <x:row r="593" ht="42" customHeight="1">
      <x:c r="A593" s="2" t="str">
        <x:v>v0.111</x:v>
      </x:c>
      <x:c r="B593" s="2" t="str">
        <x:v>铁甲战士</x:v>
      </x:c>
      <x:c r="C593" s="2" t="str">
        <x:v>达弗</x:v>
      </x:c>
      <x:c r="D593" s="2" t="str">
        <x:v>黑星</x:v>
      </x:c>
      <x:c r="E593" s="16" t="n">
        <x:f>IF(G593=0,I593,IF(G593=1,H593,G593*H593+(1-G593)*I593))</x:f>
        <x:v>0.54850734</x:v>
      </x:c>
      <x:c r="F593" s="12" t="n">
        <x:v>1929</x:v>
      </x:c>
      <x:c r="G593" s="11" t="n">
        <x:v>0.3209</x:v>
      </x:c>
      <x:c r="H593" s="11" t="n">
        <x:v>0.5299</x:v>
      </x:c>
      <x:c r="I593" s="11" t="n">
        <x:v>0.5573</x:v>
      </x:c>
      <x:c r="J593" s="13" t="n">
        <x:f>IF(OR(G593=0,G593=1),"",(H593-I593)*100)</x:f>
        <x:v>-2.739999999999998</x:v>
      </x:c>
      <x:c r="K593" s="14" t="n">
        <x:v>19.91</x:v>
      </x:c>
      <x:c r="L593" s="15" t="n">
        <x:f>F593*G593</x:f>
        <x:v>619.0161</x:v>
      </x:c>
      <x:c r="M593" s="15" t="n">
        <x:f>F593-L593</x:f>
        <x:v>1309.9839</x:v>
      </x:c>
      <x:c r="N593" s="17" t="str">
        <x:v>不同幕混合，勿直接解释为纯强度</x:v>
      </x:c>
      <x:c r="O593" s="17" t="str">
        <x:v>https://sts2log.com/cards</x:v>
      </x:c>
      <x:c r="P593" s="17" t="str">
        <x:v>https://slaythespire2.net/ancient/darv</x:v>
      </x:c>
    </x:row>
    <x:row r="594" ht="42" customHeight="1">
      <x:c r="A594" s="2" t="str">
        <x:v>v0.111</x:v>
      </x:c>
      <x:c r="B594" s="2" t="str">
        <x:v>铁甲战士</x:v>
      </x:c>
      <x:c r="C594" s="2" t="str">
        <x:v>达弗</x:v>
      </x:c>
      <x:c r="D594" s="2" t="str">
        <x:v>空鸟笼</x:v>
      </x:c>
      <x:c r="E594" s="16" t="n">
        <x:f>IF(G594=0,I594,IF(G594=1,H594,G594*H594+(1-G594)*I594))</x:f>
        <x:v>0.54777012</x:v>
      </x:c>
      <x:c r="F594" s="12" t="n">
        <x:v>1988</x:v>
      </x:c>
      <x:c r="G594" s="11" t="n">
        <x:v>0.4276</x:v>
      </x:c>
      <x:c r="H594" s="11" t="n">
        <x:v>0.48119999999999996</x:v>
      </x:c>
      <x:c r="I594" s="11" t="n">
        <x:v>0.5975</x:v>
      </x:c>
      <x:c r="J594" s="13" t="n">
        <x:f>IF(OR(G594=0,G594=1),"",(H594-I594)*100)</x:f>
        <x:v>-11.630000000000006</x:v>
      </x:c>
      <x:c r="K594" s="14" t="n">
        <x:v>15.04</x:v>
      </x:c>
      <x:c r="L594" s="15" t="n">
        <x:f>F594*G594</x:f>
        <x:v>850.0688</x:v>
      </x:c>
      <x:c r="M594" s="15" t="n">
        <x:f>F594-L594</x:f>
        <x:v>1137.9312</x:v>
      </x:c>
      <x:c r="N594" s="17" t="str">
        <x:v>不同幕混合，勿直接解释为纯强度</x:v>
      </x:c>
      <x:c r="O594" s="17" t="str">
        <x:v>https://sts2log.com/cards</x:v>
      </x:c>
      <x:c r="P594" s="17" t="str">
        <x:v>https://slaythespire2.net/ancient/darv</x:v>
      </x:c>
    </x:row>
    <x:row r="595" ht="42" customHeight="1">
      <x:c r="A595" s="2" t="str">
        <x:v>v0.111</x:v>
      </x:c>
      <x:c r="B595" s="2" t="str">
        <x:v>铁甲战士</x:v>
      </x:c>
      <x:c r="C595" s="2" t="str">
        <x:v>达弗</x:v>
      </x:c>
      <x:c r="D595" s="2" t="str">
        <x:v>天鹅绒颈圈</x:v>
      </x:c>
      <x:c r="E595" s="16" t="n">
        <x:f>IF(G595=0,I595,IF(G595=1,H595,G595*H595+(1-G595)*I595))</x:f>
        <x:v>0.5463209</x:v>
      </x:c>
      <x:c r="F595" s="12" t="n">
        <x:v>1900</x:v>
      </x:c>
      <x:c r="G595" s="11" t="n">
        <x:v>0.0658</x:v>
      </x:c>
      <x:c r="H595" s="11" t="n">
        <x:v>0.41600000000000004</x:v>
      </x:c>
      <x:c r="I595" s="11" t="n">
        <x:v>0.5555</x:v>
      </x:c>
      <x:c r="J595" s="13" t="n">
        <x:f>IF(OR(G595=0,G595=1),"",(H595-I595)*100)</x:f>
        <x:v>-13.949999999999996</x:v>
      </x:c>
      <x:c r="K595" s="14" t="n">
        <x:v>8.52</x:v>
      </x:c>
      <x:c r="L595" s="15" t="n">
        <x:f>F595*G595</x:f>
        <x:v>125.02</x:v>
      </x:c>
      <x:c r="M595" s="15" t="n">
        <x:f>F595-L595</x:f>
        <x:v>1774.98</x:v>
      </x:c>
      <x:c r="N595" s="17" t="str">
        <x:v>不同幕混合，勿直接解释为纯强度</x:v>
      </x:c>
      <x:c r="O595" s="17" t="str">
        <x:v>https://sts2log.com/cards</x:v>
      </x:c>
      <x:c r="P595" s="17" t="str">
        <x:v>https://op.gg/zh-cn/slay-the-spire2/events/Darv</x:v>
      </x:c>
    </x:row>
    <x:row r="596" ht="42" customHeight="1">
      <x:c r="A596" s="2" t="str">
        <x:v>v0.111</x:v>
      </x:c>
      <x:c r="B596" s="2" t="str">
        <x:v>铁甲战士</x:v>
      </x:c>
      <x:c r="C596" s="2" t="str">
        <x:v>达弗</x:v>
      </x:c>
      <x:c r="D596" s="2" t="str">
        <x:v>尘封魔典</x:v>
      </x:c>
      <x:c r="E596" s="16" t="n">
        <x:f>IF(G596=0,I596,IF(G596=1,H596,G596*H596+(1-G596)*I596))</x:f>
        <x:v>0.5419061000000001</x:v>
      </x:c>
      <x:c r="F596" s="12" t="n">
        <x:v>4006</x:v>
      </x:c>
      <x:c r="G596" s="11" t="n">
        <x:v>0.19949999999999998</x:v>
      </x:c>
      <x:c r="H596" s="11" t="n">
        <x:v>0.4681</x:v>
      </x:c>
      <x:c r="I596" s="11" t="n">
        <x:v>0.5603</x:v>
      </x:c>
      <x:c r="J596" s="13" t="n">
        <x:f>IF(OR(G596=0,G596=1),"",(H596-I596)*100)</x:f>
        <x:v>-9.22</x:v>
      </x:c>
      <x:c r="K596" s="14" t="n">
        <x:v>13.73</x:v>
      </x:c>
      <x:c r="L596" s="15" t="n">
        <x:f>F596*G596</x:f>
        <x:v>799.1969999999999</x:v>
      </x:c>
      <x:c r="M596" s="15" t="n">
        <x:f>F596-L596</x:f>
        <x:v>3206.803</x:v>
      </x:c>
      <x:c r="N596" s="17" t="str">
        <x:v>不同幕混合，勿直接解释为纯强度</x:v>
      </x:c>
      <x:c r="O596" s="17" t="str">
        <x:v>https://sts2log.com/cards</x:v>
      </x:c>
      <x:c r="P596" s="17" t="str">
        <x:v>https://slaythespire2.net/ancient/darv</x:v>
      </x:c>
    </x:row>
    <x:row r="597" ht="42" customHeight="1">
      <x:c r="A597" s="2" t="str">
        <x:v>v0.111</x:v>
      </x:c>
      <x:c r="B597" s="2" t="str">
        <x:v>铁甲战士</x:v>
      </x:c>
      <x:c r="C597" s="2" t="str">
        <x:v>达弗</x:v>
      </x:c>
      <x:c r="D597" s="2" t="str">
        <x:v>贤者之石</x:v>
      </x:c>
      <x:c r="E597" s="16" t="n">
        <x:f>IF(G597=0,I597,IF(G597=1,H597,G597*H597+(1-G597)*I597))</x:f>
        <x:v>0.54029494</x:v>
      </x:c>
      <x:c r="F597" s="12" t="n">
        <x:v>1986</x:v>
      </x:c>
      <x:c r="G597" s="11" t="n">
        <x:v>0.4119</x:v>
      </x:c>
      <x:c r="H597" s="11" t="n">
        <x:v>0.5183</x:v>
      </x:c>
      <x:c r="I597" s="11" t="n">
        <x:v>0.5557</x:v>
      </x:c>
      <x:c r="J597" s="13" t="n">
        <x:f>IF(OR(G597=0,G597=1),"",(H597-I597)*100)</x:f>
        <x:v>-3.739999999999999</x:v>
      </x:c>
      <x:c r="K597" s="14" t="n">
        <x:v>18.75</x:v>
      </x:c>
      <x:c r="L597" s="15" t="n">
        <x:f>F597*G597</x:f>
        <x:v>818.0334</x:v>
      </x:c>
      <x:c r="M597" s="15" t="n">
        <x:f>F597-L597</x:f>
        <x:v>1167.9666</x:v>
      </x:c>
      <x:c r="N597" s="17" t="str">
        <x:v>不同幕混合，勿直接解释为纯强度</x:v>
      </x:c>
      <x:c r="O597" s="17" t="str">
        <x:v>https://sts2log.com/cards</x:v>
      </x:c>
      <x:c r="P597" s="17" t="str">
        <x:v>https://op.gg/zh-cn/slay-the-spire2/events/Darv</x:v>
      </x:c>
    </x:row>
    <x:row r="598" ht="42" customHeight="1">
      <x:c r="A598" s="2" t="str">
        <x:v>v0.111</x:v>
      </x:c>
      <x:c r="B598" s="2" t="str">
        <x:v>铁甲战士</x:v>
      </x:c>
      <x:c r="C598" s="2" t="str">
        <x:v>达弗</x:v>
      </x:c>
      <x:c r="D598" s="2" t="str">
        <x:v>添水</x:v>
      </x:c>
      <x:c r="E598" s="16" t="n">
        <x:f>IF(G598=0,I598,IF(G598=1,H598,G598*H598+(1-G598)*I598))</x:f>
        <x:v>0.50734325</x:v>
      </x:c>
      <x:c r="F598" s="12" t="n">
        <x:v>1356</x:v>
      </x:c>
      <x:c r="G598" s="11" t="n">
        <x:v>0.1777</x:v>
      </x:c>
      <x:c r="H598" s="11" t="n">
        <x:v>0.4025</x:v>
      </x:c>
      <x:c r="I598" s="11" t="n">
        <x:v>0.53</x:v>
      </x:c>
      <x:c r="J598" s="13" t="n">
        <x:f>IF(OR(G598=0,G598=1),"",(H598-I598)*100)</x:f>
        <x:v>-12.75</x:v>
      </x:c>
      <x:c r="K598" s="14" t="n">
        <x:v>7.17</x:v>
      </x:c>
      <x:c r="L598" s="15" t="n">
        <x:f>F598*G598</x:f>
        <x:v>240.9612</x:v>
      </x:c>
      <x:c r="M598" s="15" t="n">
        <x:f>F598-L598</x:f>
        <x:v>1115.0388</x:v>
      </x:c>
      <x:c r="N598" s="17" t="str">
        <x:v>不同幕混合，勿直接解释为纯强度</x:v>
      </x:c>
      <x:c r="O598" s="17" t="str">
        <x:v>https://sts2log.com/cards</x:v>
      </x:c>
      <x:c r="P598" s="17" t="str">
        <x:v>https://op.gg/zh-cn/slay-the-spire2/events/Darv</x:v>
      </x:c>
    </x:row>
    <x:row r="599" ht="42" customHeight="1">
      <x:c r="A599" s="2" t="str">
        <x:v>v0.111</x:v>
      </x:c>
      <x:c r="B599" s="2" t="str">
        <x:v>铁甲战士</x:v>
      </x:c>
      <x:c r="C599" s="2" t="str">
        <x:v>达弗</x:v>
      </x:c>
      <x:c r="D599" s="2" t="str">
        <x:v>灵体外质</x:v>
      </x:c>
      <x:c r="E599" s="16" t="n">
        <x:f>IF(G599=0,I599,IF(G599=1,H599,G599*H599+(1-G599)*I599))</x:f>
        <x:v>0.49693648</x:v>
      </x:c>
      <x:c r="F599" s="12" t="n">
        <x:v>1318</x:v>
      </x:c>
      <x:c r="G599" s="11" t="n">
        <x:v>0.0873</x:v>
      </x:c>
      <x:c r="H599" s="11" t="n">
        <x:v>0.513</x:v>
      </x:c>
      <x:c r="I599" s="11" t="n">
        <x:v>0.4954</x:v>
      </x:c>
      <x:c r="J599" s="13" t="n">
        <x:f>IF(OR(G599=0,G599=1),"",(H599-I599)*100)</x:f>
        <x:v>1.7600000000000005</x:v>
      </x:c>
      <x:c r="K599" s="14" t="n">
        <x:v>18.22</x:v>
      </x:c>
      <x:c r="L599" s="15" t="n">
        <x:f>F599*G599</x:f>
        <x:v>115.0614</x:v>
      </x:c>
      <x:c r="M599" s="15" t="n">
        <x:f>F599-L599</x:f>
        <x:v>1202.9386</x:v>
      </x:c>
      <x:c r="N599" s="17" t="str">
        <x:v>不同幕混合，勿直接解释为纯强度</x:v>
      </x:c>
      <x:c r="O599" s="17" t="str">
        <x:v>https://sts2log.com/cards</x:v>
      </x:c>
      <x:c r="P599" s="17" t="str">
        <x:v>https://op.gg/zh-cn/slay-the-spire2/events/Darv</x:v>
      </x:c>
    </x:row>
    <x:row r="600" ht="25" customHeight="1">
      <x:c r="A600" s="2" t="str">
        <x:v>v0.111</x:v>
      </x:c>
      <x:c r="B600" s="2" t="str">
        <x:v>静默猎手</x:v>
      </x:c>
      <x:c r="C600" s="2" t="str">
        <x:v>涅奥</x:v>
      </x:c>
      <x:c r="D600" s="2" t="str">
        <x:v>小型扭蛋</x:v>
      </x:c>
      <x:c r="E600" s="16" t="n">
        <x:f>IF(G600=0,I600,IF(G600=1,H600,G600*H600+(1-G600)*I600))</x:f>
        <x:v>0.34883224</x:v>
      </x:c>
      <x:c r="F600" s="12" t="n">
        <x:v>4005</x:v>
      </x:c>
      <x:c r="G600" s="11" t="n">
        <x:v>0.3126</x:v>
      </x:c>
      <x:c r="H600" s="11" t="n">
        <x:v>0.3986</x:v>
      </x:c>
      <x:c r="I600" s="11" t="n">
        <x:v>0.3262</x:v>
      </x:c>
      <x:c r="J600" s="13" t="n">
        <x:f>IF(OR(G600=0,G600=1),"",(H600-I600)*100)</x:f>
        <x:v>7.240000000000002</x:v>
      </x:c>
      <x:c r="K600" s="14" t="n">
        <x:v>7.31</x:v>
      </x:c>
      <x:c r="L600" s="15" t="n">
        <x:f>F600*G600</x:f>
        <x:v>1251.963</x:v>
      </x:c>
      <x:c r="M600" s="15" t="n">
        <x:f>F600-L600</x:f>
        <x:v>2753.0370000000003</x:v>
      </x:c>
      <x:c r="N600" s="17" t="str"/>
      <x:c r="O600" s="17" t="str">
        <x:v>https://sts2log.com/cards</x:v>
      </x:c>
      <x:c r="P600" s="17" t="str">
        <x:v>https://slaythespire2.net/ancient/neow</x:v>
      </x:c>
    </x:row>
    <x:row r="601" ht="25" customHeight="1">
      <x:c r="A601" s="2" t="str">
        <x:v>v0.111</x:v>
      </x:c>
      <x:c r="B601" s="2" t="str">
        <x:v>静默猎手</x:v>
      </x:c>
      <x:c r="C601" s="2" t="str">
        <x:v>涅奥</x:v>
      </x:c>
      <x:c r="D601" s="2" t="str">
        <x:v>树叶药膏</x:v>
      </x:c>
      <x:c r="E601" s="16" t="n">
        <x:f>IF(G601=0,I601,IF(G601=1,H601,G601*H601+(1-G601)*I601))</x:f>
        <x:v>0.3461216100000001</x:v>
      </x:c>
      <x:c r="F601" s="12" t="n">
        <x:v>6715</x:v>
      </x:c>
      <x:c r="G601" s="11" t="n">
        <x:v>0.6149</x:v>
      </x:c>
      <x:c r="H601" s="11" t="n">
        <x:v>0.35340000000000005</x:v>
      </x:c>
      <x:c r="I601" s="11" t="n">
        <x:v>0.3345</x:v>
      </x:c>
      <x:c r="J601" s="13" t="n">
        <x:f>IF(OR(G601=0,G601=1),"",(H601-I601)*100)</x:f>
        <x:v>1.8900000000000028</x:v>
      </x:c>
      <x:c r="K601" s="14" t="n">
        <x:v>2.79</x:v>
      </x:c>
      <x:c r="L601" s="15" t="n">
        <x:f>F601*G601</x:f>
        <x:v>4129.0535</x:v>
      </x:c>
      <x:c r="M601" s="15" t="n">
        <x:f>F601-L601</x:f>
        <x:v>2585.9465</x:v>
      </x:c>
      <x:c r="N601" s="17" t="str"/>
      <x:c r="O601" s="17" t="str">
        <x:v>https://sts2log.com/cards</x:v>
      </x:c>
      <x:c r="P601" s="17" t="str">
        <x:v>https://slaythespire2.net/ancient/neow</x:v>
      </x:c>
    </x:row>
    <x:row r="602" ht="25" customHeight="1">
      <x:c r="A602" s="2" t="str">
        <x:v>v0.111</x:v>
      </x:c>
      <x:c r="B602" s="2" t="str">
        <x:v>静默猎手</x:v>
      </x:c>
      <x:c r="C602" s="2" t="str">
        <x:v>涅奥</x:v>
      </x:c>
      <x:c r="D602" s="2" t="str">
        <x:v>华美发束</x:v>
      </x:c>
      <x:c r="E602" s="16" t="n">
        <x:f>IF(G602=0,I602,IF(G602=1,H602,G602*H602+(1-G602)*I602))</x:f>
        <x:v>0.34412919</x:v>
      </x:c>
      <x:c r="F602" s="12" t="n">
        <x:v>7547</x:v>
      </x:c>
      <x:c r="G602" s="11" t="n">
        <x:v>0.7779</x:v>
      </x:c>
      <x:c r="H602" s="11" t="n">
        <x:v>0.33659999999999995</x:v>
      </x:c>
      <x:c r="I602" s="11" t="n">
        <x:v>0.3705</x:v>
      </x:c>
      <x:c r="J602" s="13" t="n">
        <x:f>IF(OR(G602=0,G602=1),"",(H602-I602)*100)</x:f>
        <x:v>-3.390000000000004</x:v>
      </x:c>
      <x:c r="K602" s="14" t="n">
        <x:v>1.11</x:v>
      </x:c>
      <x:c r="L602" s="15" t="n">
        <x:f>F602*G602</x:f>
        <x:v>5870.8113</x:v>
      </x:c>
      <x:c r="M602" s="15" t="n">
        <x:f>F602-L602</x:f>
        <x:v>1676.1886999999997</x:v>
      </x:c>
      <x:c r="N602" s="17" t="str"/>
      <x:c r="O602" s="17" t="str">
        <x:v>https://sts2log.com/cards</x:v>
      </x:c>
      <x:c r="P602" s="17" t="str">
        <x:v>https://slaythespire2.net/ancient/neow</x:v>
      </x:c>
    </x:row>
    <x:row r="603" ht="25" customHeight="1">
      <x:c r="A603" s="2" t="str">
        <x:v>v0.111</x:v>
      </x:c>
      <x:c r="B603" s="2" t="str">
        <x:v>静默猎手</x:v>
      </x:c>
      <x:c r="C603" s="2" t="str">
        <x:v>涅奥</x:v>
      </x:c>
      <x:c r="D603" s="2" t="str">
        <x:v>涅奥的牺牲</x:v>
      </x:c>
      <x:c r="E603" s="16" t="n">
        <x:f>IF(G603=0,I603,IF(G603=1,H603,G603*H603+(1-G603)*I603))</x:f>
        <x:v>0.3395965</x:v>
      </x:c>
      <x:c r="F603" s="12" t="n">
        <x:v>6119</x:v>
      </x:c>
      <x:c r="G603" s="11" t="n">
        <x:v>0.1495</x:v>
      </x:c>
      <x:c r="H603" s="11" t="n">
        <x:v>0.43060000000000004</x:v>
      </x:c>
      <x:c r="I603" s="11" t="n">
        <x:v>0.3236</x:v>
      </x:c>
      <x:c r="J603" s="13" t="n">
        <x:f>IF(OR(G603=0,G603=1),"",(H603-I603)*100)</x:f>
        <x:v>10.700000000000005</x:v>
      </x:c>
      <x:c r="K603" s="14" t="n">
        <x:v>10.51</x:v>
      </x:c>
      <x:c r="L603" s="15" t="n">
        <x:f>F603*G603</x:f>
        <x:v>914.7905</x:v>
      </x:c>
      <x:c r="M603" s="15" t="n">
        <x:f>F603-L603</x:f>
        <x:v>5204.2095</x:v>
      </x:c>
      <x:c r="N603" s="17" t="str"/>
      <x:c r="O603" s="17" t="str">
        <x:v>https://sts2log.com/cards</x:v>
      </x:c>
      <x:c r="P603" s="17" t="str">
        <x:v>https://op.gg/zh-cn/slay-the-spire2/events/Neow</x:v>
      </x:c>
    </x:row>
    <x:row r="604" ht="25" customHeight="1">
      <x:c r="A604" s="2" t="str">
        <x:v>v0.111</x:v>
      </x:c>
      <x:c r="B604" s="2" t="str">
        <x:v>静默猎手</x:v>
      </x:c>
      <x:c r="C604" s="2" t="str">
        <x:v>涅奥</x:v>
      </x:c>
      <x:c r="D604" s="2" t="str">
        <x:v>熔岩石</x:v>
      </x:c>
      <x:c r="E604" s="16" t="n">
        <x:f>IF(G604=0,I604,IF(G604=1,H604,G604*H604+(1-G604)*I604))</x:f>
        <x:v>0.33947624</x:v>
      </x:c>
      <x:c r="F604" s="12" t="n">
        <x:v>4056</x:v>
      </x:c>
      <x:c r="G604" s="11" t="n">
        <x:v>0.1329</x:v>
      </x:c>
      <x:c r="H604" s="11" t="n">
        <x:v>0.41369999999999996</x:v>
      </x:c>
      <x:c r="I604" s="11" t="n">
        <x:v>0.3281</x:v>
      </x:c>
      <x:c r="J604" s="13" t="n">
        <x:f>IF(OR(G604=0,G604=1),"",(H604-I604)*100)</x:f>
        <x:v>8.559999999999995</x:v>
      </x:c>
      <x:c r="K604" s="14" t="n">
        <x:v>8.82</x:v>
      </x:c>
      <x:c r="L604" s="15" t="n">
        <x:f>F604*G604</x:f>
        <x:v>539.0423999999999</x:v>
      </x:c>
      <x:c r="M604" s="15" t="n">
        <x:f>F604-L604</x:f>
        <x:v>3516.9576</x:v>
      </x:c>
      <x:c r="N604" s="17" t="str"/>
      <x:c r="O604" s="17" t="str">
        <x:v>https://sts2log.com/cards</x:v>
      </x:c>
      <x:c r="P604" s="17" t="str">
        <x:v>https://slaythespire2.net/ancient/neow</x:v>
      </x:c>
    </x:row>
    <x:row r="605" ht="25" customHeight="1">
      <x:c r="A605" s="2" t="str">
        <x:v>v0.111</x:v>
      </x:c>
      <x:c r="B605" s="2" t="str">
        <x:v>静默猎手</x:v>
      </x:c>
      <x:c r="C605" s="2" t="str">
        <x:v>涅奥</x:v>
      </x:c>
      <x:c r="D605" s="2" t="str">
        <x:v>新叶</x:v>
      </x:c>
      <x:c r="E605" s="16" t="n">
        <x:f>IF(G605=0,I605,IF(G605=1,H605,G605*H605+(1-G605)*I605))</x:f>
        <x:v>0.33718828999999995</x:v>
      </x:c>
      <x:c r="F605" s="12" t="n">
        <x:v>8019</x:v>
      </x:c>
      <x:c r="G605" s="11" t="n">
        <x:v>0.4189</x:v>
      </x:c>
      <x:c r="H605" s="11" t="n">
        <x:v>0.3233</x:v>
      </x:c>
      <x:c r="I605" s="11" t="n">
        <x:v>0.3472</x:v>
      </x:c>
      <x:c r="J605" s="13" t="n">
        <x:f>IF(OR(G605=0,G605=1),"",(H605-I605)*100)</x:f>
        <x:v>-2.3900000000000032</x:v>
      </x:c>
      <x:c r="K605" s="14" t="n">
        <x:v>-0.22</x:v>
      </x:c>
      <x:c r="L605" s="15" t="n">
        <x:f>F605*G605</x:f>
        <x:v>3359.1591</x:v>
      </x:c>
      <x:c r="M605" s="15" t="n">
        <x:f>F605-L605</x:f>
        <x:v>4659.8409</x:v>
      </x:c>
      <x:c r="N605" s="17" t="str"/>
      <x:c r="O605" s="17" t="str">
        <x:v>https://sts2log.com/cards</x:v>
      </x:c>
      <x:c r="P605" s="17" t="str">
        <x:v>https://slaythespire2.net/ancient/neow</x:v>
      </x:c>
    </x:row>
    <x:row r="606" ht="25" customHeight="1">
      <x:c r="A606" s="2" t="str">
        <x:v>v0.111</x:v>
      </x:c>
      <x:c r="B606" s="2" t="str">
        <x:v>静默猎手</x:v>
      </x:c>
      <x:c r="C606" s="2" t="str">
        <x:v>涅奥</x:v>
      </x:c>
      <x:c r="D606" s="2" t="str">
        <x:v>涅奥的苦痛</x:v>
      </x:c>
      <x:c r="E606" s="16" t="n">
        <x:f>IF(G606=0,I606,IF(G606=1,H606,G606*H606+(1-G606)*I606))</x:f>
        <x:v>0.33267255999999995</x:v>
      </x:c>
      <x:c r="F606" s="12" t="n">
        <x:v>8383</x:v>
      </x:c>
      <x:c r="G606" s="11" t="n">
        <x:v>0.08310000000000001</x:v>
      </x:c>
      <x:c r="H606" s="11" t="n">
        <x:v>0.44049999999999995</x:v>
      </x:c>
      <x:c r="I606" s="11" t="n">
        <x:v>0.32289999999999996</x:v>
      </x:c>
      <x:c r="J606" s="13" t="n">
        <x:f>IF(OR(G606=0,G606=1),"",(H606-I606)*100)</x:f>
        <x:v>11.759999999999998</x:v>
      </x:c>
      <x:c r="K606" s="14" t="n">
        <x:v>11.5</x:v>
      </x:c>
      <x:c r="L606" s="15" t="n">
        <x:f>F606*G606</x:f>
        <x:v>696.6273000000001</x:v>
      </x:c>
      <x:c r="M606" s="15" t="n">
        <x:f>F606-L606</x:f>
        <x:v>7686.3727</x:v>
      </x:c>
      <x:c r="N606" s="17" t="str"/>
      <x:c r="O606" s="17" t="str">
        <x:v>https://sts2log.com/cards</x:v>
      </x:c>
      <x:c r="P606" s="17" t="str">
        <x:v>https://slaythespire2.net/ancient/neow</x:v>
      </x:c>
    </x:row>
    <x:row r="607" ht="25" customHeight="1">
      <x:c r="A607" s="2" t="str">
        <x:v>v0.111</x:v>
      </x:c>
      <x:c r="B607" s="2" t="str">
        <x:v>静默猎手</x:v>
      </x:c>
      <x:c r="C607" s="2" t="str">
        <x:v>涅奥</x:v>
      </x:c>
      <x:c r="D607" s="2" t="str">
        <x:v>羽翼之靴</x:v>
      </x:c>
      <x:c r="E607" s="16" t="n">
        <x:f>IF(G607=0,I607,IF(G607=1,H607,G607*H607+(1-G607)*I607))</x:f>
        <x:v>0.33181777</x:v>
      </x:c>
      <x:c r="F607" s="12" t="n">
        <x:v>8569</x:v>
      </x:c>
      <x:c r="G607" s="11" t="n">
        <x:v>0.2507</x:v>
      </x:c>
      <x:c r="H607" s="11" t="n">
        <x:v>0.3776</x:v>
      </x:c>
      <x:c r="I607" s="11" t="n">
        <x:v>0.3165</x:v>
      </x:c>
      <x:c r="J607" s="13" t="n">
        <x:f>IF(OR(G607=0,G607=1),"",(H607-I607)*100)</x:f>
        <x:v>6.1099999999999985</x:v>
      </x:c>
      <x:c r="K607" s="14" t="n">
        <x:v>5.21</x:v>
      </x:c>
      <x:c r="L607" s="15" t="n">
        <x:f>F607*G607</x:f>
        <x:v>2148.2482999999997</x:v>
      </x:c>
      <x:c r="M607" s="15" t="n">
        <x:f>F607-L607</x:f>
        <x:v>6420.751700000001</x:v>
      </x:c>
      <x:c r="N607" s="17" t="str"/>
      <x:c r="O607" s="17" t="str">
        <x:v>https://sts2log.com/cards</x:v>
      </x:c>
      <x:c r="P607" s="17" t="str">
        <x:v>https://slaythespire2.net/ancient/neow</x:v>
      </x:c>
    </x:row>
    <x:row r="608" ht="25" customHeight="1">
      <x:c r="A608" s="2" t="str">
        <x:v>v0.111</x:v>
      </x:c>
      <x:c r="B608" s="2" t="str">
        <x:v>静默猎手</x:v>
      </x:c>
      <x:c r="C608" s="2" t="str">
        <x:v>涅奥</x:v>
      </x:c>
      <x:c r="D608" s="2" t="str">
        <x:v>巨大扭蛋</x:v>
      </x:c>
      <x:c r="E608" s="16" t="n">
        <x:f>IF(G608=0,I608,IF(G608=1,H608,G608*H608+(1-G608)*I608))</x:f>
        <x:v>0.33049362000000004</x:v>
      </x:c>
      <x:c r="F608" s="12" t="n">
        <x:v>6300</x:v>
      </x:c>
      <x:c r="G608" s="11" t="n">
        <x:v>0.3354</x:v>
      </x:c>
      <x:c r="H608" s="11" t="n">
        <x:v>0.36060000000000003</x:v>
      </x:c>
      <x:c r="I608" s="11" t="n">
        <x:v>0.3153</x:v>
      </x:c>
      <x:c r="J608" s="13" t="n">
        <x:f>IF(OR(G608=0,G608=1),"",(H608-I608)*100)</x:f>
        <x:v>4.530000000000001</x:v>
      </x:c>
      <x:c r="K608" s="14" t="n">
        <x:v>3.51</x:v>
      </x:c>
      <x:c r="L608" s="15" t="n">
        <x:f>F608*G608</x:f>
        <x:v>2113.02</x:v>
      </x:c>
      <x:c r="M608" s="15" t="n">
        <x:f>F608-L608</x:f>
        <x:v>4186.98</x:v>
      </x:c>
      <x:c r="N608" s="17" t="str"/>
      <x:c r="O608" s="17" t="str">
        <x:v>https://sts2log.com/cards</x:v>
      </x:c>
      <x:c r="P608" s="17" t="str">
        <x:v>https://slaythespire2.net/ancient/neow</x:v>
      </x:c>
    </x:row>
    <x:row r="609" ht="25" customHeight="1">
      <x:c r="A609" s="2" t="str">
        <x:v>v0.111</x:v>
      </x:c>
      <x:c r="B609" s="2" t="str">
        <x:v>静默猎手</x:v>
      </x:c>
      <x:c r="C609" s="2" t="str">
        <x:v>涅奥</x:v>
      </x:c>
      <x:c r="D609" s="2" t="str">
        <x:v>寻龙尺</x:v>
      </x:c>
      <x:c r="E609" s="16" t="n">
        <x:f>IF(G609=0,I609,IF(G609=1,H609,G609*H609+(1-G609)*I609))</x:f>
        <x:v>0.32705727999999995</x:v>
      </x:c>
      <x:c r="F609" s="12" t="n">
        <x:v>6858</x:v>
      </x:c>
      <x:c r="G609" s="11" t="n">
        <x:v>0.4694</x:v>
      </x:c>
      <x:c r="H609" s="11" t="n">
        <x:v>0.33299999999999996</x:v>
      </x:c>
      <x:c r="I609" s="11" t="n">
        <x:v>0.3218</x:v>
      </x:c>
      <x:c r="J609" s="13" t="n">
        <x:f>IF(OR(G609=0,G609=1),"",(H609-I609)*100)</x:f>
        <x:v>1.1199999999999988</x:v>
      </x:c>
      <x:c r="K609" s="14" t="n">
        <x:v>0.75</x:v>
      </x:c>
      <x:c r="L609" s="15" t="n">
        <x:f>F609*G609</x:f>
        <x:v>3219.1452</x:v>
      </x:c>
      <x:c r="M609" s="15" t="n">
        <x:f>F609-L609</x:f>
        <x:v>3638.8548</x:v>
      </x:c>
      <x:c r="N609" s="17" t="str"/>
      <x:c r="O609" s="17" t="str">
        <x:v>https://sts2log.com/cards</x:v>
      </x:c>
      <x:c r="P609" s="17" t="str">
        <x:v>https://op.gg/zh-cn/slay-the-spire2/events/Neow</x:v>
      </x:c>
    </x:row>
    <x:row r="610" ht="25" customHeight="1">
      <x:c r="A610" s="2" t="str">
        <x:v>v0.111</x:v>
      </x:c>
      <x:c r="B610" s="2" t="str">
        <x:v>静默猎手</x:v>
      </x:c>
      <x:c r="C610" s="2" t="str">
        <x:v>涅奥</x:v>
      </x:c>
      <x:c r="D610" s="2" t="str">
        <x:v>铅制镇纸</x:v>
      </x:c>
      <x:c r="E610" s="16" t="n">
        <x:f>IF(G610=0,I610,IF(G610=1,H610,G610*H610+(1-G610)*I610))</x:f>
        <x:v>0.32691686000000003</x:v>
      </x:c>
      <x:c r="F610" s="12" t="n">
        <x:v>8754</x:v>
      </x:c>
      <x:c r="G610" s="11" t="n">
        <x:v>0.32530000000000003</x:v>
      </x:c>
      <x:c r="H610" s="11" t="n">
        <x:v>0.3311</x:v>
      </x:c>
      <x:c r="I610" s="11" t="n">
        <x:v>0.3249</x:v>
      </x:c>
      <x:c r="J610" s="13" t="n">
        <x:f>IF(OR(G610=0,G610=1),"",(H610-I610)*100)</x:f>
        <x:v>0.6199999999999983</x:v>
      </x:c>
      <x:c r="K610" s="14" t="n">
        <x:v>0.56</x:v>
      </x:c>
      <x:c r="L610" s="15" t="n">
        <x:f>F610*G610</x:f>
        <x:v>2847.6762000000003</x:v>
      </x:c>
      <x:c r="M610" s="15" t="n">
        <x:f>F610-L610</x:f>
        <x:v>5906.3238</x:v>
      </x:c>
      <x:c r="N610" s="17" t="str"/>
      <x:c r="O610" s="17" t="str">
        <x:v>https://sts2log.com/cards</x:v>
      </x:c>
      <x:c r="P610" s="17" t="str">
        <x:v>https://slaythespire2.net/ancient/neow</x:v>
      </x:c>
    </x:row>
    <x:row r="611" ht="25" customHeight="1">
      <x:c r="A611" s="2" t="str">
        <x:v>v0.111</x:v>
      </x:c>
      <x:c r="B611" s="2" t="str">
        <x:v>静默猎手</x:v>
      </x:c>
      <x:c r="C611" s="2" t="str">
        <x:v>涅奥</x:v>
      </x:c>
      <x:c r="D611" s="2" t="str">
        <x:v>万花筒</x:v>
      </x:c>
      <x:c r="E611" s="16" t="n">
        <x:f>IF(G611=0,I611,IF(G611=1,H611,G611*H611+(1-G611)*I611))</x:f>
        <x:v>0.32664525</x:v>
      </x:c>
      <x:c r="F611" s="12" t="n">
        <x:v>8504</x:v>
      </x:c>
      <x:c r="G611" s="11" t="n">
        <x:v>0.3235</x:v>
      </x:c>
      <x:c r="H611" s="11" t="n">
        <x:v>0.3006</x:v>
      </x:c>
      <x:c r="I611" s="11" t="n">
        <x:v>0.33909999999999996</x:v>
      </x:c>
      <x:c r="J611" s="13" t="n">
        <x:f>IF(OR(G611=0,G611=1),"",(H611-I611)*100)</x:f>
        <x:v>-3.849999999999998</x:v>
      </x:c>
      <x:c r="K611" s="14" t="n">
        <x:v>-2.49</x:v>
      </x:c>
      <x:c r="L611" s="15" t="n">
        <x:f>F611*G611</x:f>
        <x:v>2751.044</x:v>
      </x:c>
      <x:c r="M611" s="15" t="n">
        <x:f>F611-L611</x:f>
        <x:v>5752.956</x:v>
      </x:c>
      <x:c r="N611" s="17" t="str"/>
      <x:c r="O611" s="17" t="str">
        <x:v>https://sts2log.com/cards</x:v>
      </x:c>
      <x:c r="P611" s="17" t="str">
        <x:v>https://slaythespire2.net/ancient/neow</x:v>
      </x:c>
    </x:row>
    <x:row r="612" ht="25" customHeight="1">
      <x:c r="A612" s="2" t="str">
        <x:v>v0.111</x:v>
      </x:c>
      <x:c r="B612" s="2" t="str">
        <x:v>静默猎手</x:v>
      </x:c>
      <x:c r="C612" s="2" t="str">
        <x:v>涅奥</x:v>
      </x:c>
      <x:c r="D612" s="2" t="str">
        <x:v>轰鸣海螺</x:v>
      </x:c>
      <x:c r="E612" s="16" t="n">
        <x:f>IF(G612=0,I612,IF(G612=1,H612,G612*H612+(1-G612)*I612))</x:f>
        <x:v>0.3266078</x:v>
      </x:c>
      <x:c r="F612" s="12" t="n">
        <x:v>8621</x:v>
      </x:c>
      <x:c r="G612" s="11" t="n">
        <x:v>0.1565</x:v>
      </x:c>
      <x:c r="H612" s="11" t="n">
        <x:v>0.3951</x:v>
      </x:c>
      <x:c r="I612" s="11" t="n">
        <x:v>0.3139</x:v>
      </x:c>
      <x:c r="J612" s="13" t="n">
        <x:f>IF(OR(G612=0,G612=1),"",(H612-I612)*100)</x:f>
        <x:v>8.12</x:v>
      </x:c>
      <x:c r="K612" s="14" t="n">
        <x:v>6.96</x:v>
      </x:c>
      <x:c r="L612" s="15" t="n">
        <x:f>F612*G612</x:f>
        <x:v>1349.1865</x:v>
      </x:c>
      <x:c r="M612" s="15" t="n">
        <x:f>F612-L612</x:f>
        <x:v>7271.8135</x:v>
      </x:c>
      <x:c r="N612" s="17" t="str"/>
      <x:c r="O612" s="17" t="str">
        <x:v>https://sts2log.com/cards</x:v>
      </x:c>
      <x:c r="P612" s="17" t="str">
        <x:v>https://slaythespire2.net/ancient/neow</x:v>
      </x:c>
    </x:row>
    <x:row r="613" ht="25" customHeight="1">
      <x:c r="A613" s="2" t="str">
        <x:v>v0.111</x:v>
      </x:c>
      <x:c r="B613" s="2" t="str">
        <x:v>静默猎手</x:v>
      </x:c>
      <x:c r="C613" s="2" t="str">
        <x:v>涅奥</x:v>
      </x:c>
      <x:c r="D613" s="2" t="str">
        <x:v>钓鱼竿</x:v>
      </x:c>
      <x:c r="E613" s="16" t="n">
        <x:f>IF(G613=0,I613,IF(G613=1,H613,G613*H613+(1-G613)*I613))</x:f>
        <x:v>0.32458864</x:v>
      </x:c>
      <x:c r="F613" s="12" t="n">
        <x:v>8673</x:v>
      </x:c>
      <x:c r="G613" s="11" t="n">
        <x:v>0.1478</x:v>
      </x:c>
      <x:c r="H613" s="11" t="n">
        <x:v>0.298</x:v>
      </x:c>
      <x:c r="I613" s="11" t="n">
        <x:v>0.3292</x:v>
      </x:c>
      <x:c r="J613" s="13" t="n">
        <x:f>IF(OR(G613=0,G613=1),"",(H613-I613)*100)</x:f>
        <x:v>-3.1200000000000006</x:v>
      </x:c>
      <x:c r="K613" s="14" t="n">
        <x:v>-2.75</x:v>
      </x:c>
      <x:c r="L613" s="15" t="n">
        <x:f>F613*G613</x:f>
        <x:v>1281.8693999999998</x:v>
      </x:c>
      <x:c r="M613" s="15" t="n">
        <x:f>F613-L613</x:f>
        <x:v>7391.1306</x:v>
      </x:c>
      <x:c r="N613" s="17" t="str"/>
      <x:c r="O613" s="17" t="str">
        <x:v>https://sts2log.com/cards</x:v>
      </x:c>
      <x:c r="P613" s="17" t="str">
        <x:v>https://slaythespire2.net/ancient/neow</x:v>
      </x:c>
    </x:row>
    <x:row r="614" ht="25" customHeight="1">
      <x:c r="A614" s="2" t="str">
        <x:v>v0.111</x:v>
      </x:c>
      <x:c r="B614" s="2" t="str">
        <x:v>静默猎手</x:v>
      </x:c>
      <x:c r="C614" s="2" t="str">
        <x:v>涅奥</x:v>
      </x:c>
      <x:c r="D614" s="2" t="str">
        <x:v>白银熔炉</x:v>
      </x:c>
      <x:c r="E614" s="16" t="n">
        <x:f>IF(G614=0,I614,IF(G614=1,H614,G614*H614+(1-G614)*I614))</x:f>
        <x:v>0.32326632</x:v>
      </x:c>
      <x:c r="F614" s="12" t="n">
        <x:v>7303</x:v>
      </x:c>
      <x:c r="G614" s="11" t="n">
        <x:v>0.7422</x:v>
      </x:c>
      <x:c r="H614" s="11" t="n">
        <x:v>0.33759999999999996</x:v>
      </x:c>
      <x:c r="I614" s="11" t="n">
        <x:v>0.282</x:v>
      </x:c>
      <x:c r="J614" s="13" t="n">
        <x:f>IF(OR(G614=0,G614=1),"",(H614-I614)*100)</x:f>
        <x:v>5.559999999999999</x:v>
      </x:c>
      <x:c r="K614" s="14" t="n">
        <x:v>1.21</x:v>
      </x:c>
      <x:c r="L614" s="15" t="n">
        <x:f>F614*G614</x:f>
        <x:v>5420.286599999999</x:v>
      </x:c>
      <x:c r="M614" s="15" t="n">
        <x:f>F614-L614</x:f>
        <x:v>1882.7134000000005</x:v>
      </x:c>
      <x:c r="N614" s="17" t="str"/>
      <x:c r="O614" s="17" t="str">
        <x:v>https://sts2log.com/cards</x:v>
      </x:c>
      <x:c r="P614" s="17" t="str">
        <x:v>https://slaythespire2.net/ancient/neow</x:v>
      </x:c>
    </x:row>
    <x:row r="615" ht="25" customHeight="1">
      <x:c r="A615" s="2" t="str">
        <x:v>v0.111</x:v>
      </x:c>
      <x:c r="B615" s="2" t="str">
        <x:v>静默猎手</x:v>
      </x:c>
      <x:c r="C615" s="2" t="str">
        <x:v>涅奥</x:v>
      </x:c>
      <x:c r="D615" s="2" t="str">
        <x:v>金色珍珠</x:v>
      </x:c>
      <x:c r="E615" s="16" t="n">
        <x:f>IF(G615=0,I615,IF(G615=1,H615,G615*H615+(1-G615)*I615))</x:f>
        <x:v>0.32317719999999994</x:v>
      </x:c>
      <x:c r="F615" s="12" t="n">
        <x:v>8401</x:v>
      </x:c>
      <x:c r="G615" s="11" t="n">
        <x:v>0.42200000000000004</x:v>
      </x:c>
      <x:c r="H615" s="11" t="n">
        <x:v>0.3478</x:v>
      </x:c>
      <x:c r="I615" s="11" t="n">
        <x:v>0.30519999999999997</x:v>
      </x:c>
      <x:c r="J615" s="13" t="n">
        <x:f>IF(OR(G615=0,G615=1),"",(H615-I615)*100)</x:f>
        <x:v>4.2600000000000025</x:v>
      </x:c>
      <x:c r="K615" s="14" t="n">
        <x:v>2.23</x:v>
      </x:c>
      <x:c r="L615" s="15" t="n">
        <x:f>F615*G615</x:f>
        <x:v>3545.222</x:v>
      </x:c>
      <x:c r="M615" s="15" t="n">
        <x:f>F615-L615</x:f>
        <x:v>4855.778</x:v>
      </x:c>
      <x:c r="N615" s="17" t="str"/>
      <x:c r="O615" s="17" t="str">
        <x:v>https://sts2log.com/cards</x:v>
      </x:c>
      <x:c r="P615" s="17" t="str">
        <x:v>https://slaythespire2.net/ancient/neow</x:v>
      </x:c>
    </x:row>
    <x:row r="616" ht="25" customHeight="1">
      <x:c r="A616" s="2" t="str">
        <x:v>v0.111</x:v>
      </x:c>
      <x:c r="B616" s="2" t="str">
        <x:v>静默猎手</x:v>
      </x:c>
      <x:c r="C616" s="2" t="str">
        <x:v>涅奥</x:v>
      </x:c>
      <x:c r="D616" s="2" t="str">
        <x:v>橙型香盒</x:v>
      </x:c>
      <x:c r="E616" s="16" t="n">
        <x:f>IF(G616=0,I616,IF(G616=1,H616,G616*H616+(1-G616)*I616))</x:f>
        <x:v>0.32255777999999996</x:v>
      </x:c>
      <x:c r="F616" s="12" t="n">
        <x:v>4390</x:v>
      </x:c>
      <x:c r="G616" s="11" t="n">
        <x:v>0.22510000000000002</x:v>
      </x:c>
      <x:c r="H616" s="11" t="n">
        <x:v>0.34409999999999996</x:v>
      </x:c>
      <x:c r="I616" s="11" t="n">
        <x:v>0.31629999999999997</x:v>
      </x:c>
      <x:c r="J616" s="13" t="n">
        <x:f>IF(OR(G616=0,G616=1),"",(H616-I616)*100)</x:f>
        <x:v>2.7799999999999994</x:v>
      </x:c>
      <x:c r="K616" s="14" t="n">
        <x:v>1.86</x:v>
      </x:c>
      <x:c r="L616" s="15" t="n">
        <x:f>F616*G616</x:f>
        <x:v>988.1890000000001</x:v>
      </x:c>
      <x:c r="M616" s="15" t="n">
        <x:f>F616-L616</x:f>
        <x:v>3401.8109999999997</x:v>
      </x:c>
      <x:c r="N616" s="17" t="str"/>
      <x:c r="O616" s="17" t="str">
        <x:v>https://sts2log.com/cards</x:v>
      </x:c>
      <x:c r="P616" s="17" t="str">
        <x:v>https://slaythespire2.net/ancient/neow</x:v>
      </x:c>
    </x:row>
    <x:row r="617" ht="25" customHeight="1">
      <x:c r="A617" s="2" t="str">
        <x:v>v0.111</x:v>
      </x:c>
      <x:c r="B617" s="2" t="str">
        <x:v>静默猎手</x:v>
      </x:c>
      <x:c r="C617" s="2" t="str">
        <x:v>涅奥</x:v>
      </x:c>
      <x:c r="D617" s="2" t="str">
        <x:v>营养牡蛎</x:v>
      </x:c>
      <x:c r="E617" s="16" t="n">
        <x:f>IF(G617=0,I617,IF(G617=1,H617,G617*H617+(1-G617)*I617))</x:f>
        <x:v>0.32253225</x:v>
      </x:c>
      <x:c r="F617" s="12" t="n">
        <x:v>4459</x:v>
      </x:c>
      <x:c r="G617" s="11" t="n">
        <x:v>0.0675</x:v>
      </x:c>
      <x:c r="H617" s="11" t="n">
        <x:v>0.2691</x:v>
      </x:c>
      <x:c r="I617" s="11" t="n">
        <x:v>0.3264</x:v>
      </x:c>
      <x:c r="J617" s="13" t="n">
        <x:f>IF(OR(G617=0,G617=1),"",(H617-I617)*100)</x:f>
        <x:v>-5.730000000000002</x:v>
      </x:c>
      <x:c r="K617" s="14" t="n">
        <x:v>-5.64</x:v>
      </x:c>
      <x:c r="L617" s="15" t="n">
        <x:f>F617*G617</x:f>
        <x:v>300.9825</x:v>
      </x:c>
      <x:c r="M617" s="15" t="n">
        <x:f>F617-L617</x:f>
        <x:v>4158.0175</x:v>
      </x:c>
      <x:c r="N617" s="17" t="str"/>
      <x:c r="O617" s="17" t="str">
        <x:v>https://sts2log.com/cards</x:v>
      </x:c>
      <x:c r="P617" s="17" t="str">
        <x:v>https://slaythespire2.net/ancient/neow</x:v>
      </x:c>
    </x:row>
    <x:row r="618" ht="25" customHeight="1">
      <x:c r="A618" s="2" t="str">
        <x:v>v0.111</x:v>
      </x:c>
      <x:c r="B618" s="2" t="str">
        <x:v>静默猎手</x:v>
      </x:c>
      <x:c r="C618" s="2" t="str">
        <x:v>涅奥</x:v>
      </x:c>
      <x:c r="D618" s="2" t="str">
        <x:v>奥术卷轴</x:v>
      </x:c>
      <x:c r="E618" s="16" t="n">
        <x:f>IF(G618=0,I618,IF(G618=1,H618,G618*H618+(1-G618)*I618))</x:f>
        <x:v>0.322476</x:v>
      </x:c>
      <x:c r="F618" s="12" t="n">
        <x:v>7985</x:v>
      </x:c>
      <x:c r="G618" s="11" t="n">
        <x:v>0.4852</x:v>
      </x:c>
      <x:c r="H618" s="11" t="n">
        <x:v>0.2607</x:v>
      </x:c>
      <x:c r="I618" s="11" t="n">
        <x:v>0.3807</x:v>
      </x:c>
      <x:c r="J618" s="13" t="n">
        <x:f>IF(OR(G618=0,G618=1),"",(H618-I618)*100)</x:f>
        <x:v>-12</x:v>
      </x:c>
      <x:c r="K618" s="14" t="n">
        <x:v>-6.48</x:v>
      </x:c>
      <x:c r="L618" s="15" t="n">
        <x:f>F618*G618</x:f>
        <x:v>3874.322</x:v>
      </x:c>
      <x:c r="M618" s="15" t="n">
        <x:f>F618-L618</x:f>
        <x:v>4110.678</x:v>
      </x:c>
      <x:c r="N618" s="17" t="str"/>
      <x:c r="O618" s="17" t="str">
        <x:v>https://sts2log.com/cards</x:v>
      </x:c>
      <x:c r="P618" s="17" t="str">
        <x:v>https://slaythespire2.net/ancient/neow</x:v>
      </x:c>
    </x:row>
    <x:row r="619" ht="25" customHeight="1">
      <x:c r="A619" s="2" t="str">
        <x:v>v0.111</x:v>
      </x:c>
      <x:c r="B619" s="2" t="str">
        <x:v>静默猎手</x:v>
      </x:c>
      <x:c r="C619" s="2" t="str">
        <x:v>涅奥</x:v>
      </x:c>
      <x:c r="D619" s="2" t="str">
        <x:v>诅咒珍珠</x:v>
      </x:c>
      <x:c r="E619" s="16" t="n">
        <x:f>IF(G619=0,I619,IF(G619=1,H619,G619*H619+(1-G619)*I619))</x:f>
        <x:v>0.32186269</x:v>
      </x:c>
      <x:c r="F619" s="12" t="n">
        <x:v>6794</x:v>
      </x:c>
      <x:c r="G619" s="11" t="n">
        <x:v>0.4689</x:v>
      </x:c>
      <x:c r="H619" s="11" t="n">
        <x:v>0.3336</x:v>
      </x:c>
      <x:c r="I619" s="11" t="n">
        <x:v>0.3115</x:v>
      </x:c>
      <x:c r="J619" s="13" t="n">
        <x:f>IF(OR(G619=0,G619=1),"",(H619-I619)*100)</x:f>
        <x:v>2.210000000000001</x:v>
      </x:c>
      <x:c r="K619" s="14" t="n">
        <x:v>0.81</x:v>
      </x:c>
      <x:c r="L619" s="15" t="n">
        <x:f>F619*G619</x:f>
        <x:v>3185.7066</x:v>
      </x:c>
      <x:c r="M619" s="15" t="n">
        <x:f>F619-L619</x:f>
        <x:v>3608.2934</x:v>
      </x:c>
      <x:c r="N619" s="17" t="str"/>
      <x:c r="O619" s="17" t="str">
        <x:v>https://sts2log.com/cards</x:v>
      </x:c>
      <x:c r="P619" s="17" t="str">
        <x:v>https://slaythespire2.net/ancient/neow</x:v>
      </x:c>
    </x:row>
    <x:row r="620" ht="25" customHeight="1">
      <x:c r="A620" s="2" t="str">
        <x:v>v0.111</x:v>
      </x:c>
      <x:c r="B620" s="2" t="str">
        <x:v>静默猎手</x:v>
      </x:c>
      <x:c r="C620" s="2" t="str">
        <x:v>涅奥</x:v>
      </x:c>
      <x:c r="D620" s="2" t="str">
        <x:v>精准剪刀</x:v>
      </x:c>
      <x:c r="E620" s="16" t="n">
        <x:f>IF(G620=0,I620,IF(G620=1,H620,G620*H620+(1-G620)*I620))</x:f>
        <x:v>0.32170696</x:v>
      </x:c>
      <x:c r="F620" s="12" t="n">
        <x:v>7830</x:v>
      </x:c>
      <x:c r="G620" s="11" t="n">
        <x:v>0.1433</x:v>
      </x:c>
      <x:c r="H620" s="11" t="n">
        <x:v>0.2799</x:v>
      </x:c>
      <x:c r="I620" s="11" t="n">
        <x:v>0.3287</x:v>
      </x:c>
      <x:c r="J620" s="13" t="n">
        <x:f>IF(OR(G620=0,G620=1),"",(H620-I620)*100)</x:f>
        <x:v>-4.880000000000001</x:v>
      </x:c>
      <x:c r="K620" s="14" t="n">
        <x:v>-4.56</x:v>
      </x:c>
      <x:c r="L620" s="15" t="n">
        <x:f>F620*G620</x:f>
        <x:v>1122.039</x:v>
      </x:c>
      <x:c r="M620" s="15" t="n">
        <x:f>F620-L620</x:f>
        <x:v>6707.961</x:v>
      </x:c>
      <x:c r="N620" s="17" t="str"/>
      <x:c r="O620" s="17" t="str">
        <x:v>https://sts2log.com/cards</x:v>
      </x:c>
      <x:c r="P620" s="17" t="str">
        <x:v>https://slaythespire2.net/ancient/neow</x:v>
      </x:c>
    </x:row>
    <x:row r="621" ht="25" customHeight="1">
      <x:c r="A621" s="2" t="str">
        <x:v>v0.111</x:v>
      </x:c>
      <x:c r="B621" s="2" t="str">
        <x:v>静默猎手</x:v>
      </x:c>
      <x:c r="C621" s="2" t="str">
        <x:v>涅奥</x:v>
      </x:c>
      <x:c r="D621" s="2" t="str">
        <x:v>失物盒</x:v>
      </x:c>
      <x:c r="E621" s="16" t="n">
        <x:f>IF(G621=0,I621,IF(G621=1,H621,G621*H621+(1-G621)*I621))</x:f>
        <x:v>0.32130749999999997</x:v>
      </x:c>
      <x:c r="F621" s="12" t="n">
        <x:v>7971</x:v>
      </x:c>
      <x:c r="G621" s="11" t="n">
        <x:v>0.2234</x:v>
      </x:c>
      <x:c r="H621" s="11" t="n">
        <x:v>0.3116</x:v>
      </x:c>
      <x:c r="I621" s="11" t="n">
        <x:v>0.32409999999999994</x:v>
      </x:c>
      <x:c r="J621" s="13" t="n">
        <x:f>IF(OR(G621=0,G621=1),"",(H621-I621)*100)</x:f>
        <x:v>-1.2499999999999956</x:v>
      </x:c>
      <x:c r="K621" s="14" t="n">
        <x:v>-1.39</x:v>
      </x:c>
      <x:c r="L621" s="15" t="n">
        <x:f>F621*G621</x:f>
        <x:v>1780.7214</x:v>
      </x:c>
      <x:c r="M621" s="15" t="n">
        <x:f>F621-L621</x:f>
        <x:v>6190.2786</x:v>
      </x:c>
      <x:c r="N621" s="17" t="str"/>
      <x:c r="O621" s="17" t="str">
        <x:v>https://sts2log.com/cards</x:v>
      </x:c>
      <x:c r="P621" s="17" t="str">
        <x:v>https://slaythespire2.net/ancient/neow</x:v>
      </x:c>
    </x:row>
    <x:row r="622" ht="25" customHeight="1">
      <x:c r="A622" s="2" t="str">
        <x:v>v0.111</x:v>
      </x:c>
      <x:c r="B622" s="2" t="str">
        <x:v>静默猎手</x:v>
      </x:c>
      <x:c r="C622" s="2" t="str">
        <x:v>涅奥</x:v>
      </x:c>
      <x:c r="D622" s="2" t="str">
        <x:v>卷轴箱</x:v>
      </x:c>
      <x:c r="E622" s="16" t="n">
        <x:f>IF(G622=0,I622,IF(G622=1,H622,G622*H622+(1-G622)*I622))</x:f>
        <x:v>0.31983988</x:v>
      </x:c>
      <x:c r="F622" s="12" t="n">
        <x:v>8958</x:v>
      </x:c>
      <x:c r="G622" s="11" t="n">
        <x:v>0.3332</x:v>
      </x:c>
      <x:c r="H622" s="11" t="n">
        <x:v>0.2871</x:v>
      </x:c>
      <x:c r="I622" s="11" t="n">
        <x:v>0.3362</x:v>
      </x:c>
      <x:c r="J622" s="13" t="n">
        <x:f>IF(OR(G622=0,G622=1),"",(H622-I622)*100)</x:f>
        <x:v>-4.9099999999999975</x:v>
      </x:c>
      <x:c r="K622" s="14" t="n">
        <x:v>-3.84</x:v>
      </x:c>
      <x:c r="L622" s="15" t="n">
        <x:f>F622*G622</x:f>
        <x:v>2984.8056</x:v>
      </x:c>
      <x:c r="M622" s="15" t="n">
        <x:f>F622-L622</x:f>
        <x:v>5973.1944</x:v>
      </x:c>
      <x:c r="N622" s="17" t="str"/>
      <x:c r="O622" s="17" t="str">
        <x:v>https://sts2log.com/cards</x:v>
      </x:c>
      <x:c r="P622" s="17" t="str">
        <x:v>https://slaythespire2.net/ancient/neow</x:v>
      </x:c>
    </x:row>
    <x:row r="623" ht="25" customHeight="1">
      <x:c r="A623" s="2" t="str">
        <x:v>v0.111</x:v>
      </x:c>
      <x:c r="B623" s="2" t="str">
        <x:v>静默猎手</x:v>
      </x:c>
      <x:c r="C623" s="2" t="str">
        <x:v>涅奥</x:v>
      </x:c>
      <x:c r="D623" s="2" t="str">
        <x:v>石炉加湿器</x:v>
      </x:c>
      <x:c r="E623" s="16" t="n">
        <x:f>IF(G623=0,I623,IF(G623=1,H623,G623*H623+(1-G623)*I623))</x:f>
        <x:v>0.31939802</x:v>
      </x:c>
      <x:c r="F623" s="12" t="n">
        <x:v>4274</x:v>
      </x:c>
      <x:c r="G623" s="11" t="n">
        <x:v>0.0639</x:v>
      </x:c>
      <x:c r="H623" s="11" t="n">
        <x:v>0.293</x:v>
      </x:c>
      <x:c r="I623" s="11" t="n">
        <x:v>0.3212</x:v>
      </x:c>
      <x:c r="J623" s="13" t="n">
        <x:f>IF(OR(G623=0,G623=1),"",(H623-I623)*100)</x:f>
        <x:v>-2.8200000000000003</x:v>
      </x:c>
      <x:c r="K623" s="14" t="n">
        <x:v>-3.25</x:v>
      </x:c>
      <x:c r="L623" s="15" t="n">
        <x:f>F623*G623</x:f>
        <x:v>273.10859999999997</x:v>
      </x:c>
      <x:c r="M623" s="15" t="n">
        <x:f>F623-L623</x:f>
        <x:v>4000.8914</x:v>
      </x:c>
      <x:c r="N623" s="17" t="str"/>
      <x:c r="O623" s="17" t="str">
        <x:v>https://sts2log.com/cards</x:v>
      </x:c>
      <x:c r="P623" s="17" t="str">
        <x:v>https://slaythespire2.net/ancient/neow</x:v>
      </x:c>
    </x:row>
    <x:row r="624" ht="25" customHeight="1">
      <x:c r="A624" s="2" t="str">
        <x:v>v0.111</x:v>
      </x:c>
      <x:c r="B624" s="2" t="str">
        <x:v>静默猎手</x:v>
      </x:c>
      <x:c r="C624" s="2" t="str">
        <x:v>涅奥</x:v>
      </x:c>
      <x:c r="D624" s="2" t="str">
        <x:v>药瓶皮套</x:v>
      </x:c>
      <x:c r="E624" s="16" t="n">
        <x:f>IF(G624=0,I624,IF(G624=1,H624,G624*H624+(1-G624)*I624))</x:f>
        <x:v>0.31885834</x:v>
      </x:c>
      <x:c r="F624" s="12" t="n">
        <x:v>7940</x:v>
      </x:c>
      <x:c r="G624" s="11" t="n">
        <x:v>0.2161</x:v>
      </x:c>
      <x:c r="H624" s="11" t="n">
        <x:v>0.3811</x:v>
      </x:c>
      <x:c r="I624" s="11" t="n">
        <x:v>0.3017</x:v>
      </x:c>
      <x:c r="J624" s="13" t="n">
        <x:f>IF(OR(G624=0,G624=1),"",(H624-I624)*100)</x:f>
        <x:v>7.939999999999997</x:v>
      </x:c>
      <x:c r="K624" s="14" t="n">
        <x:v>5.56</x:v>
      </x:c>
      <x:c r="L624" s="15" t="n">
        <x:f>F624*G624</x:f>
        <x:v>1715.8339999999998</x:v>
      </x:c>
      <x:c r="M624" s="15" t="n">
        <x:f>F624-L624</x:f>
        <x:v>6224.166</x:v>
      </x:c>
      <x:c r="N624" s="17" t="str"/>
      <x:c r="O624" s="17" t="str">
        <x:v>https://sts2log.com/cards</x:v>
      </x:c>
      <x:c r="P624" s="17" t="str">
        <x:v>https://slaythespire2.net/ancient/neow</x:v>
      </x:c>
    </x:row>
    <x:row r="625" ht="25" customHeight="1">
      <x:c r="A625" s="2" t="str">
        <x:v>v0.111</x:v>
      </x:c>
      <x:c r="B625" s="2" t="str">
        <x:v>静默猎手</x:v>
      </x:c>
      <x:c r="C625" s="2" t="str">
        <x:v>涅奥</x:v>
      </x:c>
      <x:c r="D625" s="2" t="str">
        <x:v>涅奥的护符</x:v>
      </x:c>
      <x:c r="E625" s="16" t="n">
        <x:f>IF(G625=0,I625,IF(G625=1,H625,G625*H625+(1-G625)*I625))</x:f>
        <x:v>0.31743473</x:v>
      </x:c>
      <x:c r="F625" s="12" t="n">
        <x:v>4328</x:v>
      </x:c>
      <x:c r="G625" s="11" t="n">
        <x:v>0.0823</x:v>
      </x:c>
      <x:c r="H625" s="11" t="n">
        <x:v>0.368</x:v>
      </x:c>
      <x:c r="I625" s="11" t="n">
        <x:v>0.3129</x:v>
      </x:c>
      <x:c r="J625" s="13" t="n">
        <x:f>IF(OR(G625=0,G625=1),"",(H625-I625)*100)</x:f>
        <x:v>5.509999999999998</x:v>
      </x:c>
      <x:c r="K625" s="14" t="n">
        <x:v>4.25</x:v>
      </x:c>
      <x:c r="L625" s="15" t="n">
        <x:f>F625*G625</x:f>
        <x:v>356.1944</x:v>
      </x:c>
      <x:c r="M625" s="15" t="n">
        <x:f>F625-L625</x:f>
        <x:v>3971.8056</x:v>
      </x:c>
      <x:c r="N625" s="17" t="str"/>
      <x:c r="O625" s="17" t="str">
        <x:v>https://sts2log.com/cards</x:v>
      </x:c>
      <x:c r="P625" s="17" t="str">
        <x:v>https://slaythespire2.net/ancient/neow</x:v>
      </x:c>
    </x:row>
    <x:row r="626" ht="25" customHeight="1">
      <x:c r="A626" s="2" t="str">
        <x:v>v0.111</x:v>
      </x:c>
      <x:c r="B626" s="2" t="str">
        <x:v>静默猎手</x:v>
      </x:c>
      <x:c r="C626" s="2" t="str">
        <x:v>涅奥</x:v>
      </x:c>
      <x:c r="D626" s="2" t="str">
        <x:v>松动羊毛剪</x:v>
      </x:c>
      <x:c r="E626" s="16" t="n">
        <x:f>IF(G626=0,I626,IF(G626=1,H626,G626*H626+(1-G626)*I626))</x:f>
        <x:v>0.31506976</x:v>
      </x:c>
      <x:c r="F626" s="12" t="n">
        <x:v>6458</x:v>
      </x:c>
      <x:c r="G626" s="11" t="n">
        <x:v>0.3383</x:v>
      </x:c>
      <x:c r="H626" s="11" t="n">
        <x:v>0.3066</x:v>
      </x:c>
      <x:c r="I626" s="11" t="n">
        <x:v>0.3194</x:v>
      </x:c>
      <x:c r="J626" s="13" t="n">
        <x:f>IF(OR(G626=0,G626=1),"",(H626-I626)*100)</x:f>
        <x:v>-1.2800000000000034</x:v>
      </x:c>
      <x:c r="K626" s="14" t="n">
        <x:v>-1.89</x:v>
      </x:c>
      <x:c r="L626" s="15" t="n">
        <x:f>F626*G626</x:f>
        <x:v>2184.7414</x:v>
      </x:c>
      <x:c r="M626" s="15" t="n">
        <x:f>F626-L626</x:f>
        <x:v>4273.2586</x:v>
      </x:c>
      <x:c r="N626" s="17" t="str"/>
      <x:c r="O626" s="17" t="str">
        <x:v>https://sts2log.com/cards</x:v>
      </x:c>
      <x:c r="P626" s="17" t="str">
        <x:v>https://slaythespire2.net/ancient/neow</x:v>
      </x:c>
    </x:row>
    <x:row r="627" ht="25" customHeight="1">
      <x:c r="A627" s="2" t="str">
        <x:v>v0.111</x:v>
      </x:c>
      <x:c r="B627" s="2" t="str">
        <x:v>静默猎手</x:v>
      </x:c>
      <x:c r="C627" s="2" t="str">
        <x:v>涅奥</x:v>
      </x:c>
      <x:c r="D627" s="2" t="str">
        <x:v>涅奥骨骰</x:v>
      </x:c>
      <x:c r="E627" s="16" t="n">
        <x:f>IF(G627=0,I627,IF(G627=1,H627,G627*H627+(1-G627)*I627))</x:f>
        <x:v>0.31479599</x:v>
      </x:c>
      <x:c r="F627" s="12" t="n">
        <x:v>6522</x:v>
      </x:c>
      <x:c r="G627" s="11" t="n">
        <x:v>0.4943</x:v>
      </x:c>
      <x:c r="H627" s="11" t="n">
        <x:v>0.2841</x:v>
      </x:c>
      <x:c r="I627" s="11" t="n">
        <x:v>0.3448</x:v>
      </x:c>
      <x:c r="J627" s="13" t="n">
        <x:f>IF(OR(G627=0,G627=1),"",(H627-I627)*100)</x:f>
        <x:v>-6.069999999999998</x:v>
      </x:c>
      <x:c r="K627" s="14" t="n">
        <x:v>-4.14</x:v>
      </x:c>
      <x:c r="L627" s="15" t="n">
        <x:f>F627*G627</x:f>
        <x:v>3223.8246</x:v>
      </x:c>
      <x:c r="M627" s="15" t="n">
        <x:f>F627-L627</x:f>
        <x:v>3298.1754</x:v>
      </x:c>
      <x:c r="N627" s="17" t="str"/>
      <x:c r="O627" s="17" t="str">
        <x:v>https://sts2log.com/cards</x:v>
      </x:c>
      <x:c r="P627" s="17" t="str">
        <x:v>https://slaythespire2.net/ancient/neow</x:v>
      </x:c>
    </x:row>
    <x:row r="628" ht="25" customHeight="1">
      <x:c r="A628" s="2" t="str">
        <x:v>v0.111</x:v>
      </x:c>
      <x:c r="B628" s="2" t="str">
        <x:v>静默猎手</x:v>
      </x:c>
      <x:c r="C628" s="2" t="str">
        <x:v>涅奥</x:v>
      </x:c>
      <x:c r="D628" s="2" t="str">
        <x:v>沉重石板</x:v>
      </x:c>
      <x:c r="E628" s="16" t="n">
        <x:f>IF(G628=0,I628,IF(G628=1,H628,G628*H628+(1-G628)*I628))</x:f>
        <x:v>0.29626716</x:v>
      </x:c>
      <x:c r="F628" s="12" t="n">
        <x:v>6524</x:v>
      </x:c>
      <x:c r="G628" s="11" t="n">
        <x:v>0.4916</x:v>
      </x:c>
      <x:c r="H628" s="11" t="n">
        <x:v>0.22260000000000002</x:v>
      </x:c>
      <x:c r="I628" s="11" t="n">
        <x:v>0.3675</x:v>
      </x:c>
      <x:c r="J628" s="13" t="n">
        <x:f>IF(OR(G628=0,G628=1),"",(H628-I628)*100)</x:f>
        <x:v>-14.489999999999997</x:v>
      </x:c>
      <x:c r="K628" s="14" t="n">
        <x:v>-10.29</x:v>
      </x:c>
      <x:c r="L628" s="15" t="n">
        <x:f>F628*G628</x:f>
        <x:v>3207.1983999999998</x:v>
      </x:c>
      <x:c r="M628" s="15" t="n">
        <x:f>F628-L628</x:f>
        <x:v>3316.8016000000002</x:v>
      </x:c>
      <x:c r="N628" s="17" t="str"/>
      <x:c r="O628" s="17" t="str">
        <x:v>https://sts2log.com/cards</x:v>
      </x:c>
      <x:c r="P628" s="17" t="str">
        <x:v>https://slaythespire2.net/ancient/neow</x:v>
      </x:c>
    </x:row>
    <x:row r="629" ht="25" customHeight="1">
      <x:c r="A629" s="2" t="str">
        <x:v>v0.111</x:v>
      </x:c>
      <x:c r="B629" s="2" t="str">
        <x:v>静默猎手</x:v>
      </x:c>
      <x:c r="C629" s="2" t="str">
        <x:v>欧洛巴斯</x:v>
      </x:c>
      <x:c r="D629" s="2" t="str">
        <x:v>棱彩宝石</x:v>
      </x:c>
      <x:c r="E629" s="16" t="n">
        <x:f>IF(G629=0,I629,IF(G629=1,H629,G629*H629+(1-G629)*I629))</x:f>
        <x:v>0.47821183999999994</x:v>
      </x:c>
      <x:c r="F629" s="12" t="n">
        <x:v>1583</x:v>
      </x:c>
      <x:c r="G629" s="11" t="n">
        <x:v>0.4782</x:v>
      </x:c>
      <x:c r="H629" s="11" t="n">
        <x:v>0.5257999999999999</x:v>
      </x:c>
      <x:c r="I629" s="11" t="n">
        <x:v>0.4346</x:v>
      </x:c>
      <x:c r="J629" s="13" t="n">
        <x:f>IF(OR(G629=0,G629=1),"",(H629-I629)*100)</x:f>
        <x:v>9.119999999999994</x:v>
      </x:c>
      <x:c r="K629" s="14" t="n">
        <x:v>20.03</x:v>
      </x:c>
      <x:c r="L629" s="15" t="n">
        <x:f>F629*G629</x:f>
        <x:v>756.9906</x:v>
      </x:c>
      <x:c r="M629" s="15" t="n">
        <x:f>F629-L629</x:f>
        <x:v>826.0094</x:v>
      </x:c>
      <x:c r="N629" s="17" t="str"/>
      <x:c r="O629" s="17" t="str">
        <x:v>https://sts2log.com/cards</x:v>
      </x:c>
      <x:c r="P629" s="17" t="str">
        <x:v>https://slaythespire2.net/ancient/orobas</x:v>
      </x:c>
    </x:row>
    <x:row r="630" ht="25" customHeight="1">
      <x:c r="A630" s="2" t="str">
        <x:v>v0.111</x:v>
      </x:c>
      <x:c r="B630" s="2" t="str">
        <x:v>静默猎手</x:v>
      </x:c>
      <x:c r="C630" s="2" t="str">
        <x:v>欧洛巴斯</x:v>
      </x:c>
      <x:c r="D630" s="2" t="str">
        <x:v>发光珍珠</x:v>
      </x:c>
      <x:c r="E630" s="16" t="n">
        <x:f>IF(G630=0,I630,IF(G630=1,H630,G630*H630+(1-G630)*I630))</x:f>
        <x:v>0.46096768</x:v>
      </x:c>
      <x:c r="F630" s="12" t="n">
        <x:v>2803</x:v>
      </x:c>
      <x:c r="G630" s="11" t="n">
        <x:v>0.3411</x:v>
      </x:c>
      <x:c r="H630" s="11" t="n">
        <x:v>0.5063</x:v>
      </x:c>
      <x:c r="I630" s="11" t="n">
        <x:v>0.4375</x:v>
      </x:c>
      <x:c r="J630" s="13" t="n">
        <x:f>IF(OR(G630=0,G630=1),"",(H630-I630)*100)</x:f>
        <x:v>6.879999999999997</x:v>
      </x:c>
      <x:c r="K630" s="14" t="n">
        <x:v>18.08</x:v>
      </x:c>
      <x:c r="L630" s="15" t="n">
        <x:f>F630*G630</x:f>
        <x:v>956.1033</x:v>
      </x:c>
      <x:c r="M630" s="15" t="n">
        <x:f>F630-L630</x:f>
        <x:v>1846.8967</x:v>
      </x:c>
      <x:c r="N630" s="17" t="str"/>
      <x:c r="O630" s="17" t="str">
        <x:v>https://sts2log.com/cards</x:v>
      </x:c>
      <x:c r="P630" s="17" t="str">
        <x:v>https://slaythespire2.net/ancient/orobas</x:v>
      </x:c>
    </x:row>
    <x:row r="631" ht="25" customHeight="1">
      <x:c r="A631" s="2" t="str">
        <x:v>v0.111</x:v>
      </x:c>
      <x:c r="B631" s="2" t="str">
        <x:v>静默猎手</x:v>
      </x:c>
      <x:c r="C631" s="2" t="str">
        <x:v>欧洛巴斯</x:v>
      </x:c>
      <x:c r="D631" s="2" t="str">
        <x:v>古老牙齿</x:v>
      </x:c>
      <x:c r="E631" s="16" t="n">
        <x:f>IF(G631=0,I631,IF(G631=1,H631,G631*H631+(1-G631)*I631))</x:f>
        <x:v>0.44919044</x:v>
      </x:c>
      <x:c r="F631" s="12" t="n">
        <x:v>5610</x:v>
      </x:c>
      <x:c r="G631" s="11" t="n">
        <x:v>0.36920000000000003</x:v>
      </x:c>
      <x:c r="H631" s="11" t="n">
        <x:v>0.4244</x:v>
      </x:c>
      <x:c r="I631" s="11" t="n">
        <x:v>0.4637</x:v>
      </x:c>
      <x:c r="J631" s="13" t="n">
        <x:f>IF(OR(G631=0,G631=1),"",(H631-I631)*100)</x:f>
        <x:v>-3.93</x:v>
      </x:c>
      <x:c r="K631" s="14" t="n">
        <x:v>9.89</x:v>
      </x:c>
      <x:c r="L631" s="15" t="n">
        <x:f>F631*G631</x:f>
        <x:v>2071.212</x:v>
      </x:c>
      <x:c r="M631" s="15" t="n">
        <x:f>F631-L631</x:f>
        <x:v>3538.788</x:v>
      </x:c>
      <x:c r="N631" s="17" t="str"/>
      <x:c r="O631" s="17" t="str">
        <x:v>https://sts2log.com/cards</x:v>
      </x:c>
      <x:c r="P631" s="17" t="str">
        <x:v>https://slaythespire2.net/ancient/orobas</x:v>
      </x:c>
    </x:row>
    <x:row r="632" ht="25" customHeight="1">
      <x:c r="A632" s="2" t="str">
        <x:v>v0.111</x:v>
      </x:c>
      <x:c r="B632" s="2" t="str">
        <x:v>静默猎手</x:v>
      </x:c>
      <x:c r="C632" s="2" t="str">
        <x:v>欧洛巴斯</x:v>
      </x:c>
      <x:c r="D632" s="2" t="str">
        <x:v>放电异虾</x:v>
      </x:c>
      <x:c r="E632" s="16" t="n">
        <x:f>IF(G632=0,I632,IF(G632=1,H632,G632*H632+(1-G632)*I632))</x:f>
        <x:v>0.4482256</x:v>
      </x:c>
      <x:c r="F632" s="12" t="n">
        <x:v>4812</x:v>
      </x:c>
      <x:c r="G632" s="11" t="n">
        <x:v>0.36700000000000005</x:v>
      </x:c>
      <x:c r="H632" s="11" t="n">
        <x:v>0.4462</x:v>
      </x:c>
      <x:c r="I632" s="11" t="n">
        <x:v>0.44939999999999997</x:v>
      </x:c>
      <x:c r="J632" s="13" t="n">
        <x:f>IF(OR(G632=0,G632=1),"",(H632-I632)*100)</x:f>
        <x:v>-0.31999999999999806</x:v>
      </x:c>
      <x:c r="K632" s="14" t="n">
        <x:v>12.07</x:v>
      </x:c>
      <x:c r="L632" s="15" t="n">
        <x:f>F632*G632</x:f>
        <x:v>1766.0040000000001</x:v>
      </x:c>
      <x:c r="M632" s="15" t="n">
        <x:f>F632-L632</x:f>
        <x:v>3045.996</x:v>
      </x:c>
      <x:c r="N632" s="17" t="str"/>
      <x:c r="O632" s="17" t="str">
        <x:v>https://sts2log.com/cards</x:v>
      </x:c>
      <x:c r="P632" s="17" t="str">
        <x:v>https://slaythespire2.net/ancient/orobas</x:v>
      </x:c>
    </x:row>
    <x:row r="633" ht="25" customHeight="1">
      <x:c r="A633" s="2" t="str">
        <x:v>v0.111</x:v>
      </x:c>
      <x:c r="B633" s="2" t="str">
        <x:v>静默猎手</x:v>
      </x:c>
      <x:c r="C633" s="2" t="str">
        <x:v>欧洛巴斯</x:v>
      </x:c>
      <x:c r="D633" s="2" t="str">
        <x:v>炼金箱</x:v>
      </x:c>
      <x:c r="E633" s="16" t="n">
        <x:f>IF(G633=0,I633,IF(G633=1,H633,G633*H633+(1-G633)*I633))</x:f>
        <x:v>0.44782645</x:v>
      </x:c>
      <x:c r="F633" s="12" t="n">
        <x:v>2704</x:v>
      </x:c>
      <x:c r="G633" s="11" t="n">
        <x:v>0.2515</x:v>
      </x:c>
      <x:c r="H633" s="11" t="n">
        <x:v>0.47350000000000003</x:v>
      </x:c>
      <x:c r="I633" s="11" t="n">
        <x:v>0.43920000000000003</x:v>
      </x:c>
      <x:c r="J633" s="13" t="n">
        <x:f>IF(OR(G633=0,G633=1),"",(H633-I633)*100)</x:f>
        <x:v>3.4299999999999997</x:v>
      </x:c>
      <x:c r="K633" s="14" t="n">
        <x:v>14.8</x:v>
      </x:c>
      <x:c r="L633" s="15" t="n">
        <x:f>F633*G633</x:f>
        <x:v>680.056</x:v>
      </x:c>
      <x:c r="M633" s="15" t="n">
        <x:f>F633-L633</x:f>
        <x:v>2023.944</x:v>
      </x:c>
      <x:c r="N633" s="17" t="str"/>
      <x:c r="O633" s="17" t="str">
        <x:v>https://sts2log.com/cards</x:v>
      </x:c>
      <x:c r="P633" s="17" t="str">
        <x:v>https://slaythespire2.net/ancient/orobas</x:v>
      </x:c>
    </x:row>
    <x:row r="634" ht="25" customHeight="1">
      <x:c r="A634" s="2" t="str">
        <x:v>v0.111</x:v>
      </x:c>
      <x:c r="B634" s="2" t="str">
        <x:v>静默猎手</x:v>
      </x:c>
      <x:c r="C634" s="2" t="str">
        <x:v>欧洛巴斯</x:v>
      </x:c>
      <x:c r="D634" s="2" t="str">
        <x:v>沙堡</x:v>
      </x:c>
      <x:c r="E634" s="16" t="n">
        <x:f>IF(G634=0,I634,IF(G634=1,H634,G634*H634+(1-G634)*I634))</x:f>
        <x:v>0.44333644</x:v>
      </x:c>
      <x:c r="F634" s="12" t="n">
        <x:v>2702</x:v>
      </x:c>
      <x:c r="G634" s="11" t="n">
        <x:v>0.2332</x:v>
      </x:c>
      <x:c r="H634" s="11" t="n">
        <x:v>0.40630000000000005</x:v>
      </x:c>
      <x:c r="I634" s="11" t="n">
        <x:v>0.4546</x:v>
      </x:c>
      <x:c r="J634" s="13" t="n">
        <x:f>IF(OR(G634=0,G634=1),"",(H634-I634)*100)</x:f>
        <x:v>-4.829999999999996</x:v>
      </x:c>
      <x:c r="K634" s="14" t="n">
        <x:v>8.08</x:v>
      </x:c>
      <x:c r="L634" s="15" t="n">
        <x:f>F634*G634</x:f>
        <x:v>630.1064</x:v>
      </x:c>
      <x:c r="M634" s="15" t="n">
        <x:f>F634-L634</x:f>
        <x:v>2071.8936</x:v>
      </x:c>
      <x:c r="N634" s="17" t="str"/>
      <x:c r="O634" s="17" t="str">
        <x:v>https://sts2log.com/cards</x:v>
      </x:c>
      <x:c r="P634" s="17" t="str">
        <x:v>https://slaythespire2.net/ancient/orobas</x:v>
      </x:c>
    </x:row>
    <x:row r="635" ht="25" customHeight="1">
      <x:c r="A635" s="2" t="str">
        <x:v>v0.111</x:v>
      </x:c>
      <x:c r="B635" s="2" t="str">
        <x:v>静默猎手</x:v>
      </x:c>
      <x:c r="C635" s="2" t="str">
        <x:v>欧洛巴斯</x:v>
      </x:c>
      <x:c r="D635" s="2" t="str">
        <x:v>欧洛巴斯之触</x:v>
      </x:c>
      <x:c r="E635" s="16" t="n">
        <x:f>IF(G635=0,I635,IF(G635=1,H635,G635*H635+(1-G635)*I635))</x:f>
        <x:v>0.43890622999999995</x:v>
      </x:c>
      <x:c r="F635" s="12" t="n">
        <x:v>5468</x:v>
      </x:c>
      <x:c r="G635" s="11" t="n">
        <x:v>0.24489999999999998</x:v>
      </x:c>
      <x:c r="H635" s="11" t="n">
        <x:v>0.47869999999999996</x:v>
      </x:c>
      <x:c r="I635" s="11" t="n">
        <x:v>0.426</x:v>
      </x:c>
      <x:c r="J635" s="13" t="n">
        <x:f>IF(OR(G635=0,G635=1),"",(H635-I635)*100)</x:f>
        <x:v>5.269999999999997</x:v>
      </x:c>
      <x:c r="K635" s="14" t="n">
        <x:v>15.32</x:v>
      </x:c>
      <x:c r="L635" s="15" t="n">
        <x:f>F635*G635</x:f>
        <x:v>1339.1131999999998</x:v>
      </x:c>
      <x:c r="M635" s="15" t="n">
        <x:f>F635-L635</x:f>
        <x:v>4128.8868</x:v>
      </x:c>
      <x:c r="N635" s="17" t="str"/>
      <x:c r="O635" s="17" t="str">
        <x:v>https://sts2log.com/cards</x:v>
      </x:c>
      <x:c r="P635" s="17" t="str">
        <x:v>https://slaythespire2.net/ancient/orobas</x:v>
      </x:c>
    </x:row>
    <x:row r="636" ht="25" customHeight="1">
      <x:c r="A636" s="2" t="str">
        <x:v>v0.111</x:v>
      </x:c>
      <x:c r="B636" s="2" t="str">
        <x:v>静默猎手</x:v>
      </x:c>
      <x:c r="C636" s="2" t="str">
        <x:v>欧洛巴斯</x:v>
      </x:c>
      <x:c r="D636" s="2" t="str">
        <x:v>玻璃眼珠</x:v>
      </x:c>
      <x:c r="E636" s="16" t="n">
        <x:f>IF(G636=0,I636,IF(G636=1,H636,G636*H636+(1-G636)*I636))</x:f>
        <x:v>0.42850564</x:v>
      </x:c>
      <x:c r="F636" s="12" t="n">
        <x:v>4672</x:v>
      </x:c>
      <x:c r="G636" s="11" t="n">
        <x:v>0.47259999999999996</x:v>
      </x:c>
      <x:c r="H636" s="11" t="n">
        <x:v>0.39759999999999995</x:v>
      </x:c>
      <x:c r="I636" s="11" t="n">
        <x:v>0.4562</x:v>
      </x:c>
      <x:c r="J636" s="13" t="n">
        <x:f>IF(OR(G636=0,G636=1),"",(H636-I636)*100)</x:f>
        <x:v>-5.860000000000004</x:v>
      </x:c>
      <x:c r="K636" s="14" t="n">
        <x:v>7.21</x:v>
      </x:c>
      <x:c r="L636" s="15" t="n">
        <x:f>F636*G636</x:f>
        <x:v>2207.9872</x:v>
      </x:c>
      <x:c r="M636" s="15" t="n">
        <x:f>F636-L636</x:f>
        <x:v>2464.0128</x:v>
      </x:c>
      <x:c r="N636" s="17" t="str"/>
      <x:c r="O636" s="17" t="str">
        <x:v>https://sts2log.com/cards</x:v>
      </x:c>
      <x:c r="P636" s="17" t="str">
        <x:v>https://slaythespire2.net/ancient/orobas</x:v>
      </x:c>
    </x:row>
    <x:row r="637" ht="25" customHeight="1">
      <x:c r="A637" s="2" t="str">
        <x:v>v0.111</x:v>
      </x:c>
      <x:c r="B637" s="2" t="str">
        <x:v>静默猎手</x:v>
      </x:c>
      <x:c r="C637" s="2" t="str">
        <x:v>欧洛巴斯</x:v>
      </x:c>
      <x:c r="D637" s="2" t="str">
        <x:v>浮木</x:v>
      </x:c>
      <x:c r="E637" s="16" t="n">
        <x:f>IF(G637=0,I637,IF(G637=1,H637,G637*H637+(1-G637)*I637))</x:f>
        <x:v>0.42496676</x:v>
      </x:c>
      <x:c r="F637" s="12" t="n">
        <x:v>2871</x:v>
      </x:c>
      <x:c r="G637" s="11" t="n">
        <x:v>0.2327</x:v>
      </x:c>
      <x:c r="H637" s="11" t="n">
        <x:v>0.40869999999999995</x:v>
      </x:c>
      <x:c r="I637" s="11" t="n">
        <x:v>0.4299</x:v>
      </x:c>
      <x:c r="J637" s="13" t="n">
        <x:f>IF(OR(G637=0,G637=1),"",(H637-I637)*100)</x:f>
        <x:v>-2.1200000000000054</x:v>
      </x:c>
      <x:c r="K637" s="14" t="n">
        <x:v>8.32</x:v>
      </x:c>
      <x:c r="L637" s="15" t="n">
        <x:f>F637*G637</x:f>
        <x:v>668.0817</x:v>
      </x:c>
      <x:c r="M637" s="15" t="n">
        <x:f>F637-L637</x:f>
        <x:v>2202.9183000000003</x:v>
      </x:c>
      <x:c r="N637" s="17" t="str"/>
      <x:c r="O637" s="17" t="str">
        <x:v>https://sts2log.com/cards</x:v>
      </x:c>
      <x:c r="P637" s="17" t="str">
        <x:v>https://slaythespire2.net/ancient/orobas</x:v>
      </x:c>
    </x:row>
    <x:row r="638" ht="25" customHeight="1">
      <x:c r="A638" s="2" t="str">
        <x:v>v0.111</x:v>
      </x:c>
      <x:c r="B638" s="2" t="str">
        <x:v>静默猎手</x:v>
      </x:c>
      <x:c r="C638" s="2" t="str">
        <x:v>佩尔</x:v>
      </x:c>
      <x:c r="D638" s="2" t="str">
        <x:v>佩尔的增生组织</x:v>
      </x:c>
      <x:c r="E638" s="16" t="n">
        <x:f>IF(G638=0,I638,IF(G638=1,H638,G638*H638+(1-G638)*I638))</x:f>
        <x:v>0.4965059</x:v>
      </x:c>
      <x:c r="F638" s="12" t="n">
        <x:v>2149</x:v>
      </x:c>
      <x:c r="G638" s="11" t="n">
        <x:v>0.2369</x:v>
      </x:c>
      <x:c r="H638" s="11" t="n">
        <x:v>0.5049</x:v>
      </x:c>
      <x:c r="I638" s="11" t="n">
        <x:v>0.4939</x:v>
      </x:c>
      <x:c r="J638" s="13" t="n">
        <x:f>IF(OR(G638=0,G638=1),"",(H638-I638)*100)</x:f>
        <x:v>1.100000000000001</x:v>
      </x:c>
      <x:c r="K638" s="14" t="n">
        <x:v>17.94</x:v>
      </x:c>
      <x:c r="L638" s="15" t="n">
        <x:f>F638*G638</x:f>
        <x:v>509.0981</x:v>
      </x:c>
      <x:c r="M638" s="15" t="n">
        <x:f>F638-L638</x:f>
        <x:v>1639.9019</x:v>
      </x:c>
      <x:c r="N638" s="17" t="str"/>
      <x:c r="O638" s="17" t="str">
        <x:v>https://sts2log.com/cards</x:v>
      </x:c>
      <x:c r="P638" s="17" t="str">
        <x:v>https://slaythespire2.net/ancient/pael</x:v>
      </x:c>
    </x:row>
    <x:row r="639" ht="25" customHeight="1">
      <x:c r="A639" s="2" t="str">
        <x:v>v0.111</x:v>
      </x:c>
      <x:c r="B639" s="2" t="str">
        <x:v>静默猎手</x:v>
      </x:c>
      <x:c r="C639" s="2" t="str">
        <x:v>佩尔</x:v>
      </x:c>
      <x:c r="D639" s="2" t="str">
        <x:v>佩尔之血</x:v>
      </x:c>
      <x:c r="E639" s="16" t="n">
        <x:f>IF(G639=0,I639,IF(G639=1,H639,G639*H639+(1-G639)*I639))</x:f>
        <x:v>0.48845</x:v>
      </x:c>
      <x:c r="F639" s="12" t="n">
        <x:v>4907</x:v>
      </x:c>
      <x:c r="G639" s="11" t="n">
        <x:v>0.475</x:v>
      </x:c>
      <x:c r="H639" s="11" t="n">
        <x:v>0.5315</x:v>
      </x:c>
      <x:c r="I639" s="11" t="n">
        <x:v>0.4495</x:v>
      </x:c>
      <x:c r="J639" s="13" t="n">
        <x:f>IF(OR(G639=0,G639=1),"",(H639-I639)*100)</x:f>
        <x:v>8.199999999999996</x:v>
      </x:c>
      <x:c r="K639" s="14" t="n">
        <x:v>20.6</x:v>
      </x:c>
      <x:c r="L639" s="15" t="n">
        <x:f>F639*G639</x:f>
        <x:v>2330.825</x:v>
      </x:c>
      <x:c r="M639" s="15" t="n">
        <x:f>F639-L639</x:f>
        <x:v>2576.175</x:v>
      </x:c>
      <x:c r="N639" s="17" t="str"/>
      <x:c r="O639" s="17" t="str">
        <x:v>https://sts2log.com/cards</x:v>
      </x:c>
      <x:c r="P639" s="17" t="str">
        <x:v>https://slaythespire2.net/ancient/pael</x:v>
      </x:c>
    </x:row>
    <x:row r="640" ht="25" customHeight="1">
      <x:c r="A640" s="2" t="str">
        <x:v>v0.111</x:v>
      </x:c>
      <x:c r="B640" s="2" t="str">
        <x:v>静默猎手</x:v>
      </x:c>
      <x:c r="C640" s="2" t="str">
        <x:v>佩尔</x:v>
      </x:c>
      <x:c r="D640" s="2" t="str">
        <x:v>佩尔之肉</x:v>
      </x:c>
      <x:c r="E640" s="16" t="n">
        <x:f>IF(G640=0,I640,IF(G640=1,H640,G640*H640+(1-G640)*I640))</x:f>
        <x:v>0.47412970000000004</x:v>
      </x:c>
      <x:c r="F640" s="12" t="n">
        <x:v>4773</x:v>
      </x:c>
      <x:c r="G640" s="11" t="n">
        <x:v>0.5326</x:v>
      </x:c>
      <x:c r="H640" s="11" t="n">
        <x:v>0.45520000000000005</x:v>
      </x:c>
      <x:c r="I640" s="11" t="n">
        <x:v>0.49570000000000003</x:v>
      </x:c>
      <x:c r="J640" s="13" t="n">
        <x:f>IF(OR(G640=0,G640=1),"",(H640-I640)*100)</x:f>
        <x:v>-4.049999999999998</x:v>
      </x:c>
      <x:c r="K640" s="14" t="n">
        <x:v>12.97</x:v>
      </x:c>
      <x:c r="L640" s="15" t="n">
        <x:f>F640*G640</x:f>
        <x:v>2542.0998</x:v>
      </x:c>
      <x:c r="M640" s="15" t="n">
        <x:f>F640-L640</x:f>
        <x:v>2230.9002</x:v>
      </x:c>
      <x:c r="N640" s="17" t="str"/>
      <x:c r="O640" s="17" t="str">
        <x:v>https://sts2log.com/cards</x:v>
      </x:c>
      <x:c r="P640" s="17" t="str">
        <x:v>https://slaythespire2.net/ancient/pael</x:v>
      </x:c>
    </x:row>
    <x:row r="641" ht="25" customHeight="1">
      <x:c r="A641" s="2" t="str">
        <x:v>v0.111</x:v>
      </x:c>
      <x:c r="B641" s="2" t="str">
        <x:v>静默猎手</x:v>
      </x:c>
      <x:c r="C641" s="2" t="str">
        <x:v>佩尔</x:v>
      </x:c>
      <x:c r="D641" s="2" t="str">
        <x:v>佩尔的士兵</x:v>
      </x:c>
      <x:c r="E641" s="16" t="n">
        <x:f>IF(G641=0,I641,IF(G641=1,H641,G641*H641+(1-G641)*I641))</x:f>
        <x:v>0.46723396</x:v>
      </x:c>
      <x:c r="F641" s="12" t="n">
        <x:v>4927</x:v>
      </x:c>
      <x:c r="G641" s="11" t="n">
        <x:v>0.4628</x:v>
      </x:c>
      <x:c r="H641" s="11" t="n">
        <x:v>0.5079</x:v>
      </x:c>
      <x:c r="I641" s="11" t="n">
        <x:v>0.4322</x:v>
      </x:c>
      <x:c r="J641" s="13" t="n">
        <x:f>IF(OR(G641=0,G641=1),"",(H641-I641)*100)</x:f>
        <x:v>7.570000000000005</x:v>
      </x:c>
      <x:c r="K641" s="14" t="n">
        <x:v>18.24</x:v>
      </x:c>
      <x:c r="L641" s="15" t="n">
        <x:f>F641*G641</x:f>
        <x:v>2280.2156</x:v>
      </x:c>
      <x:c r="M641" s="15" t="n">
        <x:f>F641-L641</x:f>
        <x:v>2646.7844</x:v>
      </x:c>
      <x:c r="N641" s="17" t="str"/>
      <x:c r="O641" s="17" t="str">
        <x:v>https://sts2log.com/cards</x:v>
      </x:c>
      <x:c r="P641" s="17" t="str">
        <x:v>https://slaythespire2.net/ancient/pael</x:v>
      </x:c>
    </x:row>
    <x:row r="642" ht="25" customHeight="1">
      <x:c r="A642" s="2" t="str">
        <x:v>v0.111</x:v>
      </x:c>
      <x:c r="B642" s="2" t="str">
        <x:v>静默猎手</x:v>
      </x:c>
      <x:c r="C642" s="2" t="str">
        <x:v>佩尔</x:v>
      </x:c>
      <x:c r="D642" s="2" t="str">
        <x:v>佩尔之爪</x:v>
      </x:c>
      <x:c r="E642" s="16" t="n">
        <x:f>IF(G642=0,I642,IF(G642=1,H642,G642*H642+(1-G642)*I642))</x:f>
        <x:v>0.4583786</x:v>
      </x:c>
      <x:c r="F642" s="12" t="n">
        <x:v>4086</x:v>
      </x:c>
      <x:c r="G642" s="11" t="n">
        <x:v>0.2271</x:v>
      </x:c>
      <x:c r="H642" s="11" t="n">
        <x:v>0.4321</x:v>
      </x:c>
      <x:c r="I642" s="11" t="n">
        <x:v>0.4661</x:v>
      </x:c>
      <x:c r="J642" s="13" t="n">
        <x:f>IF(OR(G642=0,G642=1),"",(H642-I642)*100)</x:f>
        <x:v>-3.400000000000003</x:v>
      </x:c>
      <x:c r="K642" s="14" t="n">
        <x:v>10.66</x:v>
      </x:c>
      <x:c r="L642" s="15" t="n">
        <x:f>F642*G642</x:f>
        <x:v>927.9306</x:v>
      </x:c>
      <x:c r="M642" s="15" t="n">
        <x:f>F642-L642</x:f>
        <x:v>3158.0694</x:v>
      </x:c>
      <x:c r="N642" s="17" t="str"/>
      <x:c r="O642" s="17" t="str">
        <x:v>https://sts2log.com/cards</x:v>
      </x:c>
      <x:c r="P642" s="17" t="str">
        <x:v>https://slaythespire2.net/ancient/pael</x:v>
      </x:c>
    </x:row>
    <x:row r="643" ht="25" customHeight="1">
      <x:c r="A643" s="2" t="str">
        <x:v>v0.111</x:v>
      </x:c>
      <x:c r="B643" s="2" t="str">
        <x:v>静默猎手</x:v>
      </x:c>
      <x:c r="C643" s="2" t="str">
        <x:v>佩尔</x:v>
      </x:c>
      <x:c r="D643" s="2" t="str">
        <x:v>佩尔之角</x:v>
      </x:c>
      <x:c r="E643" s="16" t="n">
        <x:f>IF(G643=0,I643,IF(G643=1,H643,G643*H643+(1-G643)*I643))</x:f>
        <x:v>0.45637268</x:v>
      </x:c>
      <x:c r="F643" s="12" t="n">
        <x:v>4939</x:v>
      </x:c>
      <x:c r="G643" s="11" t="n">
        <x:v>0.1583</x:v>
      </x:c>
      <x:c r="H643" s="11" t="n">
        <x:v>0.3887</x:v>
      </x:c>
      <x:c r="I643" s="11" t="n">
        <x:v>0.46909999999999996</x:v>
      </x:c>
      <x:c r="J643" s="13" t="n">
        <x:f>IF(OR(G643=0,G643=1),"",(H643-I643)*100)</x:f>
        <x:v>-8.039999999999997</x:v>
      </x:c>
      <x:c r="K643" s="14" t="n">
        <x:v>6.32</x:v>
      </x:c>
      <x:c r="L643" s="15" t="n">
        <x:f>F643*G643</x:f>
        <x:v>781.8437</x:v>
      </x:c>
      <x:c r="M643" s="15" t="n">
        <x:f>F643-L643</x:f>
        <x:v>4157.1563</x:v>
      </x:c>
      <x:c r="N643" s="17" t="str"/>
      <x:c r="O643" s="17" t="str">
        <x:v>https://sts2log.com/cards</x:v>
      </x:c>
      <x:c r="P643" s="17" t="str">
        <x:v>https://slaythespire2.net/ancient/pael</x:v>
      </x:c>
    </x:row>
    <x:row r="644" ht="25" customHeight="1">
      <x:c r="A644" s="2" t="str">
        <x:v>v0.111</x:v>
      </x:c>
      <x:c r="B644" s="2" t="str">
        <x:v>静默猎手</x:v>
      </x:c>
      <x:c r="C644" s="2" t="str">
        <x:v>佩尔</x:v>
      </x:c>
      <x:c r="D644" s="2" t="str">
        <x:v>佩尔之翼</x:v>
      </x:c>
      <x:c r="E644" s="16" t="n">
        <x:f>IF(G644=0,I644,IF(G644=1,H644,G644*H644+(1-G644)*I644))</x:f>
        <x:v>0.45245287999999995</x:v>
      </x:c>
      <x:c r="F644" s="12" t="n">
        <x:v>4224</x:v>
      </x:c>
      <x:c r="G644" s="11" t="n">
        <x:v>0.3208</x:v>
      </x:c>
      <x:c r="H644" s="11" t="n">
        <x:v>0.36829999999999996</x:v>
      </x:c>
      <x:c r="I644" s="11" t="n">
        <x:v>0.49219999999999997</x:v>
      </x:c>
      <x:c r="J644" s="13" t="n">
        <x:f>IF(OR(G644=0,G644=1),"",(H644-I644)*100)</x:f>
        <x:v>-12.39</x:v>
      </x:c>
      <x:c r="K644" s="14" t="n">
        <x:v>4.28</x:v>
      </x:c>
      <x:c r="L644" s="15" t="n">
        <x:f>F644*G644</x:f>
        <x:v>1355.0592</x:v>
      </x:c>
      <x:c r="M644" s="15" t="n">
        <x:f>F644-L644</x:f>
        <x:v>2868.9408000000003</x:v>
      </x:c>
      <x:c r="N644" s="17" t="str"/>
      <x:c r="O644" s="17" t="str">
        <x:v>https://sts2log.com/cards</x:v>
      </x:c>
      <x:c r="P644" s="17" t="str">
        <x:v>https://slaythespire2.net/ancient/pael</x:v>
      </x:c>
    </x:row>
    <x:row r="645" ht="25" customHeight="1">
      <x:c r="A645" s="2" t="str">
        <x:v>v0.111</x:v>
      </x:c>
      <x:c r="B645" s="2" t="str">
        <x:v>静默猎手</x:v>
      </x:c>
      <x:c r="C645" s="2" t="str">
        <x:v>佩尔</x:v>
      </x:c>
      <x:c r="D645" s="2" t="str">
        <x:v>佩尔之泪</x:v>
      </x:c>
      <x:c r="E645" s="16" t="n">
        <x:f>IF(G645=0,I645,IF(G645=1,H645,G645*H645+(1-G645)*I645))</x:f>
        <x:v>0.4495096</x:v>
      </x:c>
      <x:c r="F645" s="12" t="n">
        <x:v>4919</x:v>
      </x:c>
      <x:c r="G645" s="11" t="n">
        <x:v>0.47200000000000003</x:v>
      </x:c>
      <x:c r="H645" s="11" t="n">
        <x:v>0.4729</x:v>
      </x:c>
      <x:c r="I645" s="11" t="n">
        <x:v>0.4286</x:v>
      </x:c>
      <x:c r="J645" s="13" t="n">
        <x:f>IF(OR(G645=0,G645=1),"",(H645-I645)*100)</x:f>
        <x:v>4.430000000000001</x:v>
      </x:c>
      <x:c r="K645" s="14" t="n">
        <x:v>14.74</x:v>
      </x:c>
      <x:c r="L645" s="15" t="n">
        <x:f>F645*G645</x:f>
        <x:v>2321.768</x:v>
      </x:c>
      <x:c r="M645" s="15" t="n">
        <x:f>F645-L645</x:f>
        <x:v>2597.232</x:v>
      </x:c>
      <x:c r="N645" s="17" t="str"/>
      <x:c r="O645" s="17" t="str">
        <x:v>https://sts2log.com/cards</x:v>
      </x:c>
      <x:c r="P645" s="17" t="str">
        <x:v>https://slaythespire2.net/ancient/pael</x:v>
      </x:c>
    </x:row>
    <x:row r="646" ht="25" customHeight="1">
      <x:c r="A646" s="2" t="str">
        <x:v>v0.111</x:v>
      </x:c>
      <x:c r="B646" s="2" t="str">
        <x:v>静默猎手</x:v>
      </x:c>
      <x:c r="C646" s="2" t="str">
        <x:v>佩尔</x:v>
      </x:c>
      <x:c r="D646" s="2" t="str">
        <x:v>佩尔之牙</x:v>
      </x:c>
      <x:c r="E646" s="16" t="n">
        <x:f>IF(G646=0,I646,IF(G646=1,H646,G646*H646+(1-G646)*I646))</x:f>
        <x:v>0.4493692</x:v>
      </x:c>
      <x:c r="F646" s="12" t="n">
        <x:v>4186</x:v>
      </x:c>
      <x:c r="G646" s="11" t="n">
        <x:v>0.1333</x:v>
      </x:c>
      <x:c r="H646" s="11" t="n">
        <x:v>0.3835</x:v>
      </x:c>
      <x:c r="I646" s="11" t="n">
        <x:v>0.4595</x:v>
      </x:c>
      <x:c r="J646" s="13" t="n">
        <x:f>IF(OR(G646=0,G646=1),"",(H646-I646)*100)</x:f>
        <x:v>-7.600000000000001</x:v>
      </x:c>
      <x:c r="K646" s="14" t="n">
        <x:v>5.8</x:v>
      </x:c>
      <x:c r="L646" s="15" t="n">
        <x:f>F646*G646</x:f>
        <x:v>557.9938</x:v>
      </x:c>
      <x:c r="M646" s="15" t="n">
        <x:f>F646-L646</x:f>
        <x:v>3628.0062</x:v>
      </x:c>
      <x:c r="N646" s="17" t="str"/>
      <x:c r="O646" s="17" t="str">
        <x:v>https://sts2log.com/cards</x:v>
      </x:c>
      <x:c r="P646" s="17" t="str">
        <x:v>https://slaythespire2.net/ancient/pael</x:v>
      </x:c>
    </x:row>
    <x:row r="647" ht="25" customHeight="1">
      <x:c r="A647" s="2" t="str">
        <x:v>v0.111</x:v>
      </x:c>
      <x:c r="B647" s="2" t="str">
        <x:v>静默猎手</x:v>
      </x:c>
      <x:c r="C647" s="2" t="str">
        <x:v>佩尔</x:v>
      </x:c>
      <x:c r="D647" s="2" t="str">
        <x:v>佩尔之眼</x:v>
      </x:c>
      <x:c r="E647" s="16" t="n">
        <x:f>IF(G647=0,I647,IF(G647=1,H647,G647*H647+(1-G647)*I647))</x:f>
        <x:v>0.4226690000000001</x:v>
      </x:c>
      <x:c r="F647" s="12" t="n">
        <x:v>4791</x:v>
      </x:c>
      <x:c r="G647" s="11" t="n">
        <x:v>0.20600000000000002</x:v>
      </x:c>
      <x:c r="H647" s="11" t="n">
        <x:v>0.3921</x:v>
      </x:c>
      <x:c r="I647" s="11" t="n">
        <x:v>0.43060000000000004</x:v>
      </x:c>
      <x:c r="J647" s="13" t="n">
        <x:f>IF(OR(G647=0,G647=1),"",(H647-I647)*100)</x:f>
        <x:v>-3.850000000000003</x:v>
      </x:c>
      <x:c r="K647" s="14" t="n">
        <x:v>6.66</x:v>
      </x:c>
      <x:c r="L647" s="15" t="n">
        <x:f>F647*G647</x:f>
        <x:v>986.946</x:v>
      </x:c>
      <x:c r="M647" s="15" t="n">
        <x:f>F647-L647</x:f>
        <x:v>3804.054</x:v>
      </x:c>
      <x:c r="N647" s="17" t="str"/>
      <x:c r="O647" s="17" t="str">
        <x:v>https://sts2log.com/cards</x:v>
      </x:c>
      <x:c r="P647" s="17" t="str">
        <x:v>https://slaythespire2.net/ancient/pael</x:v>
      </x:c>
    </x:row>
    <x:row r="648" ht="25" customHeight="1">
      <x:c r="A648" s="2" t="str">
        <x:v>v0.111</x:v>
      </x:c>
      <x:c r="B648" s="2" t="str">
        <x:v>静默猎手</x:v>
      </x:c>
      <x:c r="C648" s="2" t="str">
        <x:v>特兹卡塔拉</x:v>
      </x:c>
      <x:c r="D648" s="2" t="str">
        <x:v>烘焙手套</x:v>
      </x:c>
      <x:c r="E648" s="16" t="n">
        <x:f>IF(G648=0,I648,IF(G648=1,H648,G648*H648+(1-G648)*I648))</x:f>
        <x:v>0.49950512</x:v>
      </x:c>
      <x:c r="F648" s="12" t="n">
        <x:v>5027</x:v>
      </x:c>
      <x:c r="G648" s="11" t="n">
        <x:v>0.43920000000000003</x:v>
      </x:c>
      <x:c r="H648" s="11" t="n">
        <x:v>0.5548</x:v>
      </x:c>
      <x:c r="I648" s="11" t="n">
        <x:v>0.4562</x:v>
      </x:c>
      <x:c r="J648" s="13" t="n">
        <x:f>IF(OR(G648=0,G648=1),"",(H648-I648)*100)</x:f>
        <x:v>9.859999999999996</x:v>
      </x:c>
      <x:c r="K648" s="14" t="n">
        <x:v>22.93</x:v>
      </x:c>
      <x:c r="L648" s="15" t="n">
        <x:f>F648*G648</x:f>
        <x:v>2207.8584</x:v>
      </x:c>
      <x:c r="M648" s="15" t="n">
        <x:f>F648-L648</x:f>
        <x:v>2819.1416</x:v>
      </x:c>
      <x:c r="N648" s="17" t="str"/>
      <x:c r="O648" s="17" t="str">
        <x:v>https://sts2log.com/cards</x:v>
      </x:c>
      <x:c r="P648" s="17" t="str">
        <x:v>https://slaythespire2.net/ancient/tezcatara</x:v>
      </x:c>
    </x:row>
    <x:row r="649" ht="25" customHeight="1">
      <x:c r="A649" s="2" t="str">
        <x:v>v0.111</x:v>
      </x:c>
      <x:c r="B649" s="2" t="str">
        <x:v>静默猎手</x:v>
      </x:c>
      <x:c r="C649" s="2" t="str">
        <x:v>特兹卡塔拉</x:v>
      </x:c>
      <x:c r="D649" s="2" t="str">
        <x:v>南瓜蜡烛</x:v>
      </x:c>
      <x:c r="E649" s="16" t="n">
        <x:f>IF(G649=0,I649,IF(G649=1,H649,G649*H649+(1-G649)*I649))</x:f>
        <x:v>0.49327472</x:v>
      </x:c>
      <x:c r="F649" s="12" t="n">
        <x:v>3740</x:v>
      </x:c>
      <x:c r="G649" s="11" t="n">
        <x:v>0.4168</x:v>
      </x:c>
      <x:c r="H649" s="11" t="n">
        <x:v>0.5285</x:v>
      </x:c>
      <x:c r="I649" s="11" t="n">
        <x:v>0.4681</x:v>
      </x:c>
      <x:c r="J649" s="13" t="n">
        <x:f>IF(OR(G649=0,G649=1),"",(H649-I649)*100)</x:f>
        <x:v>6.039999999999996</x:v>
      </x:c>
      <x:c r="K649" s="14" t="n">
        <x:v>20.3</x:v>
      </x:c>
      <x:c r="L649" s="15" t="n">
        <x:f>F649*G649</x:f>
        <x:v>1558.832</x:v>
      </x:c>
      <x:c r="M649" s="15" t="n">
        <x:f>F649-L649</x:f>
        <x:v>2181.1679999999997</x:v>
      </x:c>
      <x:c r="N649" s="17" t="str"/>
      <x:c r="O649" s="17" t="str">
        <x:v>https://sts2log.com/cards</x:v>
      </x:c>
      <x:c r="P649" s="17" t="str">
        <x:v>https://slaythespire2.net/ancient/tezcatara</x:v>
      </x:c>
    </x:row>
    <x:row r="650" ht="25" customHeight="1">
      <x:c r="A650" s="2" t="str">
        <x:v>v0.111</x:v>
      </x:c>
      <x:c r="B650" s="2" t="str">
        <x:v>静默猎手</x:v>
      </x:c>
      <x:c r="C650" s="2" t="str">
        <x:v>特兹卡塔拉</x:v>
      </x:c>
      <x:c r="D650" s="2" t="str">
        <x:v>烫嘴可可</x:v>
      </x:c>
      <x:c r="E650" s="16" t="n">
        <x:f>IF(G650=0,I650,IF(G650=1,H650,G650*H650+(1-G650)*I650))</x:f>
        <x:v>0.48828456</x:v>
      </x:c>
      <x:c r="F650" s="12" t="n">
        <x:v>4956</x:v>
      </x:c>
      <x:c r="G650" s="11" t="n">
        <x:v>0.49520000000000003</x:v>
      </x:c>
      <x:c r="H650" s="11" t="n">
        <x:v>0.4531</x:v>
      </x:c>
      <x:c r="I650" s="11" t="n">
        <x:v>0.5228</x:v>
      </x:c>
      <x:c r="J650" s="13" t="n">
        <x:f>IF(OR(G650=0,G650=1),"",(H650-I650)*100)</x:f>
        <x:v>-6.970000000000004</x:v>
      </x:c>
      <x:c r="K650" s="14" t="n">
        <x:v>12.76</x:v>
      </x:c>
      <x:c r="L650" s="15" t="n">
        <x:f>F650*G650</x:f>
        <x:v>2454.2112</x:v>
      </x:c>
      <x:c r="M650" s="15" t="n">
        <x:f>F650-L650</x:f>
        <x:v>2501.7888</x:v>
      </x:c>
      <x:c r="N650" s="17" t="str"/>
      <x:c r="O650" s="17" t="str">
        <x:v>https://sts2log.com/cards</x:v>
      </x:c>
      <x:c r="P650" s="17" t="str">
        <x:v>https://slaythespire2.net/ancient/tezcatara</x:v>
      </x:c>
    </x:row>
    <x:row r="651" ht="25" customHeight="1">
      <x:c r="A651" s="2" t="str">
        <x:v>v0.111</x:v>
      </x:c>
      <x:c r="B651" s="2" t="str">
        <x:v>静默猎手</x:v>
      </x:c>
      <x:c r="C651" s="2" t="str">
        <x:v>特兹卡塔拉</x:v>
      </x:c>
      <x:c r="D651" s="2" t="str">
        <x:v>营养汤</x:v>
      </x:c>
      <x:c r="E651" s="16" t="n">
        <x:f>IF(G651=0,I651,IF(G651=1,H651,G651*H651+(1-G651)*I651))</x:f>
        <x:v>0.4823954</x:v>
      </x:c>
      <x:c r="F651" s="12" t="n">
        <x:v>4884</x:v>
      </x:c>
      <x:c r="G651" s="11" t="n">
        <x:v>0.2842</x:v>
      </x:c>
      <x:c r="H651" s="11" t="n">
        <x:v>0.43729999999999997</x:v>
      </x:c>
      <x:c r="I651" s="11" t="n">
        <x:v>0.5003</x:v>
      </x:c>
      <x:c r="J651" s="13" t="n">
        <x:f>IF(OR(G651=0,G651=1),"",(H651-I651)*100)</x:f>
        <x:v>-6.3</x:v>
      </x:c>
      <x:c r="K651" s="14" t="n">
        <x:v>11.18</x:v>
      </x:c>
      <x:c r="L651" s="15" t="n">
        <x:f>F651*G651</x:f>
        <x:v>1388.0328</x:v>
      </x:c>
      <x:c r="M651" s="15" t="n">
        <x:f>F651-L651</x:f>
        <x:v>3495.9672</x:v>
      </x:c>
      <x:c r="N651" s="17" t="str"/>
      <x:c r="O651" s="17" t="str">
        <x:v>https://sts2log.com/cards</x:v>
      </x:c>
      <x:c r="P651" s="17" t="str">
        <x:v>https://slaythespire2.net/ancient/tezcatara</x:v>
      </x:c>
    </x:row>
    <x:row r="652" ht="25" customHeight="1">
      <x:c r="A652" s="2" t="str">
        <x:v>v0.111</x:v>
      </x:c>
      <x:c r="B652" s="2" t="str">
        <x:v>静默猎手</x:v>
      </x:c>
      <x:c r="C652" s="2" t="str">
        <x:v>特兹卡塔拉</x:v>
      </x:c>
      <x:c r="D652" s="2" t="str">
        <x:v>玩具盒</x:v>
      </x:c>
      <x:c r="E652" s="16" t="n">
        <x:f>IF(G652=0,I652,IF(G652=1,H652,G652*H652+(1-G652)*I652))</x:f>
        <x:v>0.48022265000000003</x:v>
      </x:c>
      <x:c r="F652" s="12" t="n">
        <x:v>3586</x:v>
      </x:c>
      <x:c r="G652" s="11" t="n">
        <x:v>0.3165</x:v>
      </x:c>
      <x:c r="H652" s="11" t="n">
        <x:v>0.5172</x:v>
      </x:c>
      <x:c r="I652" s="11" t="n">
        <x:v>0.4631</x:v>
      </x:c>
      <x:c r="J652" s="13" t="n">
        <x:f>IF(OR(G652=0,G652=1),"",(H652-I652)*100)</x:f>
        <x:v>5.409999999999998</x:v>
      </x:c>
      <x:c r="K652" s="14" t="n">
        <x:v>19.17</x:v>
      </x:c>
      <x:c r="L652" s="15" t="n">
        <x:f>F652*G652</x:f>
        <x:v>1134.969</x:v>
      </x:c>
      <x:c r="M652" s="15" t="n">
        <x:f>F652-L652</x:f>
        <x:v>2451.031</x:v>
      </x:c>
      <x:c r="N652" s="17" t="str"/>
      <x:c r="O652" s="17" t="str">
        <x:v>https://sts2log.com/cards</x:v>
      </x:c>
      <x:c r="P652" s="17" t="str">
        <x:v>https://slaythespire2.net/ancient/tezcatara</x:v>
      </x:c>
    </x:row>
    <x:row r="653" ht="25" customHeight="1">
      <x:c r="A653" s="2" t="str">
        <x:v>v0.111</x:v>
      </x:c>
      <x:c r="B653" s="2" t="str">
        <x:v>静默猎手</x:v>
      </x:c>
      <x:c r="C653" s="2" t="str">
        <x:v>特兹卡塔拉</x:v>
      </x:c>
      <x:c r="D653" s="2" t="str">
        <x:v>黄金罗盘</x:v>
      </x:c>
      <x:c r="E653" s="16" t="n">
        <x:f>IF(G653=0,I653,IF(G653=1,H653,G653*H653+(1-G653)*I653))</x:f>
        <x:v>0.4717076</x:v>
      </x:c>
      <x:c r="F653" s="12" t="n">
        <x:v>3841</x:v>
      </x:c>
      <x:c r="G653" s="11" t="n">
        <x:v>0.2184</x:v>
      </x:c>
      <x:c r="H653" s="11" t="n">
        <x:v>0.4338</x:v>
      </x:c>
      <x:c r="I653" s="11" t="n">
        <x:v>0.48229999999999995</x:v>
      </x:c>
      <x:c r="J653" s="13" t="n">
        <x:f>IF(OR(G653=0,G653=1),"",(H653-I653)*100)</x:f>
        <x:v>-4.849999999999993</x:v>
      </x:c>
      <x:c r="K653" s="14" t="n">
        <x:v>10.83</x:v>
      </x:c>
      <x:c r="L653" s="15" t="n">
        <x:f>F653*G653</x:f>
        <x:v>838.8744</x:v>
      </x:c>
      <x:c r="M653" s="15" t="n">
        <x:f>F653-L653</x:f>
        <x:v>3002.1256</x:v>
      </x:c>
      <x:c r="N653" s="17" t="str"/>
      <x:c r="O653" s="17" t="str">
        <x:v>https://sts2log.com/cards</x:v>
      </x:c>
      <x:c r="P653" s="17" t="str">
        <x:v>https://slaythespire2.net/ancient/tezcatara</x:v>
      </x:c>
    </x:row>
    <x:row r="654" ht="25" customHeight="1">
      <x:c r="A654" s="2" t="str">
        <x:v>v0.111</x:v>
      </x:c>
      <x:c r="B654" s="2" t="str">
        <x:v>静默猎手</x:v>
      </x:c>
      <x:c r="C654" s="2" t="str">
        <x:v>特兹卡塔拉</x:v>
      </x:c>
      <x:c r="D654" s="2" t="str">
        <x:v>大～抱抱</x:v>
      </x:c>
      <x:c r="E654" s="16" t="n">
        <x:f>IF(G654=0,I654,IF(G654=1,H654,G654*H654+(1-G654)*I654))</x:f>
        <x:v>0.47058992</x:v>
      </x:c>
      <x:c r="F654" s="12" t="n">
        <x:v>4815</x:v>
      </x:c>
      <x:c r="G654" s="11" t="n">
        <x:v>0.1032</x:v>
      </x:c>
      <x:c r="H654" s="11" t="n">
        <x:v>0.507</x:v>
      </x:c>
      <x:c r="I654" s="11" t="n">
        <x:v>0.4664</x:v>
      </x:c>
      <x:c r="J654" s="13" t="n">
        <x:f>IF(OR(G654=0,G654=1),"",(H654-I654)*100)</x:f>
        <x:v>4.060000000000002</x:v>
      </x:c>
      <x:c r="K654" s="14" t="n">
        <x:v>18.15</x:v>
      </x:c>
      <x:c r="L654" s="15" t="n">
        <x:f>F654*G654</x:f>
        <x:v>496.908</x:v>
      </x:c>
      <x:c r="M654" s="15" t="n">
        <x:f>F654-L654</x:f>
        <x:v>4318.092</x:v>
      </x:c>
      <x:c r="N654" s="17" t="str"/>
      <x:c r="O654" s="17" t="str">
        <x:v>https://sts2log.com/cards</x:v>
      </x:c>
      <x:c r="P654" s="17" t="str">
        <x:v>https://slaythespire2.net/ancient/tezcatara</x:v>
      </x:c>
    </x:row>
    <x:row r="655" ht="25" customHeight="1">
      <x:c r="A655" s="2" t="str">
        <x:v>v0.111</x:v>
      </x:c>
      <x:c r="B655" s="2" t="str">
        <x:v>静默猎手</x:v>
      </x:c>
      <x:c r="C655" s="2" t="str">
        <x:v>特兹卡塔拉</x:v>
      </x:c>
      <x:c r="D655" s="2" t="str">
        <x:v>黄金印</x:v>
      </x:c>
      <x:c r="E655" s="16" t="n">
        <x:f>IF(G655=0,I655,IF(G655=1,H655,G655*H655+(1-G655)*I655))</x:f>
        <x:v>0.46576958</x:v>
      </x:c>
      <x:c r="F655" s="12" t="n">
        <x:v>3633</x:v>
      </x:c>
      <x:c r="G655" s="11" t="n">
        <x:v>0.3182</x:v>
      </x:c>
      <x:c r="H655" s="11" t="n">
        <x:v>0.5182</x:v>
      </x:c>
      <x:c r="I655" s="11" t="n">
        <x:v>0.4413</x:v>
      </x:c>
      <x:c r="J655" s="13" t="n">
        <x:f>IF(OR(G655=0,G655=1),"",(H655-I655)*100)</x:f>
        <x:v>7.689999999999997</x:v>
      </x:c>
      <x:c r="K655" s="14" t="n">
        <x:v>19.27</x:v>
      </x:c>
      <x:c r="L655" s="15" t="n">
        <x:f>F655*G655</x:f>
        <x:v>1156.0205999999998</x:v>
      </x:c>
      <x:c r="M655" s="15" t="n">
        <x:f>F655-L655</x:f>
        <x:v>2476.9794</x:v>
      </x:c>
      <x:c r="N655" s="17" t="str"/>
      <x:c r="O655" s="17" t="str">
        <x:v>https://sts2log.com/cards</x:v>
      </x:c>
      <x:c r="P655" s="17" t="str">
        <x:v>https://slaythespire2.net/ancient/tezcatara</x:v>
      </x:c>
    </x:row>
    <x:row r="656" ht="25" customHeight="1">
      <x:c r="A656" s="2" t="str">
        <x:v>v0.111</x:v>
      </x:c>
      <x:c r="B656" s="2" t="str">
        <x:v>静默猎手</x:v>
      </x:c>
      <x:c r="C656" s="2" t="str">
        <x:v>特兹卡塔拉</x:v>
      </x:c>
      <x:c r="D656" s="2" t="str">
        <x:v>美味饼干</x:v>
      </x:c>
      <x:c r="E656" s="16" t="n">
        <x:f>IF(G656=0,I656,IF(G656=1,H656,G656*H656+(1-G656)*I656))</x:f>
        <x:v>0.46190014</x:v>
      </x:c>
      <x:c r="F656" s="12" t="n">
        <x:v>4951</x:v>
      </x:c>
      <x:c r="G656" s="11" t="n">
        <x:v>0.4722</x:v>
      </x:c>
      <x:c r="H656" s="11" t="n">
        <x:v>0.3926</x:v>
      </x:c>
      <x:c r="I656" s="11" t="n">
        <x:v>0.5239</x:v>
      </x:c>
      <x:c r="J656" s="13" t="n">
        <x:f>IF(OR(G656=0,G656=1),"",(H656-I656)*100)</x:f>
        <x:v>-13.130000000000003</x:v>
      </x:c>
      <x:c r="K656" s="14" t="n">
        <x:v>6.71</x:v>
      </x:c>
      <x:c r="L656" s="15" t="n">
        <x:f>F656*G656</x:f>
        <x:v>2337.8622</x:v>
      </x:c>
      <x:c r="M656" s="15" t="n">
        <x:f>F656-L656</x:f>
        <x:v>2613.1378</x:v>
      </x:c>
      <x:c r="N656" s="17" t="str"/>
      <x:c r="O656" s="17" t="str">
        <x:v>https://sts2log.com/cards</x:v>
      </x:c>
      <x:c r="P656" s="17" t="str">
        <x:v>https://slaythespire2.net/ancient/tezcatara</x:v>
      </x:c>
    </x:row>
    <x:row r="657" ht="25" customHeight="1">
      <x:c r="A657" s="2" t="str">
        <x:v>v0.111</x:v>
      </x:c>
      <x:c r="B657" s="2" t="str">
        <x:v>静默猎手</x:v>
      </x:c>
      <x:c r="C657" s="2" t="str">
        <x:v>特兹卡塔拉</x:v>
      </x:c>
      <x:c r="D657" s="2" t="str">
        <x:v>故事书</x:v>
      </x:c>
      <x:c r="E657" s="16" t="n">
        <x:f>IF(G657=0,I657,IF(G657=1,H657,G657*H657+(1-G657)*I657))</x:f>
        <x:v>0.46185088</x:v>
      </x:c>
      <x:c r="F657" s="12" t="n">
        <x:v>4950</x:v>
      </x:c>
      <x:c r="G657" s="11" t="n">
        <x:v>0.2432</x:v>
      </x:c>
      <x:c r="H657" s="11" t="n">
        <x:v>0.47009999999999996</x:v>
      </x:c>
      <x:c r="I657" s="11" t="n">
        <x:v>0.4592</x:v>
      </x:c>
      <x:c r="J657" s="13" t="n">
        <x:f>IF(OR(G657=0,G657=1),"",(H657-I657)*100)</x:f>
        <x:v>1.0899999999999965</x:v>
      </x:c>
      <x:c r="K657" s="14" t="n">
        <x:v>14.46</x:v>
      </x:c>
      <x:c r="L657" s="15" t="n">
        <x:f>F657*G657</x:f>
        <x:v>1203.84</x:v>
      </x:c>
      <x:c r="M657" s="15" t="n">
        <x:f>F657-L657</x:f>
        <x:v>3746.16</x:v>
      </x:c>
      <x:c r="N657" s="17" t="str"/>
      <x:c r="O657" s="17" t="str">
        <x:v>https://sts2log.com/cards</x:v>
      </x:c>
      <x:c r="P657" s="17" t="str">
        <x:v>https://slaythespire2.net/ancient/tezcatara</x:v>
      </x:c>
    </x:row>
    <x:row r="658" ht="25" customHeight="1">
      <x:c r="A658" s="2" t="str">
        <x:v>v0.111</x:v>
      </x:c>
      <x:c r="B658" s="2" t="str">
        <x:v>静默猎手</x:v>
      </x:c>
      <x:c r="C658" s="2" t="str">
        <x:v>诺奴佩普</x:v>
      </x:c>
      <x:c r="D658" s="2" t="str">
        <x:v>艳丽围巾</x:v>
      </x:c>
      <x:c r="E658" s="16" t="n">
        <x:f>IF(G658=0,I658,IF(G658=1,H658,G658*H658+(1-G658)*I658))</x:f>
        <x:v>0.68778103</x:v>
      </x:c>
      <x:c r="F658" s="12" t="n">
        <x:v>3200</x:v>
      </x:c>
      <x:c r="G658" s="11" t="n">
        <x:v>0.4631</x:v>
      </x:c>
      <x:c r="H658" s="11" t="n">
        <x:v>0.7368000000000001</x:v>
      </x:c>
      <x:c r="I658" s="11" t="n">
        <x:v>0.6455</x:v>
      </x:c>
      <x:c r="J658" s="13" t="n">
        <x:f>IF(OR(G658=0,G658=1),"",(H658-I658)*100)</x:f>
        <x:v>9.130000000000017</x:v>
      </x:c>
      <x:c r="K658" s="14" t="n">
        <x:v>41.13</x:v>
      </x:c>
      <x:c r="L658" s="15" t="n">
        <x:f>F658*G658</x:f>
        <x:v>1481.92</x:v>
      </x:c>
      <x:c r="M658" s="15" t="n">
        <x:f>F658-L658</x:f>
        <x:v>1718.08</x:v>
      </x:c>
      <x:c r="N658" s="17" t="str"/>
      <x:c r="O658" s="17" t="str">
        <x:v>https://sts2log.com/cards</x:v>
      </x:c>
      <x:c r="P658" s="17" t="str">
        <x:v>https://slaythespire2.net/ancient/nonupeipe</x:v>
      </x:c>
    </x:row>
    <x:row r="659" ht="25" customHeight="1">
      <x:c r="A659" s="2" t="str">
        <x:v>v0.111</x:v>
      </x:c>
      <x:c r="B659" s="2" t="str">
        <x:v>静默猎手</x:v>
      </x:c>
      <x:c r="C659" s="2" t="str">
        <x:v>诺奴佩普</x:v>
      </x:c>
      <x:c r="D659" s="2" t="str">
        <x:v>图章戒指</x:v>
      </x:c>
      <x:c r="E659" s="16" t="n">
        <x:f>IF(G659=0,I659,IF(G659=1,H659,G659*H659+(1-G659)*I659))</x:f>
        <x:v>0.68727895</x:v>
      </x:c>
      <x:c r="F659" s="12" t="n">
        <x:v>3156</x:v>
      </x:c>
      <x:c r="G659" s="11" t="n">
        <x:v>0.4965</x:v>
      </x:c>
      <x:c r="H659" s="11" t="n">
        <x:v>0.6975</x:v>
      </x:c>
      <x:c r="I659" s="11" t="n">
        <x:v>0.6772</x:v>
      </x:c>
      <x:c r="J659" s="13" t="n">
        <x:f>IF(OR(G659=0,G659=1),"",(H659-I659)*100)</x:f>
        <x:v>2.0299999999999985</x:v>
      </x:c>
      <x:c r="K659" s="14" t="n">
        <x:v>37.2</x:v>
      </x:c>
      <x:c r="L659" s="15" t="n">
        <x:f>F659*G659</x:f>
        <x:v>1566.954</x:v>
      </x:c>
      <x:c r="M659" s="15" t="n">
        <x:f>F659-L659</x:f>
        <x:v>1589.046</x:v>
      </x:c>
      <x:c r="N659" s="17" t="str"/>
      <x:c r="O659" s="17" t="str">
        <x:v>https://sts2log.com/cards</x:v>
      </x:c>
      <x:c r="P659" s="17" t="str">
        <x:v>https://slaythespire2.net/ancient/nonupeipe</x:v>
      </x:c>
    </x:row>
    <x:row r="660" ht="25" customHeight="1">
      <x:c r="A660" s="2" t="str">
        <x:v>v0.111</x:v>
      </x:c>
      <x:c r="B660" s="2" t="str">
        <x:v>静默猎手</x:v>
      </x:c>
      <x:c r="C660" s="2" t="str">
        <x:v>诺奴佩普</x:v>
      </x:c>
      <x:c r="D660" s="2" t="str">
        <x:v>华美手镯</x:v>
      </x:c>
      <x:c r="E660" s="16" t="n">
        <x:f>IF(G660=0,I660,IF(G660=1,H660,G660*H660+(1-G660)*I660))</x:f>
        <x:v>0.6744562</x:v>
      </x:c>
      <x:c r="F660" s="12" t="n">
        <x:v>3176</x:v>
      </x:c>
      <x:c r="G660" s="11" t="n">
        <x:v>0.2692</x:v>
      </x:c>
      <x:c r="H660" s="11" t="n">
        <x:v>0.7099</x:v>
      </x:c>
      <x:c r="I660" s="11" t="n">
        <x:v>0.6614</x:v>
      </x:c>
      <x:c r="J660" s="13" t="n">
        <x:f>IF(OR(G660=0,G660=1),"",(H660-I660)*100)</x:f>
        <x:v>4.849999999999999</x:v>
      </x:c>
      <x:c r="K660" s="14" t="n">
        <x:v>38.44</x:v>
      </x:c>
      <x:c r="L660" s="15" t="n">
        <x:f>F660*G660</x:f>
        <x:v>854.9792</x:v>
      </x:c>
      <x:c r="M660" s="15" t="n">
        <x:f>F660-L660</x:f>
        <x:v>2321.0208000000002</x:v>
      </x:c>
      <x:c r="N660" s="17" t="str"/>
      <x:c r="O660" s="17" t="str">
        <x:v>https://sts2log.com/cards</x:v>
      </x:c>
      <x:c r="P660" s="17" t="str">
        <x:v>https://slaythespire2.net/ancient/nonupeipe</x:v>
      </x:c>
    </x:row>
    <x:row r="661" ht="25" customHeight="1">
      <x:c r="A661" s="2" t="str">
        <x:v>v0.111</x:v>
      </x:c>
      <x:c r="B661" s="2" t="str">
        <x:v>静默猎手</x:v>
      </x:c>
      <x:c r="C661" s="2" t="str">
        <x:v>诺奴佩普</x:v>
      </x:c>
      <x:c r="D661" s="2" t="str">
        <x:v>钻石头冠</x:v>
      </x:c>
      <x:c r="E661" s="16" t="n">
        <x:f>IF(G661=0,I661,IF(G661=1,H661,G661*H661+(1-G661)*I661))</x:f>
        <x:v>0.67118203</x:v>
      </x:c>
      <x:c r="F661" s="12" t="n">
        <x:v>3196</x:v>
      </x:c>
      <x:c r="G661" s="11" t="n">
        <x:v>0.39770000000000005</x:v>
      </x:c>
      <x:c r="H661" s="11" t="n">
        <x:v>0.6916</x:v>
      </x:c>
      <x:c r="I661" s="11" t="n">
        <x:v>0.6577</x:v>
      </x:c>
      <x:c r="J661" s="13" t="n">
        <x:f>IF(OR(G661=0,G661=1),"",(H661-I661)*100)</x:f>
        <x:v>3.390000000000004</x:v>
      </x:c>
      <x:c r="K661" s="14" t="n">
        <x:v>36.61</x:v>
      </x:c>
      <x:c r="L661" s="15" t="n">
        <x:f>F661*G661</x:f>
        <x:v>1271.0492000000002</x:v>
      </x:c>
      <x:c r="M661" s="15" t="n">
        <x:f>F661-L661</x:f>
        <x:v>1924.9507999999998</x:v>
      </x:c>
      <x:c r="N661" s="17" t="str"/>
      <x:c r="O661" s="17" t="str">
        <x:v>https://sts2log.com/cards</x:v>
      </x:c>
      <x:c r="P661" s="17" t="str">
        <x:v>https://slaythespire2.net/ancient/nonupeipe</x:v>
      </x:c>
    </x:row>
    <x:row r="662" ht="25" customHeight="1">
      <x:c r="A662" s="2" t="str">
        <x:v>v0.111</x:v>
      </x:c>
      <x:c r="B662" s="2" t="str">
        <x:v>静默猎手</x:v>
      </x:c>
      <x:c r="C662" s="2" t="str">
        <x:v>诺奴佩普</x:v>
      </x:c>
      <x:c r="D662" s="2" t="str">
        <x:v>珠宝盒</x:v>
      </x:c>
      <x:c r="E662" s="16" t="n">
        <x:f>IF(G662=0,I662,IF(G662=1,H662,G662*H662+(1-G662)*I662))</x:f>
        <x:v>0.66909168</x:v>
      </x:c>
      <x:c r="F662" s="12" t="n">
        <x:v>3167</x:v>
      </x:c>
      <x:c r="G662" s="11" t="n">
        <x:v>0.3098</x:v>
      </x:c>
      <x:c r="H662" s="11" t="n">
        <x:v>0.684</x:v>
      </x:c>
      <x:c r="I662" s="11" t="n">
        <x:v>0.6624</x:v>
      </x:c>
      <x:c r="J662" s="13" t="n">
        <x:f>IF(OR(G662=0,G662=1),"",(H662-I662)*100)</x:f>
        <x:v>2.1600000000000064</x:v>
      </x:c>
      <x:c r="K662" s="14" t="n">
        <x:v>35.85</x:v>
      </x:c>
      <x:c r="L662" s="15" t="n">
        <x:f>F662*G662</x:f>
        <x:v>981.1366</x:v>
      </x:c>
      <x:c r="M662" s="15" t="n">
        <x:f>F662-L662</x:f>
        <x:v>2185.8634</x:v>
      </x:c>
      <x:c r="N662" s="17" t="str"/>
      <x:c r="O662" s="17" t="str">
        <x:v>https://sts2log.com/cards</x:v>
      </x:c>
      <x:c r="P662" s="17" t="str">
        <x:v>https://slaythespire2.net/ancient/nonupeipe</x:v>
      </x:c>
    </x:row>
    <x:row r="663" ht="25" customHeight="1">
      <x:c r="A663" s="2" t="str">
        <x:v>v0.111</x:v>
      </x:c>
      <x:c r="B663" s="2" t="str">
        <x:v>静默猎手</x:v>
      </x:c>
      <x:c r="C663" s="2" t="str">
        <x:v>诺奴佩普</x:v>
      </x:c>
      <x:c r="D663" s="2" t="str">
        <x:v>亮片</x:v>
      </x:c>
      <x:c r="E663" s="16" t="n">
        <x:f>IF(G663=0,I663,IF(G663=1,H663,G663*H663+(1-G663)*I663))</x:f>
        <x:v>0.6628328</x:v>
      </x:c>
      <x:c r="F663" s="12" t="n">
        <x:v>3138</x:v>
      </x:c>
      <x:c r="G663" s="11" t="n">
        <x:v>0.456</x:v>
      </x:c>
      <x:c r="H663" s="11" t="n">
        <x:v>0.6513</x:v>
      </x:c>
      <x:c r="I663" s="11" t="n">
        <x:v>0.6725</x:v>
      </x:c>
      <x:c r="J663" s="13" t="n">
        <x:f>IF(OR(G663=0,G663=1),"",(H663-I663)*100)</x:f>
        <x:v>-2.1199999999999997</x:v>
      </x:c>
      <x:c r="K663" s="14" t="n">
        <x:v>32.58</x:v>
      </x:c>
      <x:c r="L663" s="15" t="n">
        <x:f>F663*G663</x:f>
        <x:v>1430.928</x:v>
      </x:c>
      <x:c r="M663" s="15" t="n">
        <x:f>F663-L663</x:f>
        <x:v>1707.072</x:v>
      </x:c>
      <x:c r="N663" s="17" t="str"/>
      <x:c r="O663" s="17" t="str">
        <x:v>https://sts2log.com/cards</x:v>
      </x:c>
      <x:c r="P663" s="17" t="str">
        <x:v>https://slaythespire2.net/ancient/nonupeipe</x:v>
      </x:c>
    </x:row>
    <x:row r="664" ht="25" customHeight="1">
      <x:c r="A664" s="2" t="str">
        <x:v>v0.111</x:v>
      </x:c>
      <x:c r="B664" s="2" t="str">
        <x:v>静默猎手</x:v>
      </x:c>
      <x:c r="C664" s="2" t="str">
        <x:v>诺奴佩普</x:v>
      </x:c>
      <x:c r="D664" s="2" t="str">
        <x:v>娇嫩蕨草</x:v>
      </x:c>
      <x:c r="E664" s="16" t="n">
        <x:f>IF(G664=0,I664,IF(G664=1,H664,G664*H664+(1-G664)*I664))</x:f>
        <x:v>0.6590075</x:v>
      </x:c>
      <x:c r="F664" s="12" t="n">
        <x:v>3120</x:v>
      </x:c>
      <x:c r="G664" s="11" t="n">
        <x:v>0.1442</x:v>
      </x:c>
      <x:c r="H664" s="11" t="n">
        <x:v>0.6911</x:v>
      </x:c>
      <x:c r="I664" s="11" t="n">
        <x:v>0.6536</x:v>
      </x:c>
      <x:c r="J664" s="13" t="n">
        <x:f>IF(OR(G664=0,G664=1),"",(H664-I664)*100)</x:f>
        <x:v>3.750000000000009</x:v>
      </x:c>
      <x:c r="K664" s="14" t="n">
        <x:v>36.56</x:v>
      </x:c>
      <x:c r="L664" s="15" t="n">
        <x:f>F664*G664</x:f>
        <x:v>449.904</x:v>
      </x:c>
      <x:c r="M664" s="15" t="n">
        <x:f>F664-L664</x:f>
        <x:v>2670.096</x:v>
      </x:c>
      <x:c r="N664" s="17" t="str"/>
      <x:c r="O664" s="17" t="str">
        <x:v>https://sts2log.com/cards</x:v>
      </x:c>
      <x:c r="P664" s="17" t="str">
        <x:v>https://slaythespire2.net/ancient/nonupeipe</x:v>
      </x:c>
    </x:row>
    <x:row r="665" ht="25" customHeight="1">
      <x:c r="A665" s="2" t="str">
        <x:v>v0.111</x:v>
      </x:c>
      <x:c r="B665" s="2" t="str">
        <x:v>静默猎手</x:v>
      </x:c>
      <x:c r="C665" s="2" t="str">
        <x:v>诺奴佩普</x:v>
      </x:c>
      <x:c r="D665" s="2" t="str">
        <x:v>布质果实</x:v>
      </x:c>
      <x:c r="E665" s="16" t="n">
        <x:f>IF(G665=0,I665,IF(G665=1,H665,G665*H665+(1-G665)*I665))</x:f>
        <x:v>0.653315</x:v>
      </x:c>
      <x:c r="F665" s="12" t="n">
        <x:v>3176</x:v>
      </x:c>
      <x:c r="G665" s="11" t="n">
        <x:v>0.21</x:v>
      </x:c>
      <x:c r="H665" s="11" t="n">
        <x:v>0.6386999999999999</x:v>
      </x:c>
      <x:c r="I665" s="11" t="n">
        <x:v>0.6572</x:v>
      </x:c>
      <x:c r="J665" s="13" t="n">
        <x:f>IF(OR(G665=0,G665=1),"",(H665-I665)*100)</x:f>
        <x:v>-1.8500000000000072</x:v>
      </x:c>
      <x:c r="K665" s="14" t="n">
        <x:v>31.32</x:v>
      </x:c>
      <x:c r="L665" s="15" t="n">
        <x:f>F665*G665</x:f>
        <x:v>666.9599999999999</x:v>
      </x:c>
      <x:c r="M665" s="15" t="n">
        <x:f>F665-L665</x:f>
        <x:v>2509.04</x:v>
      </x:c>
      <x:c r="N665" s="17" t="str"/>
      <x:c r="O665" s="17" t="str">
        <x:v>https://sts2log.com/cards</x:v>
      </x:c>
      <x:c r="P665" s="17" t="str">
        <x:v>https://slaythespire2.net/ancient/nonupeipe</x:v>
      </x:c>
    </x:row>
    <x:row r="666" ht="25" customHeight="1">
      <x:c r="A666" s="2" t="str">
        <x:v>v0.111</x:v>
      </x:c>
      <x:c r="B666" s="2" t="str">
        <x:v>静默猎手</x:v>
      </x:c>
      <x:c r="C666" s="2" t="str">
        <x:v>诺奴佩普</x:v>
      </x:c>
      <x:c r="D666" s="2" t="str">
        <x:v>皮草大衣</x:v>
      </x:c>
      <x:c r="E666" s="16" t="n">
        <x:f>IF(G666=0,I666,IF(G666=1,H666,G666*H666+(1-G666)*I666))</x:f>
        <x:v>0.6445219900000001</x:v>
      </x:c>
      <x:c r="F666" s="12" t="n">
        <x:v>3131</x:v>
      </x:c>
      <x:c r="G666" s="11" t="n">
        <x:v>0.2849</x:v>
      </x:c>
      <x:c r="H666" s="11" t="n">
        <x:v>0.5123</x:v>
      </x:c>
      <x:c r="I666" s="11" t="n">
        <x:v>0.6972</x:v>
      </x:c>
      <x:c r="J666" s="13" t="n">
        <x:f>IF(OR(G666=0,G666=1),"",(H666-I666)*100)</x:f>
        <x:v>-18.490000000000006</x:v>
      </x:c>
      <x:c r="K666" s="14" t="n">
        <x:v>18.68</x:v>
      </x:c>
      <x:c r="L666" s="15" t="n">
        <x:f>F666*G666</x:f>
        <x:v>892.0219</x:v>
      </x:c>
      <x:c r="M666" s="15" t="n">
        <x:f>F666-L666</x:f>
        <x:v>2238.9781000000003</x:v>
      </x:c>
      <x:c r="N666" s="17" t="str"/>
      <x:c r="O666" s="17" t="str">
        <x:v>https://sts2log.com/cards</x:v>
      </x:c>
      <x:c r="P666" s="17" t="str">
        <x:v>https://slaythespire2.net/ancient/nonupeipe</x:v>
      </x:c>
    </x:row>
    <x:row r="667" ht="25" customHeight="1">
      <x:c r="A667" s="2" t="str">
        <x:v>v0.111</x:v>
      </x:c>
      <x:c r="B667" s="2" t="str">
        <x:v>静默猎手</x:v>
      </x:c>
      <x:c r="C667" s="2" t="str">
        <x:v>诺奴佩普</x:v>
      </x:c>
      <x:c r="D667" s="2" t="str">
        <x:v>赐福鹿角</x:v>
      </x:c>
      <x:c r="E667" s="16" t="n">
        <x:f>IF(G667=0,I667,IF(G667=1,H667,G667*H667+(1-G667)*I667))</x:f>
        <x:v>0.6350328999999999</x:v>
      </x:c>
      <x:c r="F667" s="12" t="n">
        <x:v>3236</x:v>
      </x:c>
      <x:c r="G667" s="11" t="n">
        <x:v>0.2942</x:v>
      </x:c>
      <x:c r="H667" s="11" t="n">
        <x:v>0.5640999999999999</x:v>
      </x:c>
      <x:c r="I667" s="11" t="n">
        <x:v>0.6646</x:v>
      </x:c>
      <x:c r="J667" s="13" t="n">
        <x:f>IF(OR(G667=0,G667=1),"",(H667-I667)*100)</x:f>
        <x:v>-10.050000000000004</x:v>
      </x:c>
      <x:c r="K667" s="14" t="n">
        <x:v>23.86</x:v>
      </x:c>
      <x:c r="L667" s="15" t="n">
        <x:f>F667*G667</x:f>
        <x:v>952.0312</x:v>
      </x:c>
      <x:c r="M667" s="15" t="n">
        <x:f>F667-L667</x:f>
        <x:v>2283.9688</x:v>
      </x:c>
      <x:c r="N667" s="17" t="str"/>
      <x:c r="O667" s="17" t="str">
        <x:v>https://sts2log.com/cards</x:v>
      </x:c>
      <x:c r="P667" s="17" t="str">
        <x:v>https://slaythespire2.net/ancient/nonupeipe</x:v>
      </x:c>
    </x:row>
    <x:row r="668" ht="25" customHeight="1">
      <x:c r="A668" s="2" t="str">
        <x:v>v0.111</x:v>
      </x:c>
      <x:c r="B668" s="2" t="str">
        <x:v>静默猎手</x:v>
      </x:c>
      <x:c r="C668" s="2" t="str">
        <x:v>坦克斯</x:v>
      </x:c>
      <x:c r="D668" s="2" t="str">
        <x:v>钗</x:v>
      </x:c>
      <x:c r="E668" s="16" t="n">
        <x:f>IF(G668=0,I668,IF(G668=1,H668,G668*H668+(1-G668)*I668))</x:f>
        <x:v>0.7128048200000001</x:v>
      </x:c>
      <x:c r="F668" s="12" t="n">
        <x:v>3193</x:v>
      </x:c>
      <x:c r="G668" s="11" t="n">
        <x:v>0.5431</x:v>
      </x:c>
      <x:c r="H668" s="11" t="n">
        <x:v>0.7595000000000001</x:v>
      </x:c>
      <x:c r="I668" s="11" t="n">
        <x:v>0.6573</x:v>
      </x:c>
      <x:c r="J668" s="13" t="n">
        <x:f>IF(OR(G668=0,G668=1),"",(H668-I668)*100)</x:f>
        <x:v>10.220000000000006</x:v>
      </x:c>
      <x:c r="K668" s="14" t="n">
        <x:v>43.4</x:v>
      </x:c>
      <x:c r="L668" s="15" t="n">
        <x:f>F668*G668</x:f>
        <x:v>1734.1183</x:v>
      </x:c>
      <x:c r="M668" s="15" t="n">
        <x:f>F668-L668</x:f>
        <x:v>1458.8817</x:v>
      </x:c>
      <x:c r="N668" s="17" t="str"/>
      <x:c r="O668" s="17" t="str">
        <x:v>https://sts2log.com/cards</x:v>
      </x:c>
      <x:c r="P668" s="17" t="str">
        <x:v>https://slaythespire2.net/ancient/tanx</x:v>
      </x:c>
    </x:row>
    <x:row r="669" ht="25" customHeight="1">
      <x:c r="A669" s="2" t="str">
        <x:v>v0.111</x:v>
      </x:c>
      <x:c r="B669" s="2" t="str">
        <x:v>静默猎手</x:v>
      </x:c>
      <x:c r="C669" s="2" t="str">
        <x:v>坦克斯</x:v>
      </x:c>
      <x:c r="D669" s="2" t="str">
        <x:v>铁棒</x:v>
      </x:c>
      <x:c r="E669" s="16" t="n">
        <x:f>IF(G669=0,I669,IF(G669=1,H669,G669*H669+(1-G669)*I669))</x:f>
        <x:v>0.7121562799999999</x:v>
      </x:c>
      <x:c r="F669" s="12" t="n">
        <x:v>3252</x:v>
      </x:c>
      <x:c r="G669" s="11" t="n">
        <x:v>0.6036</x:v>
      </x:c>
      <x:c r="H669" s="11" t="n">
        <x:v>0.7646</x:v>
      </x:c>
      <x:c r="I669" s="11" t="n">
        <x:v>0.6323</x:v>
      </x:c>
      <x:c r="J669" s="13" t="n">
        <x:f>IF(OR(G669=0,G669=1),"",(H669-I669)*100)</x:f>
        <x:v>13.229999999999997</x:v>
      </x:c>
      <x:c r="K669" s="14" t="n">
        <x:v>43.91</x:v>
      </x:c>
      <x:c r="L669" s="15" t="n">
        <x:f>F669*G669</x:f>
        <x:v>1962.9072</x:v>
      </x:c>
      <x:c r="M669" s="15" t="n">
        <x:f>F669-L669</x:f>
        <x:v>1289.0928</x:v>
      </x:c>
      <x:c r="N669" s="17" t="str"/>
      <x:c r="O669" s="17" t="str">
        <x:v>https://sts2log.com/cards</x:v>
      </x:c>
      <x:c r="P669" s="17" t="str">
        <x:v>https://slaythespire2.net/ancient/tanx</x:v>
      </x:c>
    </x:row>
    <x:row r="670" ht="25" customHeight="1">
      <x:c r="A670" s="2" t="str">
        <x:v>v0.111</x:v>
      </x:c>
      <x:c r="B670" s="2" t="str">
        <x:v>静默猎手</x:v>
      </x:c>
      <x:c r="C670" s="2" t="str">
        <x:v>坦克斯</x:v>
      </x:c>
      <x:c r="D670" s="2" t="str">
        <x:v>十字弓</x:v>
      </x:c>
      <x:c r="E670" s="16" t="n">
        <x:f>IF(G670=0,I670,IF(G670=1,H670,G670*H670+(1-G670)*I670))</x:f>
        <x:v>0.6836615500000001</x:v>
      </x:c>
      <x:c r="F670" s="12" t="n">
        <x:v>3117</x:v>
      </x:c>
      <x:c r="G670" s="11" t="n">
        <x:v>0.09949999999999999</x:v>
      </x:c>
      <x:c r="H670" s="11" t="n">
        <x:v>0.5548</x:v>
      </x:c>
      <x:c r="I670" s="11" t="n">
        <x:v>0.6979000000000001</x:v>
      </x:c>
      <x:c r="J670" s="13" t="n">
        <x:f>IF(OR(G670=0,G670=1),"",(H670-I670)*100)</x:f>
        <x:v>-14.310000000000011</x:v>
      </x:c>
      <x:c r="K670" s="14" t="n">
        <x:v>22.93</x:v>
      </x:c>
      <x:c r="L670" s="15" t="n">
        <x:f>F670*G670</x:f>
        <x:v>310.14149999999995</x:v>
      </x:c>
      <x:c r="M670" s="15" t="n">
        <x:f>F670-L670</x:f>
        <x:v>2806.8585000000003</x:v>
      </x:c>
      <x:c r="N670" s="17" t="str"/>
      <x:c r="O670" s="17" t="str">
        <x:v>https://sts2log.com/cards</x:v>
      </x:c>
      <x:c r="P670" s="17" t="str">
        <x:v>https://slaythespire2.net/ancient/tanx</x:v>
      </x:c>
    </x:row>
    <x:row r="671" ht="25" customHeight="1">
      <x:c r="A671" s="2" t="str">
        <x:v>v0.111</x:v>
      </x:c>
      <x:c r="B671" s="2" t="str">
        <x:v>静默猎手</x:v>
      </x:c>
      <x:c r="C671" s="2" t="str">
        <x:v>坦克斯</x:v>
      </x:c>
      <x:c r="D671" s="2" t="str">
        <x:v>坦克斯的哨子</x:v>
      </x:c>
      <x:c r="E671" s="16" t="n">
        <x:f>IF(G671=0,I671,IF(G671=1,H671,G671*H671+(1-G671)*I671))</x:f>
        <x:v>0.6822238</x:v>
      </x:c>
      <x:c r="F671" s="12" t="n">
        <x:v>3112</x:v>
      </x:c>
      <x:c r="G671" s="11" t="n">
        <x:v>0.25670000000000004</x:v>
      </x:c>
      <x:c r="H671" s="11" t="n">
        <x:v>0.6183</x:v>
      </x:c>
      <x:c r="I671" s="11" t="n">
        <x:v>0.7043</x:v>
      </x:c>
      <x:c r="J671" s="13" t="n">
        <x:f>IF(OR(G671=0,G671=1),"",(H671-I671)*100)</x:f>
        <x:v>-8.600000000000009</x:v>
      </x:c>
      <x:c r="K671" s="14" t="n">
        <x:v>29.28</x:v>
      </x:c>
      <x:c r="L671" s="15" t="n">
        <x:f>F671*G671</x:f>
        <x:v>798.8504000000001</x:v>
      </x:c>
      <x:c r="M671" s="15" t="n">
        <x:f>F671-L671</x:f>
        <x:v>2313.1495999999997</x:v>
      </x:c>
      <x:c r="N671" s="17" t="str"/>
      <x:c r="O671" s="17" t="str">
        <x:v>https://sts2log.com/cards</x:v>
      </x:c>
      <x:c r="P671" s="17" t="str">
        <x:v>https://slaythespire2.net/ancient/tanx</x:v>
      </x:c>
    </x:row>
    <x:row r="672" ht="25" customHeight="1">
      <x:c r="A672" s="2" t="str">
        <x:v>v0.111</x:v>
      </x:c>
      <x:c r="B672" s="2" t="str">
        <x:v>静默猎手</x:v>
      </x:c>
      <x:c r="C672" s="2" t="str">
        <x:v>坦克斯</x:v>
      </x:c>
      <x:c r="D672" s="2" t="str">
        <x:v>切肉刀</x:v>
      </x:c>
      <x:c r="E672" s="16" t="n">
        <x:f>IF(G672=0,I672,IF(G672=1,H672,G672*H672+(1-G672)*I672))</x:f>
        <x:v>0.6642080000000001</x:v>
      </x:c>
      <x:c r="F672" s="12" t="n">
        <x:v>3201</x:v>
      </x:c>
      <x:c r="G672" s="11" t="n">
        <x:v>0.5576</x:v>
      </x:c>
      <x:c r="H672" s="11" t="n">
        <x:v>0.6443000000000001</x:v>
      </x:c>
      <x:c r="I672" s="11" t="n">
        <x:v>0.6893</x:v>
      </x:c>
      <x:c r="J672" s="13" t="n">
        <x:f>IF(OR(G672=0,G672=1),"",(H672-I672)*100)</x:f>
        <x:v>-4.499999999999993</x:v>
      </x:c>
      <x:c r="K672" s="14" t="n">
        <x:v>31.88</x:v>
      </x:c>
      <x:c r="L672" s="15" t="n">
        <x:f>F672*G672</x:f>
        <x:v>1784.8776</x:v>
      </x:c>
      <x:c r="M672" s="15" t="n">
        <x:f>F672-L672</x:f>
        <x:v>1416.1224</x:v>
      </x:c>
      <x:c r="N672" s="17" t="str"/>
      <x:c r="O672" s="17" t="str">
        <x:v>https://sts2log.com/cards</x:v>
      </x:c>
      <x:c r="P672" s="17" t="str">
        <x:v>https://slaythespire2.net/ancient/tanx</x:v>
      </x:c>
    </x:row>
    <x:row r="673" ht="25" customHeight="1">
      <x:c r="A673" s="2" t="str">
        <x:v>v0.111</x:v>
      </x:c>
      <x:c r="B673" s="2" t="str">
        <x:v>静默猎手</x:v>
      </x:c>
      <x:c r="C673" s="2" t="str">
        <x:v>坦克斯</x:v>
      </x:c>
      <x:c r="D673" s="2" t="str">
        <x:v>投斧</x:v>
      </x:c>
      <x:c r="E673" s="16" t="n">
        <x:f>IF(G673=0,I673,IF(G673=1,H673,G673*H673+(1-G673)*I673))</x:f>
        <x:v>0.6617285700000001</x:v>
      </x:c>
      <x:c r="F673" s="12" t="n">
        <x:v>3166</x:v>
      </x:c>
      <x:c r="G673" s="11" t="n">
        <x:v>0.5313</x:v>
      </x:c>
      <x:c r="H673" s="11" t="n">
        <x:v>0.6659</x:v>
      </x:c>
      <x:c r="I673" s="11" t="n">
        <x:v>0.657</x:v>
      </x:c>
      <x:c r="J673" s="13" t="n">
        <x:f>IF(OR(G673=0,G673=1),"",(H673-I673)*100)</x:f>
        <x:v>0.8900000000000019</x:v>
      </x:c>
      <x:c r="K673" s="14" t="n">
        <x:v>34.04</x:v>
      </x:c>
      <x:c r="L673" s="15" t="n">
        <x:f>F673*G673</x:f>
        <x:v>1682.0958</x:v>
      </x:c>
      <x:c r="M673" s="15" t="n">
        <x:f>F673-L673</x:f>
        <x:v>1483.9042</x:v>
      </x:c>
      <x:c r="N673" s="17" t="str"/>
      <x:c r="O673" s="17" t="str">
        <x:v>https://sts2log.com/cards</x:v>
      </x:c>
      <x:c r="P673" s="17" t="str">
        <x:v>https://slaythespire2.net/ancient/tanx</x:v>
      </x:c>
    </x:row>
    <x:row r="674" ht="25" customHeight="1">
      <x:c r="A674" s="2" t="str">
        <x:v>v0.111</x:v>
      </x:c>
      <x:c r="B674" s="2" t="str">
        <x:v>静默猎手</x:v>
      </x:c>
      <x:c r="C674" s="2" t="str">
        <x:v>坦克斯</x:v>
      </x:c>
      <x:c r="D674" s="2" t="str">
        <x:v>带刺手甲</x:v>
      </x:c>
      <x:c r="E674" s="16" t="n">
        <x:f>IF(G674=0,I674,IF(G674=1,H674,G674*H674+(1-G674)*I674))</x:f>
        <x:v>0.66089978</x:v>
      </x:c>
      <x:c r="F674" s="12" t="n">
        <x:v>3179</x:v>
      </x:c>
      <x:c r="G674" s="11" t="n">
        <x:v>0.1598</x:v>
      </x:c>
      <x:c r="H674" s="11" t="n">
        <x:v>0.561</x:v>
      </x:c>
      <x:c r="I674" s="11" t="n">
        <x:v>0.6799</x:v>
      </x:c>
      <x:c r="J674" s="13" t="n">
        <x:f>IF(OR(G674=0,G674=1),"",(H674-I674)*100)</x:f>
        <x:v>-11.88999999999999</x:v>
      </x:c>
      <x:c r="K674" s="14" t="n">
        <x:v>23.55</x:v>
      </x:c>
      <x:c r="L674" s="15" t="n">
        <x:f>F674*G674</x:f>
        <x:v>508.00419999999997</x:v>
      </x:c>
      <x:c r="M674" s="15" t="n">
        <x:f>F674-L674</x:f>
        <x:v>2670.9958</x:v>
      </x:c>
      <x:c r="N674" s="17" t="str"/>
      <x:c r="O674" s="17" t="str">
        <x:v>https://sts2log.com/cards</x:v>
      </x:c>
      <x:c r="P674" s="17" t="str">
        <x:v>https://slaythespire2.net/ancient/tanx</x:v>
      </x:c>
    </x:row>
    <x:row r="675" ht="25" customHeight="1">
      <x:c r="A675" s="2" t="str">
        <x:v>v0.111</x:v>
      </x:c>
      <x:c r="B675" s="2" t="str">
        <x:v>静默猎手</x:v>
      </x:c>
      <x:c r="C675" s="2" t="str">
        <x:v>坦克斯</x:v>
      </x:c>
      <x:c r="D675" s="2" t="str">
        <x:v>战锤</x:v>
      </x:c>
      <x:c r="E675" s="16" t="n">
        <x:f>IF(G675=0,I675,IF(G675=1,H675,G675*H675+(1-G675)*I675))</x:f>
        <x:v>0.6592647599999999</x:v>
      </x:c>
      <x:c r="F675" s="12" t="n">
        <x:v>3184</x:v>
      </x:c>
      <x:c r="G675" s="11" t="n">
        <x:v>0.2754</x:v>
      </x:c>
      <x:c r="H675" s="11" t="n">
        <x:v>0.6225999999999999</x:v>
      </x:c>
      <x:c r="I675" s="11" t="n">
        <x:v>0.6731999999999999</x:v>
      </x:c>
      <x:c r="J675" s="13" t="n">
        <x:f>IF(OR(G675=0,G675=1),"",(H675-I675)*100)</x:f>
        <x:v>-5.059999999999998</x:v>
      </x:c>
      <x:c r="K675" s="14" t="n">
        <x:v>29.71</x:v>
      </x:c>
      <x:c r="L675" s="15" t="n">
        <x:f>F675*G675</x:f>
        <x:v>876.8735999999999</x:v>
      </x:c>
      <x:c r="M675" s="15" t="n">
        <x:f>F675-L675</x:f>
        <x:v>2307.1264</x:v>
      </x:c>
      <x:c r="N675" s="17" t="str"/>
      <x:c r="O675" s="17" t="str">
        <x:v>https://sts2log.com/cards</x:v>
      </x:c>
      <x:c r="P675" s="17" t="str">
        <x:v>https://slaythespire2.net/ancient/tanx</x:v>
      </x:c>
    </x:row>
    <x:row r="676" ht="25" customHeight="1">
      <x:c r="A676" s="2" t="str">
        <x:v>v0.111</x:v>
      </x:c>
      <x:c r="B676" s="2" t="str">
        <x:v>静默猎手</x:v>
      </x:c>
      <x:c r="C676" s="2" t="str">
        <x:v>坦克斯</x:v>
      </x:c>
      <x:c r="D676" s="2" t="str">
        <x:v>利爪</x:v>
      </x:c>
      <x:c r="E676" s="16" t="n">
        <x:f>IF(G676=0,I676,IF(G676=1,H676,G676*H676+(1-G676)*I676))</x:f>
        <x:v>0.6559959999999999</x:v>
      </x:c>
      <x:c r="F676" s="12" t="n">
        <x:v>3241</x:v>
      </x:c>
      <x:c r="G676" s="11" t="n">
        <x:v>0.1808</x:v>
      </x:c>
      <x:c r="H676" s="11" t="n">
        <x:v>0.6007</x:v>
      </x:c>
      <x:c r="I676" s="11" t="n">
        <x:v>0.6681999999999999</x:v>
      </x:c>
      <x:c r="J676" s="13" t="n">
        <x:f>IF(OR(G676=0,G676=1),"",(H676-I676)*100)</x:f>
        <x:v>-6.749999999999989</x:v>
      </x:c>
      <x:c r="K676" s="14" t="n">
        <x:v>27.52</x:v>
      </x:c>
      <x:c r="L676" s="15" t="n">
        <x:f>F676*G676</x:f>
        <x:v>585.9728</x:v>
      </x:c>
      <x:c r="M676" s="15" t="n">
        <x:f>F676-L676</x:f>
        <x:v>2655.0272</x:v>
      </x:c>
      <x:c r="N676" s="17" t="str"/>
      <x:c r="O676" s="17" t="str">
        <x:v>https://sts2log.com/cards</x:v>
      </x:c>
      <x:c r="P676" s="17" t="str">
        <x:v>https://slaythespire2.net/ancient/tanx</x:v>
      </x:c>
    </x:row>
    <x:row r="677" ht="25" customHeight="1">
      <x:c r="A677" s="2" t="str">
        <x:v>v0.111</x:v>
      </x:c>
      <x:c r="B677" s="2" t="str">
        <x:v>静默猎手</x:v>
      </x:c>
      <x:c r="C677" s="2" t="str">
        <x:v>坦克斯</x:v>
      </x:c>
      <x:c r="D677" s="2" t="str">
        <x:v>三刃回旋镖</x:v>
      </x:c>
      <x:c r="E677" s="16" t="n">
        <x:f>IF(G677=0,I677,IF(G677=1,H677,G677*H677+(1-G677)*I677))</x:f>
        <x:v>0.64964525</x:v>
      </x:c>
      <x:c r="F677" s="12" t="n">
        <x:v>3074</x:v>
      </x:c>
      <x:c r="G677" s="11" t="n">
        <x:v>0.1025</x:v>
      </x:c>
      <x:c r="H677" s="11" t="n">
        <x:v>0.5905</x:v>
      </x:c>
      <x:c r="I677" s="11" t="n">
        <x:v>0.6564</x:v>
      </x:c>
      <x:c r="J677" s="13" t="n">
        <x:f>IF(OR(G677=0,G677=1),"",(H677-I677)*100)</x:f>
        <x:v>-6.589999999999996</x:v>
      </x:c>
      <x:c r="K677" s="14" t="n">
        <x:v>26.5</x:v>
      </x:c>
      <x:c r="L677" s="15" t="n">
        <x:f>F677*G677</x:f>
        <x:v>315.085</x:v>
      </x:c>
      <x:c r="M677" s="15" t="n">
        <x:f>F677-L677</x:f>
        <x:v>2758.915</x:v>
      </x:c>
      <x:c r="N677" s="17" t="str"/>
      <x:c r="O677" s="17" t="str">
        <x:v>https://sts2log.com/cards</x:v>
      </x:c>
      <x:c r="P677" s="17" t="str">
        <x:v>https://slaythespire2.net/ancient/tanx</x:v>
      </x:c>
    </x:row>
    <x:row r="678" ht="25" customHeight="1">
      <x:c r="A678" s="2" t="str">
        <x:v>v0.111</x:v>
      </x:c>
      <x:c r="B678" s="2" t="str">
        <x:v>静默猎手</x:v>
      </x:c>
      <x:c r="C678" s="2" t="str">
        <x:v>瓦库</x:v>
      </x:c>
      <x:c r="D678" s="2" t="str">
        <x:v>小提琴</x:v>
      </x:c>
      <x:c r="E678" s="16" t="n">
        <x:f>IF(G678=0,I678,IF(G678=1,H678,G678*H678+(1-G678)*I678))</x:f>
        <x:v>0.63669504</x:v>
      </x:c>
      <x:c r="F678" s="12" t="n">
        <x:v>3523</x:v>
      </x:c>
      <x:c r="G678" s="11" t="n">
        <x:v>0.1859</x:v>
      </x:c>
      <x:c r="H678" s="11" t="n">
        <x:v>0.6901</x:v>
      </x:c>
      <x:c r="I678" s="11" t="n">
        <x:v>0.6245</x:v>
      </x:c>
      <x:c r="J678" s="13" t="n">
        <x:f>IF(OR(G678=0,G678=1),"",(H678-I678)*100)</x:f>
        <x:v>6.559999999999999</x:v>
      </x:c>
      <x:c r="K678" s="14" t="n">
        <x:v>36.46</x:v>
      </x:c>
      <x:c r="L678" s="15" t="n">
        <x:f>F678*G678</x:f>
        <x:v>654.9257</x:v>
      </x:c>
      <x:c r="M678" s="15" t="n">
        <x:f>F678-L678</x:f>
        <x:v>2868.0743</x:v>
      </x:c>
      <x:c r="N678" s="17" t="str"/>
      <x:c r="O678" s="17" t="str">
        <x:v>https://sts2log.com/cards</x:v>
      </x:c>
      <x:c r="P678" s="17" t="str">
        <x:v>https://slaythespire2.net/ancient/vakuu</x:v>
      </x:c>
    </x:row>
    <x:row r="679" ht="25" customHeight="1">
      <x:c r="A679" s="2" t="str">
        <x:v>v0.111</x:v>
      </x:c>
      <x:c r="B679" s="2" t="str">
        <x:v>静默猎手</x:v>
      </x:c>
      <x:c r="C679" s="2" t="str">
        <x:v>瓦库</x:v>
      </x:c>
      <x:c r="D679" s="2" t="str">
        <x:v>腌制活雾</x:v>
      </x:c>
      <x:c r="E679" s="16" t="n">
        <x:f>IF(G679=0,I679,IF(G679=1,H679,G679*H679+(1-G679)*I679))</x:f>
        <x:v>0.6339836999999999</x:v>
      </x:c>
      <x:c r="F679" s="12" t="n">
        <x:v>3412</x:v>
      </x:c>
      <x:c r="G679" s="11" t="n">
        <x:v>0.6629999999999999</x:v>
      </x:c>
      <x:c r="H679" s="11" t="n">
        <x:v>0.6507999999999999</x:v>
      </x:c>
      <x:c r="I679" s="11" t="n">
        <x:v>0.6009</x:v>
      </x:c>
      <x:c r="J679" s="13" t="n">
        <x:f>IF(OR(G679=0,G679=1),"",(H679-I679)*100)</x:f>
        <x:v>4.989999999999995</x:v>
      </x:c>
      <x:c r="K679" s="14" t="n">
        <x:v>32.53</x:v>
      </x:c>
      <x:c r="L679" s="15" t="n">
        <x:f>F679*G679</x:f>
        <x:v>2262.156</x:v>
      </x:c>
      <x:c r="M679" s="15" t="n">
        <x:f>F679-L679</x:f>
        <x:v>1149.844</x:v>
      </x:c>
      <x:c r="N679" s="17" t="str"/>
      <x:c r="O679" s="17" t="str">
        <x:v>https://sts2log.com/cards</x:v>
      </x:c>
      <x:c r="P679" s="17" t="str">
        <x:v>https://slaythespire2.net/ancient/vakuu</x:v>
      </x:c>
    </x:row>
    <x:row r="680" ht="25" customHeight="1">
      <x:c r="A680" s="2" t="str">
        <x:v>v0.111</x:v>
      </x:c>
      <x:c r="B680" s="2" t="str">
        <x:v>静默猎手</x:v>
      </x:c>
      <x:c r="C680" s="2" t="str">
        <x:v>瓦库</x:v>
      </x:c>
      <x:c r="D680" s="2" t="str">
        <x:v>宝石面具</x:v>
      </x:c>
      <x:c r="E680" s="16" t="n">
        <x:f>IF(G680=0,I680,IF(G680=1,H680,G680*H680+(1-G680)*I680))</x:f>
        <x:v>0.62960189</x:v>
      </x:c>
      <x:c r="F680" s="12" t="n">
        <x:v>2562</x:v>
      </x:c>
      <x:c r="G680" s="11" t="n">
        <x:v>0.7201000000000001</x:v>
      </x:c>
      <x:c r="H680" s="11" t="n">
        <x:v>0.6125</x:v>
      </x:c>
      <x:c r="I680" s="11" t="n">
        <x:v>0.6736</x:v>
      </x:c>
      <x:c r="J680" s="13" t="n">
        <x:f>IF(OR(G680=0,G680=1),"",(H680-I680)*100)</x:f>
        <x:v>-6.109999999999993</x:v>
      </x:c>
      <x:c r="K680" s="14" t="n">
        <x:v>28.7</x:v>
      </x:c>
      <x:c r="L680" s="15" t="n">
        <x:f>F680*G680</x:f>
        <x:v>1844.8962000000001</x:v>
      </x:c>
      <x:c r="M680" s="15" t="n">
        <x:f>F680-L680</x:f>
        <x:v>717.1037999999999</x:v>
      </x:c>
      <x:c r="N680" s="17" t="str"/>
      <x:c r="O680" s="17" t="str">
        <x:v>https://sts2log.com/cards</x:v>
      </x:c>
      <x:c r="P680" s="17" t="str">
        <x:v>https://slaythespire2.net/ancient/vakuu</x:v>
      </x:c>
    </x:row>
    <x:row r="681" ht="25" customHeight="1">
      <x:c r="A681" s="2" t="str">
        <x:v>v0.111</x:v>
      </x:c>
      <x:c r="B681" s="2" t="str">
        <x:v>静默猎手</x:v>
      </x:c>
      <x:c r="C681" s="2" t="str">
        <x:v>瓦库</x:v>
      </x:c>
      <x:c r="D681" s="2" t="str">
        <x:v>音乐盒</x:v>
      </x:c>
      <x:c r="E681" s="16" t="n">
        <x:f>IF(G681=0,I681,IF(G681=1,H681,G681*H681+(1-G681)*I681))</x:f>
        <x:v>0.62815186</x:v>
      </x:c>
      <x:c r="F681" s="12" t="n">
        <x:v>2579</x:v>
      </x:c>
      <x:c r="G681" s="11" t="n">
        <x:v>0.2974</x:v>
      </x:c>
      <x:c r="H681" s="11" t="n">
        <x:v>0.6870999999999999</x:v>
      </x:c>
      <x:c r="I681" s="11" t="n">
        <x:v>0.6032</x:v>
      </x:c>
      <x:c r="J681" s="13" t="n">
        <x:f>IF(OR(G681=0,G681=1),"",(H681-I681)*100)</x:f>
        <x:v>8.389999999999997</x:v>
      </x:c>
      <x:c r="K681" s="14" t="n">
        <x:v>36.16</x:v>
      </x:c>
      <x:c r="L681" s="15" t="n">
        <x:f>F681*G681</x:f>
        <x:v>766.9946</x:v>
      </x:c>
      <x:c r="M681" s="15" t="n">
        <x:f>F681-L681</x:f>
        <x:v>1812.0054</x:v>
      </x:c>
      <x:c r="N681" s="17" t="str"/>
      <x:c r="O681" s="17" t="str">
        <x:v>https://sts2log.com/cards</x:v>
      </x:c>
      <x:c r="P681" s="17" t="str">
        <x:v>https://slaythespire2.net/ancient/vakuu</x:v>
      </x:c>
    </x:row>
    <x:row r="682" ht="25" customHeight="1">
      <x:c r="A682" s="2" t="str">
        <x:v>v0.111</x:v>
      </x:c>
      <x:c r="B682" s="2" t="str">
        <x:v>静默猎手</x:v>
      </x:c>
      <x:c r="C682" s="2" t="str">
        <x:v>瓦库</x:v>
      </x:c>
      <x:c r="D682" s="2" t="str">
        <x:v>原初之爪</x:v>
      </x:c>
      <x:c r="E682" s="16" t="n">
        <x:f>IF(G682=0,I682,IF(G682=1,H682,G682*H682+(1-G682)*I682))</x:f>
        <x:v>0.61371882</x:v>
      </x:c>
      <x:c r="F682" s="12" t="n">
        <x:v>3376</x:v>
      </x:c>
      <x:c r="G682" s="11" t="n">
        <x:v>0.4698</x:v>
      </x:c>
      <x:c r="H682" s="11" t="n">
        <x:v>0.6248</x:v>
      </x:c>
      <x:c r="I682" s="11" t="n">
        <x:v>0.6039</x:v>
      </x:c>
      <x:c r="J682" s="13" t="n">
        <x:f>IF(OR(G682=0,G682=1),"",(H682-I682)*100)</x:f>
        <x:v>2.090000000000003</x:v>
      </x:c>
      <x:c r="K682" s="14" t="n">
        <x:v>29.93</x:v>
      </x:c>
      <x:c r="L682" s="15" t="n">
        <x:f>F682*G682</x:f>
        <x:v>1586.0448</x:v>
      </x:c>
      <x:c r="M682" s="15" t="n">
        <x:f>F682-L682</x:f>
        <x:v>1789.9552</x:v>
      </x:c>
      <x:c r="N682" s="17" t="str"/>
      <x:c r="O682" s="17" t="str">
        <x:v>https://sts2log.com/cards</x:v>
      </x:c>
      <x:c r="P682" s="17" t="str">
        <x:v>https://slaythespire2.net/ancient/vakuu</x:v>
      </x:c>
    </x:row>
    <x:row r="683" ht="25" customHeight="1">
      <x:c r="A683" s="2" t="str">
        <x:v>v0.111</x:v>
      </x:c>
      <x:c r="B683" s="2" t="str">
        <x:v>静默猎手</x:v>
      </x:c>
      <x:c r="C683" s="2" t="str">
        <x:v>瓦库</x:v>
      </x:c>
      <x:c r="D683" s="2" t="str">
        <x:v>血染玫瑰</x:v>
      </x:c>
      <x:c r="E683" s="16" t="n">
        <x:f>IF(G683=0,I683,IF(G683=1,H683,G683*H683+(1-G683)*I683))</x:f>
        <x:v>0.6089107</x:v>
      </x:c>
      <x:c r="F683" s="12" t="n">
        <x:v>3370</x:v>
      </x:c>
      <x:c r="G683" s="11" t="n">
        <x:v>0.19140000000000001</x:v>
      </x:c>
      <x:c r="H683" s="11" t="n">
        <x:v>0.5891</x:v>
      </x:c>
      <x:c r="I683" s="11" t="n">
        <x:v>0.6136</x:v>
      </x:c>
      <x:c r="J683" s="13" t="n">
        <x:f>IF(OR(G683=0,G683=1),"",(H683-I683)*100)</x:f>
        <x:v>-2.4500000000000077</x:v>
      </x:c>
      <x:c r="K683" s="14" t="n">
        <x:v>26.36</x:v>
      </x:c>
      <x:c r="L683" s="15" t="n">
        <x:f>F683*G683</x:f>
        <x:v>645.018</x:v>
      </x:c>
      <x:c r="M683" s="15" t="n">
        <x:f>F683-L683</x:f>
        <x:v>2724.982</x:v>
      </x:c>
      <x:c r="N683" s="17" t="str"/>
      <x:c r="O683" s="17" t="str">
        <x:v>https://sts2log.com/cards</x:v>
      </x:c>
      <x:c r="P683" s="17" t="str">
        <x:v>https://slaythespire2.net/ancient/vakuu</x:v>
      </x:c>
    </x:row>
    <x:row r="684" ht="25" customHeight="1">
      <x:c r="A684" s="2" t="str">
        <x:v>v0.111</x:v>
      </x:c>
      <x:c r="B684" s="2" t="str">
        <x:v>静默猎手</x:v>
      </x:c>
      <x:c r="C684" s="2" t="str">
        <x:v>瓦库</x:v>
      </x:c>
      <x:c r="D684" s="2" t="str">
        <x:v>选择悖论</x:v>
      </x:c>
      <x:c r="E684" s="16" t="n">
        <x:f>IF(G684=0,I684,IF(G684=1,H684,G684*H684+(1-G684)*I684))</x:f>
        <x:v>0.6035142</x:v>
      </x:c>
      <x:c r="F684" s="12" t="n">
        <x:v>2560</x:v>
      </x:c>
      <x:c r="G684" s="11" t="n">
        <x:v>0.38909999999999995</x:v>
      </x:c>
      <x:c r="H684" s="11" t="n">
        <x:v>0.5803</x:v>
      </x:c>
      <x:c r="I684" s="11" t="n">
        <x:v>0.6183</x:v>
      </x:c>
      <x:c r="J684" s="13" t="n">
        <x:f>IF(OR(G684=0,G684=1),"",(H684-I684)*100)</x:f>
        <x:v>-3.7999999999999923</x:v>
      </x:c>
      <x:c r="K684" s="14" t="n">
        <x:v>25.48</x:v>
      </x:c>
      <x:c r="L684" s="15" t="n">
        <x:f>F684*G684</x:f>
        <x:v>996.0959999999999</x:v>
      </x:c>
      <x:c r="M684" s="15" t="n">
        <x:f>F684-L684</x:f>
        <x:v>1563.904</x:v>
      </x:c>
      <x:c r="N684" s="17" t="str"/>
      <x:c r="O684" s="17" t="str">
        <x:v>https://sts2log.com/cards</x:v>
      </x:c>
      <x:c r="P684" s="17" t="str">
        <x:v>https://slaythespire2.net/ancient/vakuu</x:v>
      </x:c>
    </x:row>
    <x:row r="685" ht="25" customHeight="1">
      <x:c r="A685" s="2" t="str">
        <x:v>v0.111</x:v>
      </x:c>
      <x:c r="B685" s="2" t="str">
        <x:v>静默猎手</x:v>
      </x:c>
      <x:c r="C685" s="2" t="str">
        <x:v>瓦库</x:v>
      </x:c>
      <x:c r="D685" s="2" t="str">
        <x:v>低语耳环</x:v>
      </x:c>
      <x:c r="E685" s="16" t="n">
        <x:f>IF(G685=0,I685,IF(G685=1,H685,G685*H685+(1-G685)*I685))</x:f>
        <x:v>0.59295656</x:v>
      </x:c>
      <x:c r="F685" s="12" t="n">
        <x:v>3331</x:v>
      </x:c>
      <x:c r="G685" s="11" t="n">
        <x:v>0.13419999999999999</x:v>
      </x:c>
      <x:c r="H685" s="11" t="n">
        <x:v>0.44299999999999995</x:v>
      </x:c>
      <x:c r="I685" s="11" t="n">
        <x:v>0.6162</x:v>
      </x:c>
      <x:c r="J685" s="13" t="n">
        <x:f>IF(OR(G685=0,G685=1),"",(H685-I685)*100)</x:f>
        <x:v>-17.32</x:v>
      </x:c>
      <x:c r="K685" s="14" t="n">
        <x:v>11.75</x:v>
      </x:c>
      <x:c r="L685" s="15" t="n">
        <x:f>F685*G685</x:f>
        <x:v>447.02019999999993</x:v>
      </x:c>
      <x:c r="M685" s="15" t="n">
        <x:f>F685-L685</x:f>
        <x:v>2883.9798</x:v>
      </x:c>
      <x:c r="N685" s="17" t="str"/>
      <x:c r="O685" s="17" t="str">
        <x:v>https://sts2log.com/cards</x:v>
      </x:c>
      <x:c r="P685" s="17" t="str">
        <x:v>https://slaythespire2.net/ancient/vakuu</x:v>
      </x:c>
    </x:row>
    <x:row r="686" ht="25" customHeight="1">
      <x:c r="A686" s="2" t="str">
        <x:v>v0.111</x:v>
      </x:c>
      <x:c r="B686" s="2" t="str">
        <x:v>静默猎手</x:v>
      </x:c>
      <x:c r="C686" s="2" t="str">
        <x:v>瓦库</x:v>
      </x:c>
      <x:c r="D686" s="2" t="str">
        <x:v>卓越斗篷</x:v>
      </x:c>
      <x:c r="E686" s="16" t="n">
        <x:f>IF(G686=0,I686,IF(G686=1,H686,G686*H686+(1-G686)*I686))</x:f>
        <x:v>0.59289301</x:v>
      </x:c>
      <x:c r="F686" s="12" t="n">
        <x:v>3434</x:v>
      </x:c>
      <x:c r="G686" s="11" t="n">
        <x:v>0.1957</x:v>
      </x:c>
      <x:c r="H686" s="11" t="n">
        <x:v>0.5119</x:v>
      </x:c>
      <x:c r="I686" s="11" t="n">
        <x:v>0.6126</x:v>
      </x:c>
      <x:c r="J686" s="13" t="n">
        <x:f>IF(OR(G686=0,G686=1),"",(H686-I686)*100)</x:f>
        <x:v>-10.07</x:v>
      </x:c>
      <x:c r="K686" s="14" t="n">
        <x:v>18.64</x:v>
      </x:c>
      <x:c r="L686" s="15" t="n">
        <x:f>F686*G686</x:f>
        <x:v>672.0338</x:v>
      </x:c>
      <x:c r="M686" s="15" t="n">
        <x:f>F686-L686</x:f>
        <x:v>2761.9662</x:v>
      </x:c>
      <x:c r="N686" s="17" t="str"/>
      <x:c r="O686" s="17" t="str">
        <x:v>https://sts2log.com/cards</x:v>
      </x:c>
      <x:c r="P686" s="17" t="str">
        <x:v>https://slaythespire2.net/ancient/vakuu</x:v>
      </x:c>
    </x:row>
    <x:row r="687" ht="25" customHeight="1">
      <x:c r="A687" s="2" t="str">
        <x:v>v0.111</x:v>
      </x:c>
      <x:c r="B687" s="2" t="str">
        <x:v>静默猎手</x:v>
      </x:c>
      <x:c r="C687" s="2" t="str">
        <x:v>瓦库</x:v>
      </x:c>
      <x:c r="D687" s="2" t="str">
        <x:v>领主阳伞</x:v>
      </x:c>
      <x:c r="E687" s="16" t="n">
        <x:f>IF(G687=0,I687,IF(G687=1,H687,G687*H687+(1-G687)*I687))</x:f>
        <x:v>0.5912685799999999</x:v>
      </x:c>
      <x:c r="F687" s="12" t="n">
        <x:v>2537</x:v>
      </x:c>
      <x:c r="G687" s="11" t="n">
        <x:v>0.1281</x:v>
      </x:c>
      <x:c r="H687" s="11" t="n">
        <x:v>0.5754</x:v>
      </x:c>
      <x:c r="I687" s="11" t="n">
        <x:v>0.5936</x:v>
      </x:c>
      <x:c r="J687" s="13" t="n">
        <x:f>IF(OR(G687=0,G687=1),"",(H687-I687)*100)</x:f>
        <x:v>-1.8199999999999994</x:v>
      </x:c>
      <x:c r="K687" s="14" t="n">
        <x:v>24.99</x:v>
      </x:c>
      <x:c r="L687" s="15" t="n">
        <x:f>F687*G687</x:f>
        <x:v>324.98969999999997</x:v>
      </x:c>
      <x:c r="M687" s="15" t="n">
        <x:f>F687-L687</x:f>
        <x:v>2212.0103</x:v>
      </x:c>
      <x:c r="N687" s="17" t="str"/>
      <x:c r="O687" s="17" t="str">
        <x:v>https://sts2log.com/cards</x:v>
      </x:c>
      <x:c r="P687" s="17" t="str">
        <x:v>https://slaythespire2.net/ancient/vakuu</x:v>
      </x:c>
    </x:row>
    <x:row r="688" ht="42" customHeight="1">
      <x:c r="A688" s="2" t="str">
        <x:v>v0.111</x:v>
      </x:c>
      <x:c r="B688" s="2" t="str">
        <x:v>静默猎手</x:v>
      </x:c>
      <x:c r="C688" s="2" t="str">
        <x:v>达弗</x:v>
      </x:c>
      <x:c r="D688" s="2" t="str">
        <x:v>符文金字塔</x:v>
      </x:c>
      <x:c r="E688" s="16" t="n">
        <x:f>IF(G688=0,I688,IF(G688=1,H688,G688*H688+(1-G688)*I688))</x:f>
        <x:v>0.6170114999999999</x:v>
      </x:c>
      <x:c r="F688" s="12" t="n">
        <x:v>1987</x:v>
      </x:c>
      <x:c r="G688" s="11" t="n">
        <x:v>0.613</x:v>
      </x:c>
      <x:c r="H688" s="11" t="n">
        <x:v>0.6888</x:v>
      </x:c>
      <x:c r="I688" s="11" t="n">
        <x:v>0.5033</x:v>
      </x:c>
      <x:c r="J688" s="13" t="n">
        <x:f>IF(OR(G688=0,G688=1),"",(H688-I688)*100)</x:f>
        <x:v>18.55</x:v>
      </x:c>
      <x:c r="K688" s="14" t="n">
        <x:v>36.33</x:v>
      </x:c>
      <x:c r="L688" s="15" t="n">
        <x:f>F688*G688</x:f>
        <x:v>1218.031</x:v>
      </x:c>
      <x:c r="M688" s="15" t="n">
        <x:f>F688-L688</x:f>
        <x:v>768.969</x:v>
      </x:c>
      <x:c r="N688" s="17" t="str">
        <x:v>不同幕混合，勿直接解释为纯强度</x:v>
      </x:c>
      <x:c r="O688" s="17" t="str">
        <x:v>https://sts2log.com/cards</x:v>
      </x:c>
      <x:c r="P688" s="17" t="str">
        <x:v>https://slaythespire2.net/ancient/darv</x:v>
      </x:c>
    </x:row>
    <x:row r="689" ht="42" customHeight="1">
      <x:c r="A689" s="2" t="str">
        <x:v>v0.111</x:v>
      </x:c>
      <x:c r="B689" s="2" t="str">
        <x:v>静默猎手</x:v>
      </x:c>
      <x:c r="C689" s="2" t="str">
        <x:v>达弗</x:v>
      </x:c>
      <x:c r="D689" s="2" t="str">
        <x:v>星盘</x:v>
      </x:c>
      <x:c r="E689" s="16" t="n">
        <x:f>IF(G689=0,I689,IF(G689=1,H689,G689*H689+(1-G689)*I689))</x:f>
        <x:v>0.5636168399999999</x:v>
      </x:c>
      <x:c r="F689" s="12" t="n">
        <x:v>2083</x:v>
      </x:c>
      <x:c r="G689" s="11" t="n">
        <x:v>0.6908</x:v>
      </x:c>
      <x:c r="H689" s="11" t="n">
        <x:v>0.5365</x:v>
      </x:c>
      <x:c r="I689" s="11" t="n">
        <x:v>0.6242</x:v>
      </x:c>
      <x:c r="J689" s="13" t="n">
        <x:f>IF(OR(G689=0,G689=1),"",(H689-I689)*100)</x:f>
        <x:v>-8.77</x:v>
      </x:c>
      <x:c r="K689" s="14" t="n">
        <x:v>21.1</x:v>
      </x:c>
      <x:c r="L689" s="15" t="n">
        <x:f>F689*G689</x:f>
        <x:v>1438.9364</x:v>
      </x:c>
      <x:c r="M689" s="15" t="n">
        <x:f>F689-L689</x:f>
        <x:v>644.0636</x:v>
      </x:c>
      <x:c r="N689" s="17" t="str">
        <x:v>不同幕混合，勿直接解释为纯强度</x:v>
      </x:c>
      <x:c r="O689" s="17" t="str">
        <x:v>https://sts2log.com/cards</x:v>
      </x:c>
      <x:c r="P689" s="17" t="str">
        <x:v>https://slaythespire2.net/ancient/darv</x:v>
      </x:c>
    </x:row>
    <x:row r="690" ht="42" customHeight="1">
      <x:c r="A690" s="2" t="str">
        <x:v>v0.111</x:v>
      </x:c>
      <x:c r="B690" s="2" t="str">
        <x:v>静默猎手</x:v>
      </x:c>
      <x:c r="C690" s="2" t="str">
        <x:v>达弗</x:v>
      </x:c>
      <x:c r="D690" s="2" t="str">
        <x:v>潘多拉魔盒</x:v>
      </x:c>
      <x:c r="E690" s="16" t="n">
        <x:f>IF(G690=0,I690,IF(G690=1,H690,G690*H690+(1-G690)*I690))</x:f>
        <x:v>0.5601385</x:v>
      </x:c>
      <x:c r="F690" s="12" t="n">
        <x:v>2012</x:v>
      </x:c>
      <x:c r="G690" s="11" t="n">
        <x:v>0.5025</x:v>
      </x:c>
      <x:c r="H690" s="11" t="n">
        <x:v>0.5678</x:v>
      </x:c>
      <x:c r="I690" s="11" t="n">
        <x:v>0.5524</x:v>
      </x:c>
      <x:c r="J690" s="13" t="n">
        <x:f>IF(OR(G690=0,G690=1),"",(H690-I690)*100)</x:f>
        <x:v>1.539999999999997</x:v>
      </x:c>
      <x:c r="K690" s="14" t="n">
        <x:v>24.23</x:v>
      </x:c>
      <x:c r="L690" s="15" t="n">
        <x:f>F690*G690</x:f>
        <x:v>1011.0299999999999</x:v>
      </x:c>
      <x:c r="M690" s="15" t="n">
        <x:f>F690-L690</x:f>
        <x:v>1000.9700000000001</x:v>
      </x:c>
      <x:c r="N690" s="17" t="str">
        <x:v>不同幕混合，勿直接解释为纯强度</x:v>
      </x:c>
      <x:c r="O690" s="17" t="str">
        <x:v>https://sts2log.com/cards</x:v>
      </x:c>
      <x:c r="P690" s="17" t="str">
        <x:v>https://slaythespire2.net/ancient/darv</x:v>
      </x:c>
    </x:row>
    <x:row r="691" ht="42" customHeight="1">
      <x:c r="A691" s="2" t="str">
        <x:v>v0.111</x:v>
      </x:c>
      <x:c r="B691" s="2" t="str">
        <x:v>静默猎手</x:v>
      </x:c>
      <x:c r="C691" s="2" t="str">
        <x:v>达弗</x:v>
      </x:c>
      <x:c r="D691" s="2" t="str">
        <x:v>贤者之石</x:v>
      </x:c>
      <x:c r="E691" s="16" t="n">
        <x:f>IF(G691=0,I691,IF(G691=1,H691,G691*H691+(1-G691)*I691))</x:f>
        <x:v>0.5491530200000001</x:v>
      </x:c>
      <x:c r="F691" s="12" t="n">
        <x:v>2076</x:v>
      </x:c>
      <x:c r="G691" s="11" t="n">
        <x:v>0.4706</x:v>
      </x:c>
      <x:c r="H691" s="11" t="n">
        <x:v>0.5527000000000001</x:v>
      </x:c>
      <x:c r="I691" s="11" t="n">
        <x:v>0.546</x:v>
      </x:c>
      <x:c r="J691" s="13" t="n">
        <x:f>IF(OR(G691=0,G691=1),"",(H691-I691)*100)</x:f>
        <x:v>0.6700000000000039</x:v>
      </x:c>
      <x:c r="K691" s="14" t="n">
        <x:v>22.72</x:v>
      </x:c>
      <x:c r="L691" s="15" t="n">
        <x:f>F691*G691</x:f>
        <x:v>976.9656</x:v>
      </x:c>
      <x:c r="M691" s="15" t="n">
        <x:f>F691-L691</x:f>
        <x:v>1099.0344</x:v>
      </x:c>
      <x:c r="N691" s="17" t="str">
        <x:v>不同幕混合，勿直接解释为纯强度</x:v>
      </x:c>
      <x:c r="O691" s="17" t="str">
        <x:v>https://sts2log.com/cards</x:v>
      </x:c>
      <x:c r="P691" s="17" t="str">
        <x:v>https://op.gg/zh-cn/slay-the-spire2/events/Darv</x:v>
      </x:c>
    </x:row>
    <x:row r="692" ht="42" customHeight="1">
      <x:c r="A692" s="2" t="str">
        <x:v>v0.111</x:v>
      </x:c>
      <x:c r="B692" s="2" t="str">
        <x:v>静默猎手</x:v>
      </x:c>
      <x:c r="C692" s="2" t="str">
        <x:v>达弗</x:v>
      </x:c>
      <x:c r="D692" s="2" t="str">
        <x:v>召唤铃铛</x:v>
      </x:c>
      <x:c r="E692" s="16" t="n">
        <x:f>IF(G692=0,I692,IF(G692=1,H692,G692*H692+(1-G692)*I692))</x:f>
        <x:v>0.5317604100000001</x:v>
      </x:c>
      <x:c r="F692" s="12" t="n">
        <x:v>1950</x:v>
      </x:c>
      <x:c r="G692" s="11" t="n">
        <x:v>0.3713</x:v>
      </x:c>
      <x:c r="H692" s="11" t="n">
        <x:v>0.45990000000000003</x:v>
      </x:c>
      <x:c r="I692" s="11" t="n">
        <x:v>0.5742</x:v>
      </x:c>
      <x:c r="J692" s="13" t="n">
        <x:f>IF(OR(G692=0,G692=1),"",(H692-I692)*100)</x:f>
        <x:v>-11.430000000000001</x:v>
      </x:c>
      <x:c r="K692" s="14" t="n">
        <x:v>13.44</x:v>
      </x:c>
      <x:c r="L692" s="15" t="n">
        <x:f>F692*G692</x:f>
        <x:v>724.0350000000001</x:v>
      </x:c>
      <x:c r="M692" s="15" t="n">
        <x:f>F692-L692</x:f>
        <x:v>1225.965</x:v>
      </x:c>
      <x:c r="N692" s="17" t="str">
        <x:v>不同幕混合，勿直接解释为纯强度</x:v>
      </x:c>
      <x:c r="O692" s="17" t="str">
        <x:v>https://sts2log.com/cards</x:v>
      </x:c>
      <x:c r="P692" s="17" t="str">
        <x:v>https://slaythespire2.net/ancient/darv</x:v>
      </x:c>
    </x:row>
    <x:row r="693" ht="42" customHeight="1">
      <x:c r="A693" s="2" t="str">
        <x:v>v0.111</x:v>
      </x:c>
      <x:c r="B693" s="2" t="str">
        <x:v>静默猎手</x:v>
      </x:c>
      <x:c r="C693" s="2" t="str">
        <x:v>达弗</x:v>
      </x:c>
      <x:c r="D693" s="2" t="str">
        <x:v>尘封魔典</x:v>
      </x:c>
      <x:c r="E693" s="16" t="n">
        <x:f>IF(G693=0,I693,IF(G693=1,H693,G693*H693+(1-G693)*I693))</x:f>
        <x:v>0.5264011200000001</x:v>
      </x:c>
      <x:c r="F693" s="12" t="n">
        <x:v>4130</x:v>
      </x:c>
      <x:c r="G693" s="11" t="n">
        <x:v>0.1424</x:v>
      </x:c>
      <x:c r="H693" s="11" t="n">
        <x:v>0.4439</x:v>
      </x:c>
      <x:c r="I693" s="11" t="n">
        <x:v>0.5401</x:v>
      </x:c>
      <x:c r="J693" s="13" t="n">
        <x:f>IF(OR(G693=0,G693=1),"",(H693-I693)*100)</x:f>
        <x:v>-9.620000000000001</x:v>
      </x:c>
      <x:c r="K693" s="14" t="n">
        <x:v>11.84</x:v>
      </x:c>
      <x:c r="L693" s="15" t="n">
        <x:f>F693*G693</x:f>
        <x:v>588.112</x:v>
      </x:c>
      <x:c r="M693" s="15" t="n">
        <x:f>F693-L693</x:f>
        <x:v>3541.888</x:v>
      </x:c>
      <x:c r="N693" s="17" t="str">
        <x:v>不同幕混合，勿直接解释为纯强度</x:v>
      </x:c>
      <x:c r="O693" s="17" t="str">
        <x:v>https://sts2log.com/cards</x:v>
      </x:c>
      <x:c r="P693" s="17" t="str">
        <x:v>https://slaythespire2.net/ancient/darv</x:v>
      </x:c>
    </x:row>
    <x:row r="694" ht="42" customHeight="1">
      <x:c r="A694" s="2" t="str">
        <x:v>v0.111</x:v>
      </x:c>
      <x:c r="B694" s="2" t="str">
        <x:v>静默猎手</x:v>
      </x:c>
      <x:c r="C694" s="2" t="str">
        <x:v>达弗</x:v>
      </x:c>
      <x:c r="D694" s="2" t="str">
        <x:v>异蛇之眼</x:v>
      </x:c>
      <x:c r="E694" s="16" t="n">
        <x:f>IF(G694=0,I694,IF(G694=1,H694,G694*H694+(1-G694)*I694))</x:f>
        <x:v>0.5256420599999999</x:v>
      </x:c>
      <x:c r="F694" s="12" t="n">
        <x:v>2005</x:v>
      </x:c>
      <x:c r="G694" s="11" t="n">
        <x:v>0.0454</x:v>
      </x:c>
      <x:c r="H694" s="11" t="n">
        <x:v>0.5055</x:v>
      </x:c>
      <x:c r="I694" s="11" t="n">
        <x:v>0.5266</x:v>
      </x:c>
      <x:c r="J694" s="13" t="n">
        <x:f>IF(OR(G694=0,G694=1),"",(H694-I694)*100)</x:f>
        <x:v>-2.1100000000000008</x:v>
      </x:c>
      <x:c r="K694" s="14" t="n">
        <x:v>18</x:v>
      </x:c>
      <x:c r="L694" s="15" t="n">
        <x:f>F694*G694</x:f>
        <x:v>91.027</x:v>
      </x:c>
      <x:c r="M694" s="15" t="n">
        <x:f>F694-L694</x:f>
        <x:v>1913.973</x:v>
      </x:c>
      <x:c r="N694" s="17" t="str">
        <x:v>不同幕混合，勿直接解释为纯强度</x:v>
      </x:c>
      <x:c r="O694" s="17" t="str">
        <x:v>https://sts2log.com/cards</x:v>
      </x:c>
      <x:c r="P694" s="17" t="str">
        <x:v>https://slaythespire2.net/ancient/darv</x:v>
      </x:c>
    </x:row>
    <x:row r="695" ht="42" customHeight="1">
      <x:c r="A695" s="2" t="str">
        <x:v>v0.111</x:v>
      </x:c>
      <x:c r="B695" s="2" t="str">
        <x:v>静默猎手</x:v>
      </x:c>
      <x:c r="C695" s="2" t="str">
        <x:v>达弗</x:v>
      </x:c>
      <x:c r="D695" s="2" t="str">
        <x:v>天鹅绒颈圈</x:v>
      </x:c>
      <x:c r="E695" s="16" t="n">
        <x:f>IF(G695=0,I695,IF(G695=1,H695,G695*H695+(1-G695)*I695))</x:f>
        <x:v>0.51419894</x:v>
      </x:c>
      <x:c r="F695" s="12" t="n">
        <x:v>1966</x:v>
      </x:c>
      <x:c r="G695" s="11" t="n">
        <x:v>0.0738</x:v>
      </x:c>
      <x:c r="H695" s="11" t="n">
        <x:v>0.45520000000000005</x:v>
      </x:c>
      <x:c r="I695" s="11" t="n">
        <x:v>0.5189</x:v>
      </x:c>
      <x:c r="J695" s="13" t="n">
        <x:f>IF(OR(G695=0,G695=1),"",(H695-I695)*100)</x:f>
        <x:v>-6.369999999999997</x:v>
      </x:c>
      <x:c r="K695" s="14" t="n">
        <x:v>12.97</x:v>
      </x:c>
      <x:c r="L695" s="15" t="n">
        <x:f>F695*G695</x:f>
        <x:v>145.0908</x:v>
      </x:c>
      <x:c r="M695" s="15" t="n">
        <x:f>F695-L695</x:f>
        <x:v>1820.9092</x:v>
      </x:c>
      <x:c r="N695" s="17" t="str">
        <x:v>不同幕混合，勿直接解释为纯强度</x:v>
      </x:c>
      <x:c r="O695" s="17" t="str">
        <x:v>https://sts2log.com/cards</x:v>
      </x:c>
      <x:c r="P695" s="17" t="str">
        <x:v>https://op.gg/zh-cn/slay-the-spire2/events/Darv</x:v>
      </x:c>
    </x:row>
    <x:row r="696" ht="42" customHeight="1">
      <x:c r="A696" s="2" t="str">
        <x:v>v0.111</x:v>
      </x:c>
      <x:c r="B696" s="2" t="str">
        <x:v>静默猎手</x:v>
      </x:c>
      <x:c r="C696" s="2" t="str">
        <x:v>达弗</x:v>
      </x:c>
      <x:c r="D696" s="2" t="str">
        <x:v>黑星</x:v>
      </x:c>
      <x:c r="E696" s="16" t="n">
        <x:f>IF(G696=0,I696,IF(G696=1,H696,G696*H696+(1-G696)*I696))</x:f>
        <x:v>0.5127900000000001</x:v>
      </x:c>
      <x:c r="F696" s="12" t="n">
        <x:v>2034</x:v>
      </x:c>
      <x:c r="G696" s="11" t="n">
        <x:v>0.297</x:v>
      </x:c>
      <x:c r="H696" s="11" t="n">
        <x:v>0.4917</x:v>
      </x:c>
      <x:c r="I696" s="11" t="n">
        <x:v>0.5217</x:v>
      </x:c>
      <x:c r="J696" s="13" t="n">
        <x:f>IF(OR(G696=0,G696=1),"",(H696-I696)*100)</x:f>
        <x:v>-3.0000000000000027</x:v>
      </x:c>
      <x:c r="K696" s="14" t="n">
        <x:v>16.62</x:v>
      </x:c>
      <x:c r="L696" s="15" t="n">
        <x:f>F696*G696</x:f>
        <x:v>604.098</x:v>
      </x:c>
      <x:c r="M696" s="15" t="n">
        <x:f>F696-L696</x:f>
        <x:v>1429.902</x:v>
      </x:c>
      <x:c r="N696" s="17" t="str">
        <x:v>不同幕混合，勿直接解释为纯强度</x:v>
      </x:c>
      <x:c r="O696" s="17" t="str">
        <x:v>https://sts2log.com/cards</x:v>
      </x:c>
      <x:c r="P696" s="17" t="str">
        <x:v>https://slaythespire2.net/ancient/darv</x:v>
      </x:c>
    </x:row>
    <x:row r="697" ht="42" customHeight="1">
      <x:c r="A697" s="2" t="str">
        <x:v>v0.111</x:v>
      </x:c>
      <x:c r="B697" s="2" t="str">
        <x:v>静默猎手</x:v>
      </x:c>
      <x:c r="C697" s="2" t="str">
        <x:v>达弗</x:v>
      </x:c>
      <x:c r="D697" s="2" t="str">
        <x:v>空鸟笼</x:v>
      </x:c>
      <x:c r="E697" s="16" t="n">
        <x:f>IF(G697=0,I697,IF(G697=1,H697,G697*H697+(1-G697)*I697))</x:f>
        <x:v>0.5050512</x:v>
      </x:c>
      <x:c r="F697" s="12" t="n">
        <x:v>1978</x:v>
      </x:c>
      <x:c r="G697" s="11" t="n">
        <x:v>0.544</x:v>
      </x:c>
      <x:c r="H697" s="11" t="n">
        <x:v>0.43770000000000003</x:v>
      </x:c>
      <x:c r="I697" s="11" t="n">
        <x:v>0.5854</x:v>
      </x:c>
      <x:c r="J697" s="13" t="n">
        <x:f>IF(OR(G697=0,G697=1),"",(H697-I697)*100)</x:f>
        <x:v>-14.77</x:v>
      </x:c>
      <x:c r="K697" s="14" t="n">
        <x:v>11.22</x:v>
      </x:c>
      <x:c r="L697" s="15" t="n">
        <x:f>F697*G697</x:f>
        <x:v>1076.0320000000002</x:v>
      </x:c>
      <x:c r="M697" s="15" t="n">
        <x:f>F697-L697</x:f>
        <x:v>901.9679999999998</x:v>
      </x:c>
      <x:c r="N697" s="17" t="str">
        <x:v>不同幕混合，勿直接解释为纯强度</x:v>
      </x:c>
      <x:c r="O697" s="17" t="str">
        <x:v>https://sts2log.com/cards</x:v>
      </x:c>
      <x:c r="P697" s="17" t="str">
        <x:v>https://slaythespire2.net/ancient/darv</x:v>
      </x:c>
    </x:row>
    <x:row r="698" ht="42" customHeight="1">
      <x:c r="A698" s="2" t="str">
        <x:v>v0.111</x:v>
      </x:c>
      <x:c r="B698" s="2" t="str">
        <x:v>静默猎手</x:v>
      </x:c>
      <x:c r="C698" s="2" t="str">
        <x:v>达弗</x:v>
      </x:c>
      <x:c r="D698" s="2" t="str">
        <x:v>添水</x:v>
      </x:c>
      <x:c r="E698" s="16" t="n">
        <x:f>IF(G698=0,I698,IF(G698=1,H698,G698*H698+(1-G698)*I698))</x:f>
        <x:v>0.4612130299999999</x:v>
      </x:c>
      <x:c r="F698" s="12" t="n">
        <x:v>1444</x:v>
      </x:c>
      <x:c r="G698" s="11" t="n">
        <x:v>0.2071</x:v>
      </x:c>
      <x:c r="H698" s="11" t="n">
        <x:v>0.4448</x:v>
      </x:c>
      <x:c r="I698" s="11" t="n">
        <x:v>0.46549999999999997</x:v>
      </x:c>
      <x:c r="J698" s="13" t="n">
        <x:f>IF(OR(G698=0,G698=1),"",(H698-I698)*100)</x:f>
        <x:v>-2.0699999999999994</x:v>
      </x:c>
      <x:c r="K698" s="14" t="n">
        <x:v>11.93</x:v>
      </x:c>
      <x:c r="L698" s="15" t="n">
        <x:f>F698*G698</x:f>
        <x:v>299.05240000000003</x:v>
      </x:c>
      <x:c r="M698" s="15" t="n">
        <x:f>F698-L698</x:f>
        <x:v>1144.9476</x:v>
      </x:c>
      <x:c r="N698" s="17" t="str">
        <x:v>不同幕混合，勿直接解释为纯强度</x:v>
      </x:c>
      <x:c r="O698" s="17" t="str">
        <x:v>https://sts2log.com/cards</x:v>
      </x:c>
      <x:c r="P698" s="17" t="str">
        <x:v>https://op.gg/zh-cn/slay-the-spire2/events/Darv</x:v>
      </x:c>
    </x:row>
    <x:row r="699" ht="42" customHeight="1">
      <x:c r="A699" s="2" t="str">
        <x:v>v0.111</x:v>
      </x:c>
      <x:c r="B699" s="2" t="str">
        <x:v>静默猎手</x:v>
      </x:c>
      <x:c r="C699" s="2" t="str">
        <x:v>达弗</x:v>
      </x:c>
      <x:c r="D699" s="2" t="str">
        <x:v>灵体外质</x:v>
      </x:c>
      <x:c r="E699" s="16" t="n">
        <x:f>IF(G699=0,I699,IF(G699=1,H699,G699*H699+(1-G699)*I699))</x:f>
        <x:v>0.45235785</x:v>
      </x:c>
      <x:c r="F699" s="12" t="n">
        <x:v>1406</x:v>
      </x:c>
      <x:c r="G699" s="11" t="n">
        <x:v>0.11449999999999999</x:v>
      </x:c>
      <x:c r="H699" s="11" t="n">
        <x:v>0.4907</x:v>
      </x:c>
      <x:c r="I699" s="11" t="n">
        <x:v>0.4474</x:v>
      </x:c>
      <x:c r="J699" s="13" t="n">
        <x:f>IF(OR(G699=0,G699=1),"",(H699-I699)*100)</x:f>
        <x:v>4.33</x:v>
      </x:c>
      <x:c r="K699" s="14" t="n">
        <x:v>16.52</x:v>
      </x:c>
      <x:c r="L699" s="15" t="n">
        <x:f>F699*G699</x:f>
        <x:v>160.987</x:v>
      </x:c>
      <x:c r="M699" s="15" t="n">
        <x:f>F699-L699</x:f>
        <x:v>1245.013</x:v>
      </x:c>
      <x:c r="N699" s="17" t="str">
        <x:v>不同幕混合，勿直接解释为纯强度</x:v>
      </x:c>
      <x:c r="O699" s="17" t="str">
        <x:v>https://sts2log.com/cards</x:v>
      </x:c>
      <x:c r="P699" s="17" t="str">
        <x:v>https://op.gg/zh-cn/slay-the-spire2/events/Darv</x:v>
      </x:c>
    </x:row>
    <x:row r="700" ht="25" customHeight="1">
      <x:c r="A700" s="2" t="str">
        <x:v>v0.111</x:v>
      </x:c>
      <x:c r="B700" s="2" t="str">
        <x:v>故障机器人</x:v>
      </x:c>
      <x:c r="C700" s="2" t="str">
        <x:v>涅奥</x:v>
      </x:c>
      <x:c r="D700" s="2" t="str">
        <x:v>石炉加湿器</x:v>
      </x:c>
      <x:c r="E700" s="16" t="n">
        <x:f>IF(G700=0,I700,IF(G700=1,H700,G700*H700+(1-G700)*I700))</x:f>
        <x:v>0.24642807999999997</x:v>
      </x:c>
      <x:c r="F700" s="12" t="n">
        <x:v>1542</x:v>
      </x:c>
      <x:c r="G700" s="11" t="n">
        <x:v>0.08039999999999999</x:v>
      </x:c>
      <x:c r="H700" s="11" t="n">
        <x:v>0.2742</x:v>
      </x:c>
      <x:c r="I700" s="11" t="n">
        <x:v>0.244</x:v>
      </x:c>
      <x:c r="J700" s="13" t="n">
        <x:f>IF(OR(G700=0,G700=1),"",(H700-I700)*100)</x:f>
        <x:v>3.0200000000000005</x:v>
      </x:c>
      <x:c r="K700" s="14" t="n">
        <x:v>5.68</x:v>
      </x:c>
      <x:c r="L700" s="15" t="n">
        <x:f>F700*G700</x:f>
        <x:v>123.97679999999998</x:v>
      </x:c>
      <x:c r="M700" s="15" t="n">
        <x:f>F700-L700</x:f>
        <x:v>1418.0232</x:v>
      </x:c>
      <x:c r="N700" s="17" t="str"/>
      <x:c r="O700" s="17" t="str">
        <x:v>https://sts2log.com/cards</x:v>
      </x:c>
      <x:c r="P700" s="17" t="str">
        <x:v>https://slaythespire2.net/ancient/neow</x:v>
      </x:c>
    </x:row>
    <x:row r="701" ht="25" customHeight="1">
      <x:c r="A701" s="2" t="str">
        <x:v>v0.111</x:v>
      </x:c>
      <x:c r="B701" s="2" t="str">
        <x:v>故障机器人</x:v>
      </x:c>
      <x:c r="C701" s="2" t="str">
        <x:v>涅奥</x:v>
      </x:c>
      <x:c r="D701" s="2" t="str">
        <x:v>涅奥的牺牲</x:v>
      </x:c>
      <x:c r="E701" s="16" t="n">
        <x:f>IF(G701=0,I701,IF(G701=1,H701,G701*H701+(1-G701)*I701))</x:f>
        <x:v>0.24435248</x:v>
      </x:c>
      <x:c r="F701" s="12" t="n">
        <x:v>2267</x:v>
      </x:c>
      <x:c r="G701" s="11" t="n">
        <x:v>0.1557</x:v>
      </x:c>
      <x:c r="H701" s="11" t="n">
        <x:v>0.3173</x:v>
      </x:c>
      <x:c r="I701" s="11" t="n">
        <x:v>0.2309</x:v>
      </x:c>
      <x:c r="J701" s="13" t="n">
        <x:f>IF(OR(G701=0,G701=1),"",(H701-I701)*100)</x:f>
        <x:v>8.640000000000004</x:v>
      </x:c>
      <x:c r="K701" s="14" t="n">
        <x:v>9.99</x:v>
      </x:c>
      <x:c r="L701" s="15" t="n">
        <x:f>F701*G701</x:f>
        <x:v>352.9719</x:v>
      </x:c>
      <x:c r="M701" s="15" t="n">
        <x:f>F701-L701</x:f>
        <x:v>1914.0281</x:v>
      </x:c>
      <x:c r="N701" s="17" t="str"/>
      <x:c r="O701" s="17" t="str">
        <x:v>https://sts2log.com/cards</x:v>
      </x:c>
      <x:c r="P701" s="17" t="str">
        <x:v>https://op.gg/zh-cn/slay-the-spire2/events/Neow</x:v>
      </x:c>
    </x:row>
    <x:row r="702" ht="25" customHeight="1">
      <x:c r="A702" s="2" t="str">
        <x:v>v0.111</x:v>
      </x:c>
      <x:c r="B702" s="2" t="str">
        <x:v>故障机器人</x:v>
      </x:c>
      <x:c r="C702" s="2" t="str">
        <x:v>涅奥</x:v>
      </x:c>
      <x:c r="D702" s="2" t="str">
        <x:v>涅奥的护符</x:v>
      </x:c>
      <x:c r="E702" s="16" t="n">
        <x:f>IF(G702=0,I702,IF(G702=1,H702,G702*H702+(1-G702)*I702))</x:f>
        <x:v>0.23943346999999998</x:v>
      </x:c>
      <x:c r="F702" s="12" t="n">
        <x:v>1583</x:v>
      </x:c>
      <x:c r="G702" s="11" t="n">
        <x:v>0.0897</x:v>
      </x:c>
      <x:c r="H702" s="11" t="n">
        <x:v>0.3169</x:v>
      </x:c>
      <x:c r="I702" s="11" t="n">
        <x:v>0.2318</x:v>
      </x:c>
      <x:c r="J702" s="13" t="n">
        <x:f>IF(OR(G702=0,G702=1),"",(H702-I702)*100)</x:f>
        <x:v>8.510000000000002</x:v>
      </x:c>
      <x:c r="K702" s="14" t="n">
        <x:v>9.95</x:v>
      </x:c>
      <x:c r="L702" s="15" t="n">
        <x:f>F702*G702</x:f>
        <x:v>141.9951</x:v>
      </x:c>
      <x:c r="M702" s="15" t="n">
        <x:f>F702-L702</x:f>
        <x:v>1441.0049</x:v>
      </x:c>
      <x:c r="N702" s="17" t="str"/>
      <x:c r="O702" s="17" t="str">
        <x:v>https://sts2log.com/cards</x:v>
      </x:c>
      <x:c r="P702" s="17" t="str">
        <x:v>https://slaythespire2.net/ancient/neow</x:v>
      </x:c>
    </x:row>
    <x:row r="703" ht="25" customHeight="1">
      <x:c r="A703" s="2" t="str">
        <x:v>v0.111</x:v>
      </x:c>
      <x:c r="B703" s="2" t="str">
        <x:v>故障机器人</x:v>
      </x:c>
      <x:c r="C703" s="2" t="str">
        <x:v>涅奥</x:v>
      </x:c>
      <x:c r="D703" s="2" t="str">
        <x:v>小型扭蛋</x:v>
      </x:c>
      <x:c r="E703" s="16" t="n">
        <x:f>IF(G703=0,I703,IF(G703=1,H703,G703*H703+(1-G703)*I703))</x:f>
        <x:v>0.23494500000000001</x:v>
      </x:c>
      <x:c r="F703" s="12" t="n">
        <x:v>1426</x:v>
      </x:c>
      <x:c r="G703" s="11" t="n">
        <x:v>0.30579999999999996</x:v>
      </x:c>
      <x:c r="H703" s="11" t="n">
        <x:v>0.2523</x:v>
      </x:c>
      <x:c r="I703" s="11" t="n">
        <x:v>0.2273</x:v>
      </x:c>
      <x:c r="J703" s="13" t="n">
        <x:f>IF(OR(G703=0,G703=1),"",(H703-I703)*100)</x:f>
        <x:v>2.500000000000002</x:v>
      </x:c>
      <x:c r="K703" s="14" t="n">
        <x:v>3.49</x:v>
      </x:c>
      <x:c r="L703" s="15" t="n">
        <x:f>F703*G703</x:f>
        <x:v>436.07079999999996</x:v>
      </x:c>
      <x:c r="M703" s="15" t="n">
        <x:f>F703-L703</x:f>
        <x:v>989.9292</x:v>
      </x:c>
      <x:c r="N703" s="17" t="str"/>
      <x:c r="O703" s="17" t="str">
        <x:v>https://sts2log.com/cards</x:v>
      </x:c>
      <x:c r="P703" s="17" t="str">
        <x:v>https://slaythespire2.net/ancient/neow</x:v>
      </x:c>
    </x:row>
    <x:row r="704" ht="25" customHeight="1">
      <x:c r="A704" s="2" t="str">
        <x:v>v0.111</x:v>
      </x:c>
      <x:c r="B704" s="2" t="str">
        <x:v>故障机器人</x:v>
      </x:c>
      <x:c r="C704" s="2" t="str">
        <x:v>涅奥</x:v>
      </x:c>
      <x:c r="D704" s="2" t="str">
        <x:v>金色珍珠</x:v>
      </x:c>
      <x:c r="E704" s="16" t="n">
        <x:f>IF(G704=0,I704,IF(G704=1,H704,G704*H704+(1-G704)*I704))</x:f>
        <x:v>0.2306607</x:v>
      </x:c>
      <x:c r="F704" s="12" t="n">
        <x:v>2957</x:v>
      </x:c>
      <x:c r="G704" s="11" t="n">
        <x:v>0.42950000000000005</x:v>
      </x:c>
      <x:c r="H704" s="11" t="n">
        <x:v>0.2504</x:v>
      </x:c>
      <x:c r="I704" s="11" t="n">
        <x:v>0.2158</x:v>
      </x:c>
      <x:c r="J704" s="13" t="n">
        <x:f>IF(OR(G704=0,G704=1),"",(H704-I704)*100)</x:f>
        <x:v>3.4600000000000017</x:v>
      </x:c>
      <x:c r="K704" s="14" t="n">
        <x:v>3.3</x:v>
      </x:c>
      <x:c r="L704" s="15" t="n">
        <x:f>F704*G704</x:f>
        <x:v>1270.0315</x:v>
      </x:c>
      <x:c r="M704" s="15" t="n">
        <x:f>F704-L704</x:f>
        <x:v>1686.9685</x:v>
      </x:c>
      <x:c r="N704" s="17" t="str"/>
      <x:c r="O704" s="17" t="str">
        <x:v>https://sts2log.com/cards</x:v>
      </x:c>
      <x:c r="P704" s="17" t="str">
        <x:v>https://slaythespire2.net/ancient/neow</x:v>
      </x:c>
    </x:row>
    <x:row r="705" ht="25" customHeight="1">
      <x:c r="A705" s="2" t="str">
        <x:v>v0.111</x:v>
      </x:c>
      <x:c r="B705" s="2" t="str">
        <x:v>故障机器人</x:v>
      </x:c>
      <x:c r="C705" s="2" t="str">
        <x:v>涅奥</x:v>
      </x:c>
      <x:c r="D705" s="2" t="str">
        <x:v>巨大扭蛋</x:v>
      </x:c>
      <x:c r="E705" s="16" t="n">
        <x:f>IF(G705=0,I705,IF(G705=1,H705,G705*H705+(1-G705)*I705))</x:f>
        <x:v>0.22822340000000002</x:v>
      </x:c>
      <x:c r="F705" s="12" t="n">
        <x:v>2309</x:v>
      </x:c>
      <x:c r="G705" s="11" t="n">
        <x:v>0.32520000000000004</x:v>
      </x:c>
      <x:c r="H705" s="11" t="n">
        <x:v>0.265</x:v>
      </x:c>
      <x:c r="I705" s="11" t="n">
        <x:v>0.21050000000000002</x:v>
      </x:c>
      <x:c r="J705" s="13" t="n">
        <x:f>IF(OR(G705=0,G705=1),"",(H705-I705)*100)</x:f>
        <x:v>5.449999999999999</x:v>
      </x:c>
      <x:c r="K705" s="14" t="n">
        <x:v>4.76</x:v>
      </x:c>
      <x:c r="L705" s="15" t="n">
        <x:f>F705*G705</x:f>
        <x:v>750.8868000000001</x:v>
      </x:c>
      <x:c r="M705" s="15" t="n">
        <x:f>F705-L705</x:f>
        <x:v>1558.1131999999998</x:v>
      </x:c>
      <x:c r="N705" s="17" t="str"/>
      <x:c r="O705" s="17" t="str">
        <x:v>https://sts2log.com/cards</x:v>
      </x:c>
      <x:c r="P705" s="17" t="str">
        <x:v>https://slaythespire2.net/ancient/neow</x:v>
      </x:c>
    </x:row>
    <x:row r="706" ht="25" customHeight="1">
      <x:c r="A706" s="2" t="str">
        <x:v>v0.111</x:v>
      </x:c>
      <x:c r="B706" s="2" t="str">
        <x:v>故障机器人</x:v>
      </x:c>
      <x:c r="C706" s="2" t="str">
        <x:v>涅奥</x:v>
      </x:c>
      <x:c r="D706" s="2" t="str">
        <x:v>羽翼之靴</x:v>
      </x:c>
      <x:c r="E706" s="16" t="n">
        <x:f>IF(G706=0,I706,IF(G706=1,H706,G706*H706+(1-G706)*I706))</x:f>
        <x:v>0.22794872000000002</x:v>
      </x:c>
      <x:c r="F706" s="12" t="n">
        <x:v>3181</x:v>
      </x:c>
      <x:c r="G706" s="11" t="n">
        <x:v>0.2584</x:v>
      </x:c>
      <x:c r="H706" s="11" t="n">
        <x:v>0.2786</x:v>
      </x:c>
      <x:c r="I706" s="11" t="n">
        <x:v>0.21030000000000001</x:v>
      </x:c>
      <x:c r="J706" s="13" t="n">
        <x:f>IF(OR(G706=0,G706=1),"",(H706-I706)*100)</x:f>
        <x:v>6.83</x:v>
      </x:c>
      <x:c r="K706" s="14" t="n">
        <x:v>6.12</x:v>
      </x:c>
      <x:c r="L706" s="15" t="n">
        <x:f>F706*G706</x:f>
        <x:v>821.9704</x:v>
      </x:c>
      <x:c r="M706" s="15" t="n">
        <x:f>F706-L706</x:f>
        <x:v>2359.0296</x:v>
      </x:c>
      <x:c r="N706" s="17" t="str"/>
      <x:c r="O706" s="17" t="str">
        <x:v>https://sts2log.com/cards</x:v>
      </x:c>
      <x:c r="P706" s="17" t="str">
        <x:v>https://slaythespire2.net/ancient/neow</x:v>
      </x:c>
    </x:row>
    <x:row r="707" ht="25" customHeight="1">
      <x:c r="A707" s="2" t="str">
        <x:v>v0.111</x:v>
      </x:c>
      <x:c r="B707" s="2" t="str">
        <x:v>故障机器人</x:v>
      </x:c>
      <x:c r="C707" s="2" t="str">
        <x:v>涅奥</x:v>
      </x:c>
      <x:c r="D707" s="2" t="str">
        <x:v>松动羊毛剪</x:v>
      </x:c>
      <x:c r="E707" s="16" t="n">
        <x:f>IF(G707=0,I707,IF(G707=1,H707,G707*H707+(1-G707)*I707))</x:f>
        <x:v>0.22708328</x:v>
      </x:c>
      <x:c r="F707" s="12" t="n">
        <x:v>2382</x:v>
      </x:c>
      <x:c r="G707" s="11" t="n">
        <x:v>0.3346</x:v>
      </x:c>
      <x:c r="H707" s="11" t="n">
        <x:v>0.2183</x:v>
      </x:c>
      <x:c r="I707" s="11" t="n">
        <x:v>0.23149999999999998</x:v>
      </x:c>
      <x:c r="J707" s="13" t="n">
        <x:f>IF(OR(G707=0,G707=1),"",(H707-I707)*100)</x:f>
        <x:v>-1.319999999999999</x:v>
      </x:c>
      <x:c r="K707" s="14" t="n">
        <x:v>0.09</x:v>
      </x:c>
      <x:c r="L707" s="15" t="n">
        <x:f>F707*G707</x:f>
        <x:v>797.0172</x:v>
      </x:c>
      <x:c r="M707" s="15" t="n">
        <x:f>F707-L707</x:f>
        <x:v>1584.9828</x:v>
      </x:c>
      <x:c r="N707" s="17" t="str"/>
      <x:c r="O707" s="17" t="str">
        <x:v>https://sts2log.com/cards</x:v>
      </x:c>
      <x:c r="P707" s="17" t="str">
        <x:v>https://slaythespire2.net/ancient/neow</x:v>
      </x:c>
    </x:row>
    <x:row r="708" ht="25" customHeight="1">
      <x:c r="A708" s="2" t="str">
        <x:v>v0.111</x:v>
      </x:c>
      <x:c r="B708" s="2" t="str">
        <x:v>故障机器人</x:v>
      </x:c>
      <x:c r="C708" s="2" t="str">
        <x:v>涅奥</x:v>
      </x:c>
      <x:c r="D708" s="2" t="str">
        <x:v>钓鱼竿</x:v>
      </x:c>
      <x:c r="E708" s="16" t="n">
        <x:f>IF(G708=0,I708,IF(G708=1,H708,G708*H708+(1-G708)*I708))</x:f>
        <x:v>0.2256889</x:v>
      </x:c>
      <x:c r="F708" s="12" t="n">
        <x:v>3168</x:v>
      </x:c>
      <x:c r="G708" s="11" t="n">
        <x:v>0.203</x:v>
      </x:c>
      <x:c r="H708" s="11" t="n">
        <x:v>0.20679999999999998</x:v>
      </x:c>
      <x:c r="I708" s="11" t="n">
        <x:v>0.2305</x:v>
      </x:c>
      <x:c r="J708" s="13" t="n">
        <x:f>IF(OR(G708=0,G708=1),"",(H708-I708)*100)</x:f>
        <x:v>-2.3700000000000028</x:v>
      </x:c>
      <x:c r="K708" s="14" t="n">
        <x:v>-1.06</x:v>
      </x:c>
      <x:c r="L708" s="15" t="n">
        <x:f>F708*G708</x:f>
        <x:v>643.104</x:v>
      </x:c>
      <x:c r="M708" s="15" t="n">
        <x:f>F708-L708</x:f>
        <x:v>2524.8959999999997</x:v>
      </x:c>
      <x:c r="N708" s="17" t="str"/>
      <x:c r="O708" s="17" t="str">
        <x:v>https://sts2log.com/cards</x:v>
      </x:c>
      <x:c r="P708" s="17" t="str">
        <x:v>https://slaythespire2.net/ancient/neow</x:v>
      </x:c>
    </x:row>
    <x:row r="709" ht="25" customHeight="1">
      <x:c r="A709" s="2" t="str">
        <x:v>v0.111</x:v>
      </x:c>
      <x:c r="B709" s="2" t="str">
        <x:v>故障机器人</x:v>
      </x:c>
      <x:c r="C709" s="2" t="str">
        <x:v>涅奥</x:v>
      </x:c>
      <x:c r="D709" s="2" t="str">
        <x:v>营养牡蛎</x:v>
      </x:c>
      <x:c r="E709" s="16" t="n">
        <x:f>IF(G709=0,I709,IF(G709=1,H709,G709*H709+(1-G709)*I709))</x:f>
        <x:v>0.22518379</x:v>
      </x:c>
      <x:c r="F709" s="12" t="n">
        <x:v>1594</x:v>
      </x:c>
      <x:c r="G709" s="11" t="n">
        <x:v>0.0621</x:v>
      </x:c>
      <x:c r="H709" s="11" t="n">
        <x:v>0.1313</x:v>
      </x:c>
      <x:c r="I709" s="11" t="n">
        <x:v>0.2314</x:v>
      </x:c>
      <x:c r="J709" s="13" t="n">
        <x:f>IF(OR(G709=0,G709=1),"",(H709-I709)*100)</x:f>
        <x:v>-10.01</x:v>
      </x:c>
      <x:c r="K709" s="14" t="n">
        <x:v>-8.61</x:v>
      </x:c>
      <x:c r="L709" s="15" t="n">
        <x:f>F709*G709</x:f>
        <x:v>98.98740000000001</x:v>
      </x:c>
      <x:c r="M709" s="15" t="n">
        <x:f>F709-L709</x:f>
        <x:v>1495.0126</x:v>
      </x:c>
      <x:c r="N709" s="17" t="str"/>
      <x:c r="O709" s="17" t="str">
        <x:v>https://sts2log.com/cards</x:v>
      </x:c>
      <x:c r="P709" s="17" t="str">
        <x:v>https://slaythespire2.net/ancient/neow</x:v>
      </x:c>
    </x:row>
    <x:row r="710" ht="25" customHeight="1">
      <x:c r="A710" s="2" t="str">
        <x:v>v0.111</x:v>
      </x:c>
      <x:c r="B710" s="2" t="str">
        <x:v>故障机器人</x:v>
      </x:c>
      <x:c r="C710" s="2" t="str">
        <x:v>涅奥</x:v>
      </x:c>
      <x:c r="D710" s="2" t="str">
        <x:v>树叶药膏</x:v>
      </x:c>
      <x:c r="E710" s="16" t="n">
        <x:f>IF(G710=0,I710,IF(G710=1,H710,G710*H710+(1-G710)*I710))</x:f>
        <x:v>0.22421544</x:v>
      </x:c>
      <x:c r="F710" s="12" t="n">
        <x:v>2435</x:v>
      </x:c>
      <x:c r="G710" s="11" t="n">
        <x:v>0.5979</x:v>
      </x:c>
      <x:c r="H710" s="11" t="n">
        <x:v>0.21359999999999998</x:v>
      </x:c>
      <x:c r="I710" s="11" t="n">
        <x:v>0.24</x:v>
      </x:c>
      <x:c r="J710" s="13" t="n">
        <x:f>IF(OR(G710=0,G710=1),"",(H710-I710)*100)</x:f>
        <x:v>-2.6400000000000006</x:v>
      </x:c>
      <x:c r="K710" s="14" t="n">
        <x:v>-0.38</x:v>
      </x:c>
      <x:c r="L710" s="15" t="n">
        <x:f>F710*G710</x:f>
        <x:v>1455.8865</x:v>
      </x:c>
      <x:c r="M710" s="15" t="n">
        <x:f>F710-L710</x:f>
        <x:v>979.1134999999999</x:v>
      </x:c>
      <x:c r="N710" s="17" t="str"/>
      <x:c r="O710" s="17" t="str">
        <x:v>https://sts2log.com/cards</x:v>
      </x:c>
      <x:c r="P710" s="17" t="str">
        <x:v>https://slaythespire2.net/ancient/neow</x:v>
      </x:c>
    </x:row>
    <x:row r="711" ht="25" customHeight="1">
      <x:c r="A711" s="2" t="str">
        <x:v>v0.111</x:v>
      </x:c>
      <x:c r="B711" s="2" t="str">
        <x:v>故障机器人</x:v>
      </x:c>
      <x:c r="C711" s="2" t="str">
        <x:v>涅奥</x:v>
      </x:c>
      <x:c r="D711" s="2" t="str">
        <x:v>白银熔炉</x:v>
      </x:c>
      <x:c r="E711" s="16" t="n">
        <x:f>IF(G711=0,I711,IF(G711=1,H711,G711*H711+(1-G711)*I711))</x:f>
        <x:v>0.22413912</x:v>
      </x:c>
      <x:c r="F711" s="12" t="n">
        <x:v>2614</x:v>
      </x:c>
      <x:c r="G711" s="11" t="n">
        <x:v>0.7131000000000001</x:v>
      </x:c>
      <x:c r="H711" s="11" t="n">
        <x:v>0.2285</x:v>
      </x:c>
      <x:c r="I711" s="11" t="n">
        <x:v>0.2133</x:v>
      </x:c>
      <x:c r="J711" s="13" t="n">
        <x:f>IF(OR(G711=0,G711=1),"",(H711-I711)*100)</x:f>
        <x:v>1.5200000000000018</x:v>
      </x:c>
      <x:c r="K711" s="14" t="n">
        <x:v>1.11</x:v>
      </x:c>
      <x:c r="L711" s="15" t="n">
        <x:f>F711*G711</x:f>
        <x:v>1864.0434000000002</x:v>
      </x:c>
      <x:c r="M711" s="15" t="n">
        <x:f>F711-L711</x:f>
        <x:v>749.9565999999998</x:v>
      </x:c>
      <x:c r="N711" s="17" t="str"/>
      <x:c r="O711" s="17" t="str">
        <x:v>https://sts2log.com/cards</x:v>
      </x:c>
      <x:c r="P711" s="17" t="str">
        <x:v>https://slaythespire2.net/ancient/neow</x:v>
      </x:c>
    </x:row>
    <x:row r="712" ht="25" customHeight="1">
      <x:c r="A712" s="2" t="str">
        <x:v>v0.111</x:v>
      </x:c>
      <x:c r="B712" s="2" t="str">
        <x:v>故障机器人</x:v>
      </x:c>
      <x:c r="C712" s="2" t="str">
        <x:v>涅奥</x:v>
      </x:c>
      <x:c r="D712" s="2" t="str">
        <x:v>熔岩石</x:v>
      </x:c>
      <x:c r="E712" s="16" t="n">
        <x:f>IF(G712=0,I712,IF(G712=1,H712,G712*H712+(1-G712)*I712))</x:f>
        <x:v>0.22343420000000003</x:v>
      </x:c>
      <x:c r="F712" s="12" t="n">
        <x:v>1410</x:v>
      </x:c>
      <x:c r="G712" s="11" t="n">
        <x:v>0.1383</x:v>
      </x:c>
      <x:c r="H712" s="11" t="n">
        <x:v>0.2872</x:v>
      </x:c>
      <x:c r="I712" s="11" t="n">
        <x:v>0.2132</x:v>
      </x:c>
      <x:c r="J712" s="13" t="n">
        <x:f>IF(OR(G712=0,G712=1),"",(H712-I712)*100)</x:f>
        <x:v>7.400000000000001</x:v>
      </x:c>
      <x:c r="K712" s="14" t="n">
        <x:v>6.98</x:v>
      </x:c>
      <x:c r="L712" s="15" t="n">
        <x:f>F712*G712</x:f>
        <x:v>195.00300000000001</x:v>
      </x:c>
      <x:c r="M712" s="15" t="n">
        <x:f>F712-L712</x:f>
        <x:v>1214.997</x:v>
      </x:c>
      <x:c r="N712" s="17" t="str"/>
      <x:c r="O712" s="17" t="str">
        <x:v>https://sts2log.com/cards</x:v>
      </x:c>
      <x:c r="P712" s="17" t="str">
        <x:v>https://slaythespire2.net/ancient/neow</x:v>
      </x:c>
    </x:row>
    <x:row r="713" ht="25" customHeight="1">
      <x:c r="A713" s="2" t="str">
        <x:v>v0.111</x:v>
      </x:c>
      <x:c r="B713" s="2" t="str">
        <x:v>故障机器人</x:v>
      </x:c>
      <x:c r="C713" s="2" t="str">
        <x:v>涅奥</x:v>
      </x:c>
      <x:c r="D713" s="2" t="str">
        <x:v>新叶</x:v>
      </x:c>
      <x:c r="E713" s="16" t="n">
        <x:f>IF(G713=0,I713,IF(G713=1,H713,G713*H713+(1-G713)*I713))</x:f>
        <x:v>0.2227845</x:v>
      </x:c>
      <x:c r="F713" s="12" t="n">
        <x:v>2999</x:v>
      </x:c>
      <x:c r="G713" s="11" t="n">
        <x:v>0.42310000000000003</x:v>
      </x:c>
      <x:c r="H713" s="11" t="n">
        <x:v>0.21989999999999998</x:v>
      </x:c>
      <x:c r="I713" s="11" t="n">
        <x:v>0.2249</x:v>
      </x:c>
      <x:c r="J713" s="13" t="n">
        <x:f>IF(OR(G713=0,G713=1),"",(H713-I713)*100)</x:f>
        <x:v>-0.5000000000000004</x:v>
      </x:c>
      <x:c r="K713" s="14" t="n">
        <x:v>0.25</x:v>
      </x:c>
      <x:c r="L713" s="15" t="n">
        <x:f>F713*G713</x:f>
        <x:v>1268.8769000000002</x:v>
      </x:c>
      <x:c r="M713" s="15" t="n">
        <x:f>F713-L713</x:f>
        <x:v>1730.1230999999998</x:v>
      </x:c>
      <x:c r="N713" s="17" t="str"/>
      <x:c r="O713" s="17" t="str">
        <x:v>https://sts2log.com/cards</x:v>
      </x:c>
      <x:c r="P713" s="17" t="str">
        <x:v>https://slaythespire2.net/ancient/neow</x:v>
      </x:c>
    </x:row>
    <x:row r="714" ht="25" customHeight="1">
      <x:c r="A714" s="2" t="str">
        <x:v>v0.111</x:v>
      </x:c>
      <x:c r="B714" s="2" t="str">
        <x:v>故障机器人</x:v>
      </x:c>
      <x:c r="C714" s="2" t="str">
        <x:v>涅奥</x:v>
      </x:c>
      <x:c r="D714" s="2" t="str">
        <x:v>华美发束</x:v>
      </x:c>
      <x:c r="E714" s="16" t="n">
        <x:f>IF(G714=0,I714,IF(G714=1,H714,G714*H714+(1-G714)*I714))</x:f>
        <x:v>0.22111653999999997</x:v>
      </x:c>
      <x:c r="F714" s="12" t="n">
        <x:v>2582</x:v>
      </x:c>
      <x:c r="G714" s="11" t="n">
        <x:v>0.7293000000000001</x:v>
      </x:c>
      <x:c r="H714" s="11" t="n">
        <x:v>0.21239999999999998</x:v>
      </x:c>
      <x:c r="I714" s="11" t="n">
        <x:v>0.2446</x:v>
      </x:c>
      <x:c r="J714" s="13" t="n">
        <x:f>IF(OR(G714=0,G714=1),"",(H714-I714)*100)</x:f>
        <x:v>-3.2200000000000033</x:v>
      </x:c>
      <x:c r="K714" s="14" t="n">
        <x:v>-0.5</x:v>
      </x:c>
      <x:c r="L714" s="15" t="n">
        <x:f>F714*G714</x:f>
        <x:v>1883.0526000000002</x:v>
      </x:c>
      <x:c r="M714" s="15" t="n">
        <x:f>F714-L714</x:f>
        <x:v>698.9473999999998</x:v>
      </x:c>
      <x:c r="N714" s="17" t="str"/>
      <x:c r="O714" s="17" t="str">
        <x:v>https://sts2log.com/cards</x:v>
      </x:c>
      <x:c r="P714" s="17" t="str">
        <x:v>https://slaythespire2.net/ancient/neow</x:v>
      </x:c>
    </x:row>
    <x:row r="715" ht="25" customHeight="1">
      <x:c r="A715" s="2" t="str">
        <x:v>v0.111</x:v>
      </x:c>
      <x:c r="B715" s="2" t="str">
        <x:v>故障机器人</x:v>
      </x:c>
      <x:c r="C715" s="2" t="str">
        <x:v>涅奥</x:v>
      </x:c>
      <x:c r="D715" s="2" t="str">
        <x:v>药瓶皮套</x:v>
      </x:c>
      <x:c r="E715" s="16" t="n">
        <x:f>IF(G715=0,I715,IF(G715=1,H715,G715*H715+(1-G715)*I715))</x:f>
        <x:v>0.22069668</x:v>
      </x:c>
      <x:c r="F715" s="12" t="n">
        <x:v>2809</x:v>
      </x:c>
      <x:c r="G715" s="11" t="n">
        <x:v>0.22039999999999998</x:v>
      </x:c>
      <x:c r="H715" s="11" t="n">
        <x:v>0.26489999999999997</x:v>
      </x:c>
      <x:c r="I715" s="11" t="n">
        <x:v>0.2082</x:v>
      </x:c>
      <x:c r="J715" s="13" t="n">
        <x:f>IF(OR(G715=0,G715=1),"",(H715-I715)*100)</x:f>
        <x:v>5.669999999999997</x:v>
      </x:c>
      <x:c r="K715" s="14" t="n">
        <x:v>4.75</x:v>
      </x:c>
      <x:c r="L715" s="15" t="n">
        <x:f>F715*G715</x:f>
        <x:v>619.1035999999999</x:v>
      </x:c>
      <x:c r="M715" s="15" t="n">
        <x:f>F715-L715</x:f>
        <x:v>2189.8964</x:v>
      </x:c>
      <x:c r="N715" s="17" t="str"/>
      <x:c r="O715" s="17" t="str">
        <x:v>https://sts2log.com/cards</x:v>
      </x:c>
      <x:c r="P715" s="17" t="str">
        <x:v>https://slaythespire2.net/ancient/neow</x:v>
      </x:c>
    </x:row>
    <x:row r="716" ht="25" customHeight="1">
      <x:c r="A716" s="2" t="str">
        <x:v>v0.111</x:v>
      </x:c>
      <x:c r="B716" s="2" t="str">
        <x:v>故障机器人</x:v>
      </x:c>
      <x:c r="C716" s="2" t="str">
        <x:v>涅奥</x:v>
      </x:c>
      <x:c r="D716" s="2" t="str">
        <x:v>涅奥的苦痛</x:v>
      </x:c>
      <x:c r="E716" s="16" t="n">
        <x:f>IF(G716=0,I716,IF(G716=1,H716,G716*H716+(1-G716)*I716))</x:f>
        <x:v>0.22021908000000004</x:v>
      </x:c>
      <x:c r="F716" s="12" t="n">
        <x:v>3287</x:v>
      </x:c>
      <x:c r="G716" s="11" t="n">
        <x:v>0.10619999999999999</x:v>
      </x:c>
      <x:c r="H716" s="11" t="n">
        <x:v>0.3037</x:v>
      </x:c>
      <x:c r="I716" s="11" t="n">
        <x:v>0.21030000000000001</x:v>
      </x:c>
      <x:c r="J716" s="13" t="n">
        <x:f>IF(OR(G716=0,G716=1),"",(H716-I716)*100)</x:f>
        <x:v>9.340000000000002</x:v>
      </x:c>
      <x:c r="K716" s="14" t="n">
        <x:v>8.63</x:v>
      </x:c>
      <x:c r="L716" s="15" t="n">
        <x:f>F716*G716</x:f>
        <x:v>349.07939999999996</x:v>
      </x:c>
      <x:c r="M716" s="15" t="n">
        <x:f>F716-L716</x:f>
        <x:v>2937.9206</x:v>
      </x:c>
      <x:c r="N716" s="17" t="str"/>
      <x:c r="O716" s="17" t="str">
        <x:v>https://sts2log.com/cards</x:v>
      </x:c>
      <x:c r="P716" s="17" t="str">
        <x:v>https://slaythespire2.net/ancient/neow</x:v>
      </x:c>
    </x:row>
    <x:row r="717" ht="25" customHeight="1">
      <x:c r="A717" s="2" t="str">
        <x:v>v0.111</x:v>
      </x:c>
      <x:c r="B717" s="2" t="str">
        <x:v>故障机器人</x:v>
      </x:c>
      <x:c r="C717" s="2" t="str">
        <x:v>涅奥</x:v>
      </x:c>
      <x:c r="D717" s="2" t="str">
        <x:v>铅制镇纸</x:v>
      </x:c>
      <x:c r="E717" s="16" t="n">
        <x:f>IF(G717=0,I717,IF(G717=1,H717,G717*H717+(1-G717)*I717))</x:f>
        <x:v>0.21755991</x:v>
      </x:c>
      <x:c r="F717" s="12" t="n">
        <x:v>3286</x:v>
      </x:c>
      <x:c r="G717" s="11" t="n">
        <x:v>0.2827</x:v>
      </x:c>
      <x:c r="H717" s="11" t="n">
        <x:v>0.2271</x:v>
      </x:c>
      <x:c r="I717" s="11" t="n">
        <x:v>0.2138</x:v>
      </x:c>
      <x:c r="J717" s="13" t="n">
        <x:f>IF(OR(G717=0,G717=1),"",(H717-I717)*100)</x:f>
        <x:v>1.3300000000000005</x:v>
      </x:c>
      <x:c r="K717" s="14" t="n">
        <x:v>0.97</x:v>
      </x:c>
      <x:c r="L717" s="15" t="n">
        <x:f>F717*G717</x:f>
        <x:v>928.9522000000001</x:v>
      </x:c>
      <x:c r="M717" s="15" t="n">
        <x:f>F717-L717</x:f>
        <x:v>2357.0478</x:v>
      </x:c>
      <x:c r="N717" s="17" t="str"/>
      <x:c r="O717" s="17" t="str">
        <x:v>https://sts2log.com/cards</x:v>
      </x:c>
      <x:c r="P717" s="17" t="str">
        <x:v>https://slaythespire2.net/ancient/neow</x:v>
      </x:c>
    </x:row>
    <x:row r="718" ht="25" customHeight="1">
      <x:c r="A718" s="2" t="str">
        <x:v>v0.111</x:v>
      </x:c>
      <x:c r="B718" s="2" t="str">
        <x:v>故障机器人</x:v>
      </x:c>
      <x:c r="C718" s="2" t="str">
        <x:v>涅奥</x:v>
      </x:c>
      <x:c r="D718" s="2" t="str">
        <x:v>失物盒</x:v>
      </x:c>
      <x:c r="E718" s="16" t="n">
        <x:f>IF(G718=0,I718,IF(G718=1,H718,G718*H718+(1-G718)*I718))</x:f>
        <x:v>0.21736822</x:v>
      </x:c>
      <x:c r="F718" s="12" t="n">
        <x:v>2880</x:v>
      </x:c>
      <x:c r="G718" s="11" t="n">
        <x:v>0.2413</x:v>
      </x:c>
      <x:c r="H718" s="11" t="n">
        <x:v>0.2245</x:v>
      </x:c>
      <x:c r="I718" s="11" t="n">
        <x:v>0.2151</x:v>
      </x:c>
      <x:c r="J718" s="13" t="n">
        <x:f>IF(OR(G718=0,G718=1),"",(H718-I718)*100)</x:f>
        <x:v>0.9399999999999992</x:v>
      </x:c>
      <x:c r="K718" s="14" t="n">
        <x:v>0.71</x:v>
      </x:c>
      <x:c r="L718" s="15" t="n">
        <x:f>F718*G718</x:f>
        <x:v>694.944</x:v>
      </x:c>
      <x:c r="M718" s="15" t="n">
        <x:f>F718-L718</x:f>
        <x:v>2185.056</x:v>
      </x:c>
      <x:c r="N718" s="17" t="str"/>
      <x:c r="O718" s="17" t="str">
        <x:v>https://sts2log.com/cards</x:v>
      </x:c>
      <x:c r="P718" s="17" t="str">
        <x:v>https://slaythespire2.net/ancient/neow</x:v>
      </x:c>
    </x:row>
    <x:row r="719" ht="25" customHeight="1">
      <x:c r="A719" s="2" t="str">
        <x:v>v0.111</x:v>
      </x:c>
      <x:c r="B719" s="2" t="str">
        <x:v>故障机器人</x:v>
      </x:c>
      <x:c r="C719" s="2" t="str">
        <x:v>涅奥</x:v>
      </x:c>
      <x:c r="D719" s="2" t="str">
        <x:v>诅咒珍珠</x:v>
      </x:c>
      <x:c r="E719" s="16" t="n">
        <x:f>IF(G719=0,I719,IF(G719=1,H719,G719*H719+(1-G719)*I719))</x:f>
        <x:v>0.21433980000000002</x:v>
      </x:c>
      <x:c r="F719" s="12" t="n">
        <x:v>2347</x:v>
      </x:c>
      <x:c r="G719" s="11" t="n">
        <x:v>0.507</x:v>
      </x:c>
      <x:c r="H719" s="11" t="n">
        <x:v>0.2101</x:v>
      </x:c>
      <x:c r="I719" s="11" t="n">
        <x:v>0.2187</x:v>
      </x:c>
      <x:c r="J719" s="13" t="n">
        <x:f>IF(OR(G719=0,G719=1),"",(H719-I719)*100)</x:f>
        <x:v>-0.8599999999999997</x:v>
      </x:c>
      <x:c r="K719" s="14" t="n">
        <x:v>-0.73</x:v>
      </x:c>
      <x:c r="L719" s="15" t="n">
        <x:f>F719*G719</x:f>
        <x:v>1189.929</x:v>
      </x:c>
      <x:c r="M719" s="15" t="n">
        <x:f>F719-L719</x:f>
        <x:v>1157.071</x:v>
      </x:c>
      <x:c r="N719" s="17" t="str"/>
      <x:c r="O719" s="17" t="str">
        <x:v>https://sts2log.com/cards</x:v>
      </x:c>
      <x:c r="P719" s="17" t="str">
        <x:v>https://slaythespire2.net/ancient/neow</x:v>
      </x:c>
    </x:row>
    <x:row r="720" ht="25" customHeight="1">
      <x:c r="A720" s="2" t="str">
        <x:v>v0.111</x:v>
      </x:c>
      <x:c r="B720" s="2" t="str">
        <x:v>故障机器人</x:v>
      </x:c>
      <x:c r="C720" s="2" t="str">
        <x:v>涅奥</x:v>
      </x:c>
      <x:c r="D720" s="2" t="str">
        <x:v>轰鸣海螺</x:v>
      </x:c>
      <x:c r="E720" s="16" t="n">
        <x:f>IF(G720=0,I720,IF(G720=1,H720,G720*H720+(1-G720)*I720))</x:f>
        <x:v>0.21282372000000002</x:v>
      </x:c>
      <x:c r="F720" s="12" t="n">
        <x:v>3096</x:v>
      </x:c>
      <x:c r="G720" s="11" t="n">
        <x:v>0.16760000000000003</x:v>
      </x:c>
      <x:c r="H720" s="11" t="n">
        <x:v>0.30829999999999996</x:v>
      </x:c>
      <x:c r="I720" s="11" t="n">
        <x:v>0.1936</x:v>
      </x:c>
      <x:c r="J720" s="13" t="n">
        <x:f>IF(OR(G720=0,G720=1),"",(H720-I720)*100)</x:f>
        <x:v>11.469999999999997</x:v>
      </x:c>
      <x:c r="K720" s="14" t="n">
        <x:v>9.09</x:v>
      </x:c>
      <x:c r="L720" s="15" t="n">
        <x:f>F720*G720</x:f>
        <x:v>518.8896000000001</x:v>
      </x:c>
      <x:c r="M720" s="15" t="n">
        <x:f>F720-L720</x:f>
        <x:v>2577.1104</x:v>
      </x:c>
      <x:c r="N720" s="17" t="str"/>
      <x:c r="O720" s="17" t="str">
        <x:v>https://sts2log.com/cards</x:v>
      </x:c>
      <x:c r="P720" s="17" t="str">
        <x:v>https://slaythespire2.net/ancient/neow</x:v>
      </x:c>
    </x:row>
    <x:row r="721" ht="25" customHeight="1">
      <x:c r="A721" s="2" t="str">
        <x:v>v0.111</x:v>
      </x:c>
      <x:c r="B721" s="2" t="str">
        <x:v>故障机器人</x:v>
      </x:c>
      <x:c r="C721" s="2" t="str">
        <x:v>涅奥</x:v>
      </x:c>
      <x:c r="D721" s="2" t="str">
        <x:v>奥术卷轴</x:v>
      </x:c>
      <x:c r="E721" s="16" t="n">
        <x:f>IF(G721=0,I721,IF(G721=1,H721,G721*H721+(1-G721)*I721))</x:f>
        <x:v>0.21269129999999997</x:v>
      </x:c>
      <x:c r="F721" s="12" t="n">
        <x:v>2934</x:v>
      </x:c>
      <x:c r="G721" s="11" t="n">
        <x:v>0.4894</x:v>
      </x:c>
      <x:c r="H721" s="11" t="n">
        <x:v>0.1818</x:v>
      </x:c>
      <x:c r="I721" s="11" t="n">
        <x:v>0.24230000000000002</x:v>
      </x:c>
      <x:c r="J721" s="13" t="n">
        <x:f>IF(OR(G721=0,G721=1),"",(H721-I721)*100)</x:f>
        <x:v>-6.0500000000000025</x:v>
      </x:c>
      <x:c r="K721" s="14" t="n">
        <x:v>-3.56</x:v>
      </x:c>
      <x:c r="L721" s="15" t="n">
        <x:f>F721*G721</x:f>
        <x:v>1435.8996</x:v>
      </x:c>
      <x:c r="M721" s="15" t="n">
        <x:f>F721-L721</x:f>
        <x:v>1498.1004</x:v>
      </x:c>
      <x:c r="N721" s="17" t="str"/>
      <x:c r="O721" s="17" t="str">
        <x:v>https://sts2log.com/cards</x:v>
      </x:c>
      <x:c r="P721" s="17" t="str">
        <x:v>https://slaythespire2.net/ancient/neow</x:v>
      </x:c>
    </x:row>
    <x:row r="722" ht="25" customHeight="1">
      <x:c r="A722" s="2" t="str">
        <x:v>v0.111</x:v>
      </x:c>
      <x:c r="B722" s="2" t="str">
        <x:v>故障机器人</x:v>
      </x:c>
      <x:c r="C722" s="2" t="str">
        <x:v>涅奥</x:v>
      </x:c>
      <x:c r="D722" s="2" t="str">
        <x:v>万花筒</x:v>
      </x:c>
      <x:c r="E722" s="16" t="n">
        <x:f>IF(G722=0,I722,IF(G722=1,H722,G722*H722+(1-G722)*I722))</x:f>
        <x:v>0.21255198</x:v>
      </x:c>
      <x:c r="F722" s="12" t="n">
        <x:v>3058</x:v>
      </x:c>
      <x:c r="G722" s="11" t="n">
        <x:v>0.2462</x:v>
      </x:c>
      <x:c r="H722" s="11" t="n">
        <x:v>0.2072</x:v>
      </x:c>
      <x:c r="I722" s="11" t="n">
        <x:v>0.2143</x:v>
      </x:c>
      <x:c r="J722" s="13" t="n">
        <x:f>IF(OR(G722=0,G722=1),"",(H722-I722)*100)</x:f>
        <x:v>-0.7099999999999995</x:v>
      </x:c>
      <x:c r="K722" s="14" t="n">
        <x:v>-1.02</x:v>
      </x:c>
      <x:c r="L722" s="15" t="n">
        <x:f>F722*G722</x:f>
        <x:v>752.8796</x:v>
      </x:c>
      <x:c r="M722" s="15" t="n">
        <x:f>F722-L722</x:f>
        <x:v>2305.1204</x:v>
      </x:c>
      <x:c r="N722" s="17" t="str"/>
      <x:c r="O722" s="17" t="str">
        <x:v>https://sts2log.com/cards</x:v>
      </x:c>
      <x:c r="P722" s="17" t="str">
        <x:v>https://slaythespire2.net/ancient/neow</x:v>
      </x:c>
    </x:row>
    <x:row r="723" ht="25" customHeight="1">
      <x:c r="A723" s="2" t="str">
        <x:v>v0.111</x:v>
      </x:c>
      <x:c r="B723" s="2" t="str">
        <x:v>故障机器人</x:v>
      </x:c>
      <x:c r="C723" s="2" t="str">
        <x:v>涅奥</x:v>
      </x:c>
      <x:c r="D723" s="2" t="str">
        <x:v>寻龙尺</x:v>
      </x:c>
      <x:c r="E723" s="16" t="n">
        <x:f>IF(G723=0,I723,IF(G723=1,H723,G723*H723+(1-G723)*I723))</x:f>
        <x:v>0.20848304</x:v>
      </x:c>
      <x:c r="F723" s="12" t="n">
        <x:v>2537</x:v>
      </x:c>
      <x:c r="G723" s="11" t="n">
        <x:v>0.40240000000000004</x:v>
      </x:c>
      <x:c r="H723" s="11" t="n">
        <x:v>0.16940000000000002</x:v>
      </x:c>
      <x:c r="I723" s="11" t="n">
        <x:v>0.2348</x:v>
      </x:c>
      <x:c r="J723" s="13" t="n">
        <x:f>IF(OR(G723=0,G723=1),"",(H723-I723)*100)</x:f>
        <x:v>-6.539999999999998</x:v>
      </x:c>
      <x:c r="K723" s="14" t="n">
        <x:v>-4.8</x:v>
      </x:c>
      <x:c r="L723" s="15" t="n">
        <x:f>F723*G723</x:f>
        <x:v>1020.8888000000001</x:v>
      </x:c>
      <x:c r="M723" s="15" t="n">
        <x:f>F723-L723</x:f>
        <x:v>1516.1111999999998</x:v>
      </x:c>
      <x:c r="N723" s="17" t="str"/>
      <x:c r="O723" s="17" t="str">
        <x:v>https://sts2log.com/cards</x:v>
      </x:c>
      <x:c r="P723" s="17" t="str">
        <x:v>https://op.gg/zh-cn/slay-the-spire2/events/Neow</x:v>
      </x:c>
    </x:row>
    <x:row r="724" ht="25" customHeight="1">
      <x:c r="A724" s="2" t="str">
        <x:v>v0.111</x:v>
      </x:c>
      <x:c r="B724" s="2" t="str">
        <x:v>故障机器人</x:v>
      </x:c>
      <x:c r="C724" s="2" t="str">
        <x:v>涅奥</x:v>
      </x:c>
      <x:c r="D724" s="2" t="str">
        <x:v>卷轴箱</x:v>
      </x:c>
      <x:c r="E724" s="16" t="n">
        <x:f>IF(G724=0,I724,IF(G724=1,H724,G724*H724+(1-G724)*I724))</x:f>
        <x:v>0.20504292999999996</x:v>
      </x:c>
      <x:c r="F724" s="12" t="n">
        <x:v>3146</x:v>
      </x:c>
      <x:c r="G724" s="11" t="n">
        <x:v>0.3557</x:v>
      </x:c>
      <x:c r="H724" s="11" t="n">
        <x:v>0.2082</x:v>
      </x:c>
      <x:c r="I724" s="11" t="n">
        <x:v>0.20329999999999998</x:v>
      </x:c>
      <x:c r="J724" s="13" t="n">
        <x:f>IF(OR(G724=0,G724=1),"",(H724-I724)*100)</x:f>
        <x:v>0.49000000000000155</x:v>
      </x:c>
      <x:c r="K724" s="14" t="n">
        <x:v>-0.92</x:v>
      </x:c>
      <x:c r="L724" s="15" t="n">
        <x:f>F724*G724</x:f>
        <x:v>1119.0322</x:v>
      </x:c>
      <x:c r="M724" s="15" t="n">
        <x:f>F724-L724</x:f>
        <x:v>2026.9678</x:v>
      </x:c>
      <x:c r="N724" s="17" t="str"/>
      <x:c r="O724" s="17" t="str">
        <x:v>https://sts2log.com/cards</x:v>
      </x:c>
      <x:c r="P724" s="17" t="str">
        <x:v>https://slaythespire2.net/ancient/neow</x:v>
      </x:c>
    </x:row>
    <x:row r="725" ht="25" customHeight="1">
      <x:c r="A725" s="2" t="str">
        <x:v>v0.111</x:v>
      </x:c>
      <x:c r="B725" s="2" t="str">
        <x:v>故障机器人</x:v>
      </x:c>
      <x:c r="C725" s="2" t="str">
        <x:v>涅奥</x:v>
      </x:c>
      <x:c r="D725" s="2" t="str">
        <x:v>沉重石板</x:v>
      </x:c>
      <x:c r="E725" s="16" t="n">
        <x:f>IF(G725=0,I725,IF(G725=1,H725,G725*H725+(1-G725)*I725))</x:f>
        <x:v>0.2047738</x:v>
      </x:c>
      <x:c r="F725" s="12" t="n">
        <x:v>2510</x:v>
      </x:c>
      <x:c r="G725" s="11" t="n">
        <x:v>0.506</x:v>
      </x:c>
      <x:c r="H725" s="11" t="n">
        <x:v>0.1244</x:v>
      </x:c>
      <x:c r="I725" s="11" t="n">
        <x:v>0.2871</x:v>
      </x:c>
      <x:c r="J725" s="13" t="n">
        <x:f>IF(OR(G725=0,G725=1),"",(H725-I725)*100)</x:f>
        <x:v>-16.27</x:v>
      </x:c>
      <x:c r="K725" s="14" t="n">
        <x:v>-9.3</x:v>
      </x:c>
      <x:c r="L725" s="15" t="n">
        <x:f>F725*G725</x:f>
        <x:v>1270.06</x:v>
      </x:c>
      <x:c r="M725" s="15" t="n">
        <x:f>F725-L725</x:f>
        <x:v>1239.94</x:v>
      </x:c>
      <x:c r="N725" s="17" t="str"/>
      <x:c r="O725" s="17" t="str">
        <x:v>https://sts2log.com/cards</x:v>
      </x:c>
      <x:c r="P725" s="17" t="str">
        <x:v>https://slaythespire2.net/ancient/neow</x:v>
      </x:c>
    </x:row>
    <x:row r="726" ht="25" customHeight="1">
      <x:c r="A726" s="2" t="str">
        <x:v>v0.111</x:v>
      </x:c>
      <x:c r="B726" s="2" t="str">
        <x:v>故障机器人</x:v>
      </x:c>
      <x:c r="C726" s="2" t="str">
        <x:v>涅奥</x:v>
      </x:c>
      <x:c r="D726" s="2" t="str">
        <x:v>涅奥骨骰</x:v>
      </x:c>
      <x:c r="E726" s="16" t="n">
        <x:f>IF(G726=0,I726,IF(G726=1,H726,G726*H726+(1-G726)*I726))</x:f>
        <x:v>0.20393881000000003</x:v>
      </x:c>
      <x:c r="F726" s="12" t="n">
        <x:v>2452</x:v>
      </x:c>
      <x:c r="G726" s="11" t="n">
        <x:v>0.5049</x:v>
      </x:c>
      <x:c r="H726" s="11" t="n">
        <x:v>0.1826</x:v>
      </x:c>
      <x:c r="I726" s="11" t="n">
        <x:v>0.2257</x:v>
      </x:c>
      <x:c r="J726" s="13" t="n">
        <x:f>IF(OR(G726=0,G726=1),"",(H726-I726)*100)</x:f>
        <x:v>-4.31</x:v>
      </x:c>
      <x:c r="K726" s="14" t="n">
        <x:v>-3.48</x:v>
      </x:c>
      <x:c r="L726" s="15" t="n">
        <x:f>F726*G726</x:f>
        <x:v>1238.0148000000002</x:v>
      </x:c>
      <x:c r="M726" s="15" t="n">
        <x:f>F726-L726</x:f>
        <x:v>1213.9851999999998</x:v>
      </x:c>
      <x:c r="N726" s="17" t="str"/>
      <x:c r="O726" s="17" t="str">
        <x:v>https://sts2log.com/cards</x:v>
      </x:c>
      <x:c r="P726" s="17" t="str">
        <x:v>https://slaythespire2.net/ancient/neow</x:v>
      </x:c>
    </x:row>
    <x:row r="727" ht="25" customHeight="1">
      <x:c r="A727" s="2" t="str">
        <x:v>v0.111</x:v>
      </x:c>
      <x:c r="B727" s="2" t="str">
        <x:v>故障机器人</x:v>
      </x:c>
      <x:c r="C727" s="2" t="str">
        <x:v>涅奥</x:v>
      </x:c>
      <x:c r="D727" s="2" t="str">
        <x:v>精准剪刀</x:v>
      </x:c>
      <x:c r="E727" s="16" t="n">
        <x:f>IF(G727=0,I727,IF(G727=1,H727,G727*H727+(1-G727)*I727))</x:f>
        <x:v>0.20353297999999997</x:v>
      </x:c>
      <x:c r="F727" s="12" t="n">
        <x:v>2835</x:v>
      </x:c>
      <x:c r="G727" s="11" t="n">
        <x:v>0.1549</x:v>
      </x:c>
      <x:c r="H727" s="11" t="n">
        <x:v>0.1868</x:v>
      </x:c>
      <x:c r="I727" s="11" t="n">
        <x:v>0.2066</x:v>
      </x:c>
      <x:c r="J727" s="13" t="n">
        <x:f>IF(OR(G727=0,G727=1),"",(H727-I727)*100)</x:f>
        <x:v>-1.9800000000000013</x:v>
      </x:c>
      <x:c r="K727" s="14" t="n">
        <x:v>-3.06</x:v>
      </x:c>
      <x:c r="L727" s="15" t="n">
        <x:f>F727*G727</x:f>
        <x:v>439.1415</x:v>
      </x:c>
      <x:c r="M727" s="15" t="n">
        <x:f>F727-L727</x:f>
        <x:v>2395.8585</x:v>
      </x:c>
      <x:c r="N727" s="17" t="str"/>
      <x:c r="O727" s="17" t="str">
        <x:v>https://sts2log.com/cards</x:v>
      </x:c>
      <x:c r="P727" s="17" t="str">
        <x:v>https://slaythespire2.net/ancient/neow</x:v>
      </x:c>
    </x:row>
    <x:row r="728" ht="25" customHeight="1">
      <x:c r="A728" s="2" t="str">
        <x:v>v0.111</x:v>
      </x:c>
      <x:c r="B728" s="2" t="str">
        <x:v>故障机器人</x:v>
      </x:c>
      <x:c r="C728" s="2" t="str">
        <x:v>涅奥</x:v>
      </x:c>
      <x:c r="D728" s="2" t="str">
        <x:v>橙型香盒</x:v>
      </x:c>
      <x:c r="E728" s="16" t="n">
        <x:f>IF(G728=0,I728,IF(G728=1,H728,G728*H728+(1-G728)*I728))</x:f>
        <x:v>0.20232359999999996</x:v>
      </x:c>
      <x:c r="F728" s="12" t="n">
        <x:v>1641</x:v>
      </x:c>
      <x:c r="G728" s="11" t="n">
        <x:v>0.298</x:v>
      </x:c>
      <x:c r="H728" s="11" t="n">
        <x:v>0.18</x:v>
      </x:c>
      <x:c r="I728" s="11" t="n">
        <x:v>0.2118</x:v>
      </x:c>
      <x:c r="J728" s="13" t="n">
        <x:f>IF(OR(G728=0,G728=1),"",(H728-I728)*100)</x:f>
        <x:v>-3.1799999999999997</x:v>
      </x:c>
      <x:c r="K728" s="14" t="n">
        <x:v>-3.74</x:v>
      </x:c>
      <x:c r="L728" s="15" t="n">
        <x:f>F728*G728</x:f>
        <x:v>489.018</x:v>
      </x:c>
      <x:c r="M728" s="15" t="n">
        <x:f>F728-L728</x:f>
        <x:v>1151.982</x:v>
      </x:c>
      <x:c r="N728" s="17" t="str"/>
      <x:c r="O728" s="17" t="str">
        <x:v>https://sts2log.com/cards</x:v>
      </x:c>
      <x:c r="P728" s="17" t="str">
        <x:v>https://slaythespire2.net/ancient/neow</x:v>
      </x:c>
    </x:row>
    <x:row r="729" ht="25" customHeight="1">
      <x:c r="A729" s="2" t="str">
        <x:v>v0.111</x:v>
      </x:c>
      <x:c r="B729" s="2" t="str">
        <x:v>故障机器人</x:v>
      </x:c>
      <x:c r="C729" s="2" t="str">
        <x:v>欧洛巴斯</x:v>
      </x:c>
      <x:c r="D729" s="2" t="str">
        <x:v>发光珍珠</x:v>
      </x:c>
      <x:c r="E729" s="16" t="n">
        <x:f>IF(G729=0,I729,IF(G729=1,H729,G729*H729+(1-G729)*I729))</x:f>
        <x:v>0.33365416</x:v>
      </x:c>
      <x:c r="F729" s="12" t="n">
        <x:v>932</x:v>
      </x:c>
      <x:c r="G729" s="11" t="n">
        <x:v>0.24359999999999998</x:v>
      </x:c>
      <x:c r="H729" s="11" t="n">
        <x:v>0.3568</x:v>
      </x:c>
      <x:c r="I729" s="11" t="n">
        <x:v>0.3262</x:v>
      </x:c>
      <x:c r="J729" s="13" t="n">
        <x:f>IF(OR(G729=0,G729=1),"",(H729-I729)*100)</x:f>
        <x:v>3.0600000000000014</x:v>
      </x:c>
      <x:c r="K729" s="14" t="n">
        <x:v>13.94</x:v>
      </x:c>
      <x:c r="L729" s="15" t="n">
        <x:f>F729*G729</x:f>
        <x:v>227.03519999999997</x:v>
      </x:c>
      <x:c r="M729" s="15" t="n">
        <x:f>F729-L729</x:f>
        <x:v>704.9648</x:v>
      </x:c>
      <x:c r="N729" s="17" t="str"/>
      <x:c r="O729" s="17" t="str">
        <x:v>https://sts2log.com/cards</x:v>
      </x:c>
      <x:c r="P729" s="17" t="str">
        <x:v>https://slaythespire2.net/ancient/orobas</x:v>
      </x:c>
    </x:row>
    <x:row r="730" ht="25" customHeight="1">
      <x:c r="A730" s="2" t="str">
        <x:v>v0.111</x:v>
      </x:c>
      <x:c r="B730" s="2" t="str">
        <x:v>故障机器人</x:v>
      </x:c>
      <x:c r="C730" s="2" t="str">
        <x:v>欧洛巴斯</x:v>
      </x:c>
      <x:c r="D730" s="2" t="str">
        <x:v>放电异虾</x:v>
      </x:c>
      <x:c r="E730" s="16" t="n">
        <x:f>IF(G730=0,I730,IF(G730=1,H730,G730*H730+(1-G730)*I730))</x:f>
        <x:v>0.3314701</x:v>
      </x:c>
      <x:c r="F730" s="12" t="n">
        <x:v>1605</x:v>
      </x:c>
      <x:c r="G730" s="11" t="n">
        <x:v>0.2866</x:v>
      </x:c>
      <x:c r="H730" s="11" t="n">
        <x:v>0.33039999999999997</x:v>
      </x:c>
      <x:c r="I730" s="11" t="n">
        <x:v>0.3319</x:v>
      </x:c>
      <x:c r="J730" s="13" t="n">
        <x:f>IF(OR(G730=0,G730=1),"",(H730-I730)*100)</x:f>
        <x:v>-0.15000000000000013</x:v>
      </x:c>
      <x:c r="K730" s="14" t="n">
        <x:v>11.3</x:v>
      </x:c>
      <x:c r="L730" s="15" t="n">
        <x:f>F730*G730</x:f>
        <x:v>459.99300000000005</x:v>
      </x:c>
      <x:c r="M730" s="15" t="n">
        <x:f>F730-L730</x:f>
        <x:v>1145.007</x:v>
      </x:c>
      <x:c r="N730" s="17" t="str"/>
      <x:c r="O730" s="17" t="str">
        <x:v>https://sts2log.com/cards</x:v>
      </x:c>
      <x:c r="P730" s="17" t="str">
        <x:v>https://slaythespire2.net/ancient/orobas</x:v>
      </x:c>
    </x:row>
    <x:row r="731" ht="25" customHeight="1">
      <x:c r="A731" s="2" t="str">
        <x:v>v0.111</x:v>
      </x:c>
      <x:c r="B731" s="2" t="str">
        <x:v>故障机器人</x:v>
      </x:c>
      <x:c r="C731" s="2" t="str">
        <x:v>欧洛巴斯</x:v>
      </x:c>
      <x:c r="D731" s="2" t="str">
        <x:v>沙堡</x:v>
      </x:c>
      <x:c r="E731" s="16" t="n">
        <x:f>IF(G731=0,I731,IF(G731=1,H731,G731*H731+(1-G731)*I731))</x:f>
        <x:v>0.32932490000000003</x:v>
      </x:c>
      <x:c r="F731" s="12" t="n">
        <x:v>908</x:v>
      </x:c>
      <x:c r="G731" s="11" t="n">
        <x:v>0.28300000000000003</x:v>
      </x:c>
      <x:c r="H731" s="11" t="n">
        <x:v>0.3152</x:v>
      </x:c>
      <x:c r="I731" s="11" t="n">
        <x:v>0.33490000000000003</x:v>
      </x:c>
      <x:c r="J731" s="13" t="n">
        <x:f>IF(OR(G731=0,G731=1),"",(H731-I731)*100)</x:f>
        <x:v>-1.970000000000005</x:v>
      </x:c>
      <x:c r="K731" s="14" t="n">
        <x:v>9.78</x:v>
      </x:c>
      <x:c r="L731" s="15" t="n">
        <x:f>F731*G731</x:f>
        <x:v>256.964</x:v>
      </x:c>
      <x:c r="M731" s="15" t="n">
        <x:f>F731-L731</x:f>
        <x:v>651.0360000000001</x:v>
      </x:c>
      <x:c r="N731" s="17" t="str"/>
      <x:c r="O731" s="17" t="str">
        <x:v>https://sts2log.com/cards</x:v>
      </x:c>
      <x:c r="P731" s="17" t="str">
        <x:v>https://slaythespire2.net/ancient/orobas</x:v>
      </x:c>
    </x:row>
    <x:row r="732" ht="25" customHeight="1">
      <x:c r="A732" s="2" t="str">
        <x:v>v0.111</x:v>
      </x:c>
      <x:c r="B732" s="2" t="str">
        <x:v>故障机器人</x:v>
      </x:c>
      <x:c r="C732" s="2" t="str">
        <x:v>欧洛巴斯</x:v>
      </x:c>
      <x:c r="D732" s="2" t="str">
        <x:v>欧洛巴斯之触</x:v>
      </x:c>
      <x:c r="E732" s="16" t="n">
        <x:f>IF(G732=0,I732,IF(G732=1,H732,G732*H732+(1-G732)*I732))</x:f>
        <x:v>0.32646147000000003</x:v>
      </x:c>
      <x:c r="F732" s="12" t="n">
        <x:v>1884</x:v>
      </x:c>
      <x:c r="G732" s="11" t="n">
        <x:v>0.31370000000000003</x:v>
      </x:c>
      <x:c r="H732" s="11" t="n">
        <x:v>0.308</x:v>
      </x:c>
      <x:c r="I732" s="11" t="n">
        <x:v>0.33490000000000003</x:v>
      </x:c>
      <x:c r="J732" s="13" t="n">
        <x:f>IF(OR(G732=0,G732=1),"",(H732-I732)*100)</x:f>
        <x:v>-2.6900000000000035</x:v>
      </x:c>
      <x:c r="K732" s="14" t="n">
        <x:v>9.06</x:v>
      </x:c>
      <x:c r="L732" s="15" t="n">
        <x:f>F732*G732</x:f>
        <x:v>591.0108</x:v>
      </x:c>
      <x:c r="M732" s="15" t="n">
        <x:f>F732-L732</x:f>
        <x:v>1292.9892</x:v>
      </x:c>
      <x:c r="N732" s="17" t="str"/>
      <x:c r="O732" s="17" t="str">
        <x:v>https://sts2log.com/cards</x:v>
      </x:c>
      <x:c r="P732" s="17" t="str">
        <x:v>https://slaythespire2.net/ancient/orobas</x:v>
      </x:c>
    </x:row>
    <x:row r="733" ht="25" customHeight="1">
      <x:c r="A733" s="2" t="str">
        <x:v>v0.111</x:v>
      </x:c>
      <x:c r="B733" s="2" t="str">
        <x:v>故障机器人</x:v>
      </x:c>
      <x:c r="C733" s="2" t="str">
        <x:v>欧洛巴斯</x:v>
      </x:c>
      <x:c r="D733" s="2" t="str">
        <x:v>炼金箱</x:v>
      </x:c>
      <x:c r="E733" s="16" t="n">
        <x:f>IF(G733=0,I733,IF(G733=1,H733,G733*H733+(1-G733)*I733))</x:f>
        <x:v>0.32135419</x:v>
      </x:c>
      <x:c r="F733" s="12" t="n">
        <x:v>921</x:v>
      </x:c>
      <x:c r="G733" s="11" t="n">
        <x:v>0.22690000000000002</x:v>
      </x:c>
      <x:c r="H733" s="11" t="n">
        <x:v>0.42579999999999996</x:v>
      </x:c>
      <x:c r="I733" s="11" t="n">
        <x:v>0.2907</x:v>
      </x:c>
      <x:c r="J733" s="13" t="n">
        <x:f>IF(OR(G733=0,G733=1),"",(H733-I733)*100)</x:f>
        <x:v>13.509999999999994</x:v>
      </x:c>
      <x:c r="K733" s="14" t="n">
        <x:v>20.84</x:v>
      </x:c>
      <x:c r="L733" s="15" t="n">
        <x:f>F733*G733</x:f>
        <x:v>208.97490000000002</x:v>
      </x:c>
      <x:c r="M733" s="15" t="n">
        <x:f>F733-L733</x:f>
        <x:v>712.0251</x:v>
      </x:c>
      <x:c r="N733" s="17" t="str"/>
      <x:c r="O733" s="17" t="str">
        <x:v>https://sts2log.com/cards</x:v>
      </x:c>
      <x:c r="P733" s="17" t="str">
        <x:v>https://slaythespire2.net/ancient/orobas</x:v>
      </x:c>
    </x:row>
    <x:row r="734" ht="25" customHeight="1">
      <x:c r="A734" s="2" t="str">
        <x:v>v0.111</x:v>
      </x:c>
      <x:c r="B734" s="2" t="str">
        <x:v>故障机器人</x:v>
      </x:c>
      <x:c r="C734" s="2" t="str">
        <x:v>欧洛巴斯</x:v>
      </x:c>
      <x:c r="D734" s="2" t="str">
        <x:v>古老牙齿</x:v>
      </x:c>
      <x:c r="E734" s="16" t="n">
        <x:f>IF(G734=0,I734,IF(G734=1,H734,G734*H734+(1-G734)*I734))</x:f>
        <x:v>0.31449154</x:v>
      </x:c>
      <x:c r="F734" s="12" t="n">
        <x:v>1803</x:v>
      </x:c>
      <x:c r="G734" s="11" t="n">
        <x:v>0.4853</x:v>
      </x:c>
      <x:c r="H734" s="11" t="n">
        <x:v>0.34630000000000005</x:v>
      </x:c>
      <x:c r="I734" s="11" t="n">
        <x:v>0.2845</x:v>
      </x:c>
      <x:c r="J734" s="13" t="n">
        <x:f>IF(OR(G734=0,G734=1),"",(H734-I734)*100)</x:f>
        <x:v>6.180000000000008</x:v>
      </x:c>
      <x:c r="K734" s="14" t="n">
        <x:v>12.89</x:v>
      </x:c>
      <x:c r="L734" s="15" t="n">
        <x:f>F734*G734</x:f>
        <x:v>874.9959</x:v>
      </x:c>
      <x:c r="M734" s="15" t="n">
        <x:f>F734-L734</x:f>
        <x:v>928.0041</x:v>
      </x:c>
      <x:c r="N734" s="17" t="str"/>
      <x:c r="O734" s="17" t="str">
        <x:v>https://sts2log.com/cards</x:v>
      </x:c>
      <x:c r="P734" s="17" t="str">
        <x:v>https://slaythespire2.net/ancient/orobas</x:v>
      </x:c>
    </x:row>
    <x:row r="735" ht="25" customHeight="1">
      <x:c r="A735" s="2" t="str">
        <x:v>v0.111</x:v>
      </x:c>
      <x:c r="B735" s="2" t="str">
        <x:v>故障机器人</x:v>
      </x:c>
      <x:c r="C735" s="2" t="str">
        <x:v>欧洛巴斯</x:v>
      </x:c>
      <x:c r="D735" s="2" t="str">
        <x:v>棱彩宝石</x:v>
      </x:c>
      <x:c r="E735" s="16" t="n">
        <x:f>IF(G735=0,I735,IF(G735=1,H735,G735*H735+(1-G735)*I735))</x:f>
        <x:v>0.31192958</x:v>
      </x:c>
      <x:c r="F735" s="12" t="n">
        <x:v>513</x:v>
      </x:c>
      <x:c r="G735" s="11" t="n">
        <x:v>0.3197</x:v>
      </x:c>
      <x:c r="H735" s="11" t="n">
        <x:v>0.35369999999999996</x:v>
      </x:c>
      <x:c r="I735" s="11" t="n">
        <x:v>0.2923</x:v>
      </x:c>
      <x:c r="J735" s="13" t="n">
        <x:f>IF(OR(G735=0,G735=1),"",(H735-I735)*100)</x:f>
        <x:v>6.139999999999995</x:v>
      </x:c>
      <x:c r="K735" s="14" t="n">
        <x:v>13.63</x:v>
      </x:c>
      <x:c r="L735" s="15" t="n">
        <x:f>F735*G735</x:f>
        <x:v>164.0061</x:v>
      </x:c>
      <x:c r="M735" s="15" t="n">
        <x:f>F735-L735</x:f>
        <x:v>348.9939</x:v>
      </x:c>
      <x:c r="N735" s="17" t="str"/>
      <x:c r="O735" s="17" t="str">
        <x:v>https://sts2log.com/cards</x:v>
      </x:c>
      <x:c r="P735" s="17" t="str">
        <x:v>https://slaythespire2.net/ancient/orobas</x:v>
      </x:c>
    </x:row>
    <x:row r="736" ht="25" customHeight="1">
      <x:c r="A736" s="2" t="str">
        <x:v>v0.111</x:v>
      </x:c>
      <x:c r="B736" s="2" t="str">
        <x:v>故障机器人</x:v>
      </x:c>
      <x:c r="C736" s="2" t="str">
        <x:v>欧洛巴斯</x:v>
      </x:c>
      <x:c r="D736" s="2" t="str">
        <x:v>玻璃眼珠</x:v>
      </x:c>
      <x:c r="E736" s="16" t="n">
        <x:f>IF(G736=0,I736,IF(G736=1,H736,G736*H736+(1-G736)*I736))</x:f>
        <x:v>0.31099424</x:v>
      </x:c>
      <x:c r="F736" s="12" t="n">
        <x:v>1566</x:v>
      </x:c>
      <x:c r="G736" s="11" t="n">
        <x:v>0.4432</x:v>
      </x:c>
      <x:c r="H736" s="11" t="n">
        <x:v>0.2738</x:v>
      </x:c>
      <x:c r="I736" s="11" t="n">
        <x:v>0.3406</x:v>
      </x:c>
      <x:c r="J736" s="13" t="n">
        <x:f>IF(OR(G736=0,G736=1),"",(H736-I736)*100)</x:f>
        <x:v>-6.680000000000002</x:v>
      </x:c>
      <x:c r="K736" s="14" t="n">
        <x:v>5.64</x:v>
      </x:c>
      <x:c r="L736" s="15" t="n">
        <x:f>F736*G736</x:f>
        <x:v>694.0512</x:v>
      </x:c>
      <x:c r="M736" s="15" t="n">
        <x:f>F736-L736</x:f>
        <x:v>871.9488</x:v>
      </x:c>
      <x:c r="N736" s="17" t="str"/>
      <x:c r="O736" s="17" t="str">
        <x:v>https://sts2log.com/cards</x:v>
      </x:c>
      <x:c r="P736" s="17" t="str">
        <x:v>https://slaythespire2.net/ancient/orobas</x:v>
      </x:c>
    </x:row>
    <x:row r="737" ht="25" customHeight="1">
      <x:c r="A737" s="2" t="str">
        <x:v>v0.111</x:v>
      </x:c>
      <x:c r="B737" s="2" t="str">
        <x:v>故障机器人</x:v>
      </x:c>
      <x:c r="C737" s="2" t="str">
        <x:v>欧洛巴斯</x:v>
      </x:c>
      <x:c r="D737" s="2" t="str">
        <x:v>浮木</x:v>
      </x:c>
      <x:c r="E737" s="16" t="n">
        <x:f>IF(G737=0,I737,IF(G737=1,H737,G737*H737+(1-G737)*I737))</x:f>
        <x:v>0.30031250000000004</x:v>
      </x:c>
      <x:c r="F737" s="12" t="n">
        <x:v>929</x:v>
      </x:c>
      <x:c r="G737" s="11" t="n">
        <x:v>0.225</x:v>
      </x:c>
      <x:c r="H737" s="11" t="n">
        <x:v>0.22010000000000002</x:v>
      </x:c>
      <x:c r="I737" s="11" t="n">
        <x:v>0.3236</x:v>
      </x:c>
      <x:c r="J737" s="13" t="n">
        <x:f>IF(OR(G737=0,G737=1),"",(H737-I737)*100)</x:f>
        <x:v>-10.349999999999998</x:v>
      </x:c>
      <x:c r="K737" s="14" t="n">
        <x:v>0.27</x:v>
      </x:c>
      <x:c r="L737" s="15" t="n">
        <x:f>F737*G737</x:f>
        <x:v>209.025</x:v>
      </x:c>
      <x:c r="M737" s="15" t="n">
        <x:f>F737-L737</x:f>
        <x:v>719.975</x:v>
      </x:c>
      <x:c r="N737" s="17" t="str"/>
      <x:c r="O737" s="17" t="str">
        <x:v>https://sts2log.com/cards</x:v>
      </x:c>
      <x:c r="P737" s="17" t="str">
        <x:v>https://slaythespire2.net/ancient/orobas</x:v>
      </x:c>
    </x:row>
    <x:row r="738" ht="25" customHeight="1">
      <x:c r="A738" s="2" t="str">
        <x:v>v0.111</x:v>
      </x:c>
      <x:c r="B738" s="2" t="str">
        <x:v>故障机器人</x:v>
      </x:c>
      <x:c r="C738" s="2" t="str">
        <x:v>佩尔</x:v>
      </x:c>
      <x:c r="D738" s="2" t="str">
        <x:v>佩尔之血</x:v>
      </x:c>
      <x:c r="E738" s="16" t="n">
        <x:f>IF(G738=0,I738,IF(G738=1,H738,G738*H738+(1-G738)*I738))</x:f>
        <x:v>0.41405590999999997</x:v>
      </x:c>
      <x:c r="F738" s="12" t="n">
        <x:v>1582</x:v>
      </x:c>
      <x:c r="G738" s="11" t="n">
        <x:v>0.6201</x:v>
      </x:c>
      <x:c r="H738" s="11" t="n">
        <x:v>0.4669</x:v>
      </x:c>
      <x:c r="I738" s="11" t="n">
        <x:v>0.32780000000000004</x:v>
      </x:c>
      <x:c r="J738" s="13" t="n">
        <x:f>IF(OR(G738=0,G738=1),"",(H738-I738)*100)</x:f>
        <x:v>13.909999999999995</x:v>
      </x:c>
      <x:c r="K738" s="14" t="n">
        <x:v>24.95</x:v>
      </x:c>
      <x:c r="L738" s="15" t="n">
        <x:f>F738*G738</x:f>
        <x:v>980.9982</x:v>
      </x:c>
      <x:c r="M738" s="15" t="n">
        <x:f>F738-L738</x:f>
        <x:v>601.0018</x:v>
      </x:c>
      <x:c r="N738" s="17" t="str"/>
      <x:c r="O738" s="17" t="str">
        <x:v>https://sts2log.com/cards</x:v>
      </x:c>
      <x:c r="P738" s="17" t="str">
        <x:v>https://slaythespire2.net/ancient/pael</x:v>
      </x:c>
    </x:row>
    <x:row r="739" ht="25" customHeight="1">
      <x:c r="A739" s="2" t="str">
        <x:v>v0.111</x:v>
      </x:c>
      <x:c r="B739" s="2" t="str">
        <x:v>故障机器人</x:v>
      </x:c>
      <x:c r="C739" s="2" t="str">
        <x:v>佩尔</x:v>
      </x:c>
      <x:c r="D739" s="2" t="str">
        <x:v>佩尔的增生组织</x:v>
      </x:c>
      <x:c r="E739" s="16" t="n">
        <x:f>IF(G739=0,I739,IF(G739=1,H739,G739*H739+(1-G739)*I739))</x:f>
        <x:v>0.39665542</x:v>
      </x:c>
      <x:c r="F739" s="12" t="n">
        <x:v>663</x:v>
      </x:c>
      <x:c r="G739" s="11" t="n">
        <x:v>0.2534</x:v>
      </x:c>
      <x:c r="H739" s="11" t="n">
        <x:v>0.3155</x:v>
      </x:c>
      <x:c r="I739" s="11" t="n">
        <x:v>0.4242</x:v>
      </x:c>
      <x:c r="J739" s="13" t="n">
        <x:f>IF(OR(G739=0,G739=1),"",(H739-I739)*100)</x:f>
        <x:v>-10.870000000000001</x:v>
      </x:c>
      <x:c r="K739" s="14" t="n">
        <x:v>9.81</x:v>
      </x:c>
      <x:c r="L739" s="15" t="n">
        <x:f>F739*G739</x:f>
        <x:v>168.0042</x:v>
      </x:c>
      <x:c r="M739" s="15" t="n">
        <x:f>F739-L739</x:f>
        <x:v>494.99580000000003</x:v>
      </x:c>
      <x:c r="N739" s="17" t="str"/>
      <x:c r="O739" s="17" t="str">
        <x:v>https://sts2log.com/cards</x:v>
      </x:c>
      <x:c r="P739" s="17" t="str">
        <x:v>https://slaythespire2.net/ancient/pael</x:v>
      </x:c>
    </x:row>
    <x:row r="740" ht="25" customHeight="1">
      <x:c r="A740" s="2" t="str">
        <x:v>v0.111</x:v>
      </x:c>
      <x:c r="B740" s="2" t="str">
        <x:v>故障机器人</x:v>
      </x:c>
      <x:c r="C740" s="2" t="str">
        <x:v>佩尔</x:v>
      </x:c>
      <x:c r="D740" s="2" t="str">
        <x:v>佩尔之角</x:v>
      </x:c>
      <x:c r="E740" s="16" t="n">
        <x:f>IF(G740=0,I740,IF(G740=1,H740,G740*H740+(1-G740)*I740))</x:f>
        <x:v>0.36932096000000003</x:v>
      </x:c>
      <x:c r="F740" s="12" t="n">
        <x:v>1557</x:v>
      </x:c>
      <x:c r="G740" s="11" t="n">
        <x:v>0.1888</x:v>
      </x:c>
      <x:c r="H740" s="11" t="n">
        <x:v>0.37070000000000003</x:v>
      </x:c>
      <x:c r="I740" s="11" t="n">
        <x:v>0.369</x:v>
      </x:c>
      <x:c r="J740" s="13" t="n">
        <x:f>IF(OR(G740=0,G740=1),"",(H740-I740)*100)</x:f>
        <x:v>0.17000000000000348</x:v>
      </x:c>
      <x:c r="K740" s="14" t="n">
        <x:v>15.33</x:v>
      </x:c>
      <x:c r="L740" s="15" t="n">
        <x:f>F740*G740</x:f>
        <x:v>293.9616</x:v>
      </x:c>
      <x:c r="M740" s="15" t="n">
        <x:f>F740-L740</x:f>
        <x:v>1263.0384</x:v>
      </x:c>
      <x:c r="N740" s="17" t="str"/>
      <x:c r="O740" s="17" t="str">
        <x:v>https://sts2log.com/cards</x:v>
      </x:c>
      <x:c r="P740" s="17" t="str">
        <x:v>https://slaythespire2.net/ancient/pael</x:v>
      </x:c>
    </x:row>
    <x:row r="741" ht="25" customHeight="1">
      <x:c r="A741" s="2" t="str">
        <x:v>v0.111</x:v>
      </x:c>
      <x:c r="B741" s="2" t="str">
        <x:v>故障机器人</x:v>
      </x:c>
      <x:c r="C741" s="2" t="str">
        <x:v>佩尔</x:v>
      </x:c>
      <x:c r="D741" s="2" t="str">
        <x:v>佩尔之翼</x:v>
      </x:c>
      <x:c r="E741" s="16" t="n">
        <x:f>IF(G741=0,I741,IF(G741=1,H741,G741*H741+(1-G741)*I741))</x:f>
        <x:v>0.35298505</x:v>
      </x:c>
      <x:c r="F741" s="12" t="n">
        <x:v>1320</x:v>
      </x:c>
      <x:c r="G741" s="11" t="n">
        <x:v>0.2955</x:v>
      </x:c>
      <x:c r="H741" s="11" t="n">
        <x:v>0.2974</x:v>
      </x:c>
      <x:c r="I741" s="11" t="n">
        <x:v>0.3763</x:v>
      </x:c>
      <x:c r="J741" s="13" t="n">
        <x:f>IF(OR(G741=0,G741=1),"",(H741-I741)*100)</x:f>
        <x:v>-7.890000000000002</x:v>
      </x:c>
      <x:c r="K741" s="14" t="n">
        <x:v>8</x:v>
      </x:c>
      <x:c r="L741" s="15" t="n">
        <x:f>F741*G741</x:f>
        <x:v>390.06</x:v>
      </x:c>
      <x:c r="M741" s="15" t="n">
        <x:f>F741-L741</x:f>
        <x:v>929.94</x:v>
      </x:c>
      <x:c r="N741" s="17" t="str"/>
      <x:c r="O741" s="17" t="str">
        <x:v>https://sts2log.com/cards</x:v>
      </x:c>
      <x:c r="P741" s="17" t="str">
        <x:v>https://slaythespire2.net/ancient/pael</x:v>
      </x:c>
    </x:row>
    <x:row r="742" ht="25" customHeight="1">
      <x:c r="A742" s="2" t="str">
        <x:v>v0.111</x:v>
      </x:c>
      <x:c r="B742" s="2" t="str">
        <x:v>故障机器人</x:v>
      </x:c>
      <x:c r="C742" s="2" t="str">
        <x:v>佩尔</x:v>
      </x:c>
      <x:c r="D742" s="2" t="str">
        <x:v>佩尔之肉</x:v>
      </x:c>
      <x:c r="E742" s="16" t="n">
        <x:f>IF(G742=0,I742,IF(G742=1,H742,G742*H742+(1-G742)*I742))</x:f>
        <x:v>0.34845225</x:v>
      </x:c>
      <x:c r="F742" s="12" t="n">
        <x:v>1610</x:v>
      </x:c>
      <x:c r="G742" s="11" t="n">
        <x:v>0.3553</x:v>
      </x:c>
      <x:c r="H742" s="11" t="n">
        <x:v>0.2727</x:v>
      </x:c>
      <x:c r="I742" s="11" t="n">
        <x:v>0.39020000000000005</x:v>
      </x:c>
      <x:c r="J742" s="13" t="n">
        <x:f>IF(OR(G742=0,G742=1),"",(H742-I742)*100)</x:f>
        <x:v>-11.750000000000005</x:v>
      </x:c>
      <x:c r="K742" s="14" t="n">
        <x:v>5.53</x:v>
      </x:c>
      <x:c r="L742" s="15" t="n">
        <x:f>F742*G742</x:f>
        <x:v>572.033</x:v>
      </x:c>
      <x:c r="M742" s="15" t="n">
        <x:f>F742-L742</x:f>
        <x:v>1037.967</x:v>
      </x:c>
      <x:c r="N742" s="17" t="str"/>
      <x:c r="O742" s="17" t="str">
        <x:v>https://sts2log.com/cards</x:v>
      </x:c>
      <x:c r="P742" s="17" t="str">
        <x:v>https://slaythespire2.net/ancient/pael</x:v>
      </x:c>
    </x:row>
    <x:row r="743" ht="25" customHeight="1">
      <x:c r="A743" s="2" t="str">
        <x:v>v0.111</x:v>
      </x:c>
      <x:c r="B743" s="2" t="str">
        <x:v>故障机器人</x:v>
      </x:c>
      <x:c r="C743" s="2" t="str">
        <x:v>佩尔</x:v>
      </x:c>
      <x:c r="D743" s="2" t="str">
        <x:v>佩尔之爪</x:v>
      </x:c>
      <x:c r="E743" s="16" t="n">
        <x:f>IF(G743=0,I743,IF(G743=1,H743,G743*H743+(1-G743)*I743))</x:f>
        <x:v>0.347778</x:v>
      </x:c>
      <x:c r="F743" s="12" t="n">
        <x:v>1340</x:v>
      </x:c>
      <x:c r="G743" s="11" t="n">
        <x:v>0.2925</x:v>
      </x:c>
      <x:c r="H743" s="11" t="n">
        <x:v>0.32909999999999995</x:v>
      </x:c>
      <x:c r="I743" s="11" t="n">
        <x:v>0.3555</x:v>
      </x:c>
      <x:c r="J743" s="13" t="n">
        <x:f>IF(OR(G743=0,G743=1),"",(H743-I743)*100)</x:f>
        <x:v>-2.6400000000000032</x:v>
      </x:c>
      <x:c r="K743" s="14" t="n">
        <x:v>11.17</x:v>
      </x:c>
      <x:c r="L743" s="15" t="n">
        <x:f>F743*G743</x:f>
        <x:v>391.95</x:v>
      </x:c>
      <x:c r="M743" s="15" t="n">
        <x:f>F743-L743</x:f>
        <x:v>948.05</x:v>
      </x:c>
      <x:c r="N743" s="17" t="str"/>
      <x:c r="O743" s="17" t="str">
        <x:v>https://sts2log.com/cards</x:v>
      </x:c>
      <x:c r="P743" s="17" t="str">
        <x:v>https://slaythespire2.net/ancient/pael</x:v>
      </x:c>
    </x:row>
    <x:row r="744" ht="25" customHeight="1">
      <x:c r="A744" s="2" t="str">
        <x:v>v0.111</x:v>
      </x:c>
      <x:c r="B744" s="2" t="str">
        <x:v>故障机器人</x:v>
      </x:c>
      <x:c r="C744" s="2" t="str">
        <x:v>佩尔</x:v>
      </x:c>
      <x:c r="D744" s="2" t="str">
        <x:v>佩尔的士兵</x:v>
      </x:c>
      <x:c r="E744" s="16" t="n">
        <x:f>IF(G744=0,I744,IF(G744=1,H744,G744*H744+(1-G744)*I744))</x:f>
        <x:v>0.33417806000000005</x:v>
      </x:c>
      <x:c r="F744" s="12" t="n">
        <x:v>1574</x:v>
      </x:c>
      <x:c r="G744" s="11" t="n">
        <x:v>0.45740000000000003</x:v>
      </x:c>
      <x:c r="H744" s="11" t="n">
        <x:v>0.3542</x:v>
      </x:c>
      <x:c r="I744" s="11" t="n">
        <x:v>0.3173</x:v>
      </x:c>
      <x:c r="J744" s="13" t="n">
        <x:f>IF(OR(G744=0,G744=1),"",(H744-I744)*100)</x:f>
        <x:v>3.6899999999999986</x:v>
      </x:c>
      <x:c r="K744" s="14" t="n">
        <x:v>13.68</x:v>
      </x:c>
      <x:c r="L744" s="15" t="n">
        <x:f>F744*G744</x:f>
        <x:v>719.9476000000001</x:v>
      </x:c>
      <x:c r="M744" s="15" t="n">
        <x:f>F744-L744</x:f>
        <x:v>854.0523999999999</x:v>
      </x:c>
      <x:c r="N744" s="17" t="str"/>
      <x:c r="O744" s="17" t="str">
        <x:v>https://sts2log.com/cards</x:v>
      </x:c>
      <x:c r="P744" s="17" t="str">
        <x:v>https://slaythespire2.net/ancient/pael</x:v>
      </x:c>
    </x:row>
    <x:row r="745" ht="25" customHeight="1">
      <x:c r="A745" s="2" t="str">
        <x:v>v0.111</x:v>
      </x:c>
      <x:c r="B745" s="2" t="str">
        <x:v>故障机器人</x:v>
      </x:c>
      <x:c r="C745" s="2" t="str">
        <x:v>佩尔</x:v>
      </x:c>
      <x:c r="D745" s="2" t="str">
        <x:v>佩尔之泪</x:v>
      </x:c>
      <x:c r="E745" s="16" t="n">
        <x:f>IF(G745=0,I745,IF(G745=1,H745,G745*H745+(1-G745)*I745))</x:f>
        <x:v>0.33187806</x:v>
      </x:c>
      <x:c r="F745" s="12" t="n">
        <x:v>1597</x:v>
      </x:c>
      <x:c r="G745" s="11" t="n">
        <x:v>0.3851</x:v>
      </x:c>
      <x:c r="H745" s="11" t="n">
        <x:v>0.31379999999999997</x:v>
      </x:c>
      <x:c r="I745" s="11" t="n">
        <x:v>0.3432</x:v>
      </x:c>
      <x:c r="J745" s="13" t="n">
        <x:f>IF(OR(G745=0,G745=1),"",(H745-I745)*100)</x:f>
        <x:v>-2.940000000000004</x:v>
      </x:c>
      <x:c r="K745" s="14" t="n">
        <x:v>9.64</x:v>
      </x:c>
      <x:c r="L745" s="15" t="n">
        <x:f>F745*G745</x:f>
        <x:v>615.0047</x:v>
      </x:c>
      <x:c r="M745" s="15" t="n">
        <x:f>F745-L745</x:f>
        <x:v>981.9953</x:v>
      </x:c>
      <x:c r="N745" s="17" t="str"/>
      <x:c r="O745" s="17" t="str">
        <x:v>https://sts2log.com/cards</x:v>
      </x:c>
      <x:c r="P745" s="17" t="str">
        <x:v>https://slaythespire2.net/ancient/pael</x:v>
      </x:c>
    </x:row>
    <x:row r="746" ht="25" customHeight="1">
      <x:c r="A746" s="2" t="str">
        <x:v>v0.111</x:v>
      </x:c>
      <x:c r="B746" s="2" t="str">
        <x:v>故障机器人</x:v>
      </x:c>
      <x:c r="C746" s="2" t="str">
        <x:v>佩尔</x:v>
      </x:c>
      <x:c r="D746" s="2" t="str">
        <x:v>佩尔之牙</x:v>
      </x:c>
      <x:c r="E746" s="16" t="n">
        <x:f>IF(G746=0,I746,IF(G746=1,H746,G746*H746+(1-G746)*I746))</x:f>
        <x:v>0.32829196000000005</x:v>
      </x:c>
      <x:c r="F746" s="12" t="n">
        <x:v>1447</x:v>
      </x:c>
      <x:c r="G746" s="11" t="n">
        <x:v>0.1804</x:v>
      </x:c>
      <x:c r="H746" s="11" t="n">
        <x:v>0.34869999999999995</x:v>
      </x:c>
      <x:c r="I746" s="11" t="n">
        <x:v>0.32380000000000003</x:v>
      </x:c>
      <x:c r="J746" s="13" t="n">
        <x:f>IF(OR(G746=0,G746=1),"",(H746-I746)*100)</x:f>
        <x:v>2.489999999999992</x:v>
      </x:c>
      <x:c r="K746" s="14" t="n">
        <x:v>13.13</x:v>
      </x:c>
      <x:c r="L746" s="15" t="n">
        <x:f>F746*G746</x:f>
        <x:v>261.0388</x:v>
      </x:c>
      <x:c r="M746" s="15" t="n">
        <x:f>F746-L746</x:f>
        <x:v>1185.9612</x:v>
      </x:c>
      <x:c r="N746" s="17" t="str"/>
      <x:c r="O746" s="17" t="str">
        <x:v>https://sts2log.com/cards</x:v>
      </x:c>
      <x:c r="P746" s="17" t="str">
        <x:v>https://slaythespire2.net/ancient/pael</x:v>
      </x:c>
    </x:row>
    <x:row r="747" ht="25" customHeight="1">
      <x:c r="A747" s="2" t="str">
        <x:v>v0.111</x:v>
      </x:c>
      <x:c r="B747" s="2" t="str">
        <x:v>故障机器人</x:v>
      </x:c>
      <x:c r="C747" s="2" t="str">
        <x:v>佩尔</x:v>
      </x:c>
      <x:c r="D747" s="2" t="str">
        <x:v>佩尔之眼</x:v>
      </x:c>
      <x:c r="E747" s="16" t="n">
        <x:f>IF(G747=0,I747,IF(G747=1,H747,G747*H747+(1-G747)*I747))</x:f>
        <x:v>0.30158256000000006</x:v>
      </x:c>
      <x:c r="F747" s="12" t="n">
        <x:v>1608</x:v>
      </x:c>
      <x:c r="G747" s="11" t="n">
        <x:v>0.22329999999999997</x:v>
      </x:c>
      <x:c r="H747" s="11" t="n">
        <x:v>0.273</x:v>
      </x:c>
      <x:c r="I747" s="11" t="n">
        <x:v>0.3098</x:v>
      </x:c>
      <x:c r="J747" s="13" t="n">
        <x:f>IF(OR(G747=0,G747=1),"",(H747-I747)*100)</x:f>
        <x:v>-3.6799999999999997</x:v>
      </x:c>
      <x:c r="K747" s="14" t="n">
        <x:v>5.56</x:v>
      </x:c>
      <x:c r="L747" s="15" t="n">
        <x:f>F747*G747</x:f>
        <x:v>359.06639999999993</x:v>
      </x:c>
      <x:c r="M747" s="15" t="n">
        <x:f>F747-L747</x:f>
        <x:v>1248.9336</x:v>
      </x:c>
      <x:c r="N747" s="17" t="str"/>
      <x:c r="O747" s="17" t="str">
        <x:v>https://sts2log.com/cards</x:v>
      </x:c>
      <x:c r="P747" s="17" t="str">
        <x:v>https://slaythespire2.net/ancient/pael</x:v>
      </x:c>
    </x:row>
    <x:row r="748" ht="25" customHeight="1">
      <x:c r="A748" s="2" t="str">
        <x:v>v0.111</x:v>
      </x:c>
      <x:c r="B748" s="2" t="str">
        <x:v>故障机器人</x:v>
      </x:c>
      <x:c r="C748" s="2" t="str">
        <x:v>特兹卡塔拉</x:v>
      </x:c>
      <x:c r="D748" s="2" t="str">
        <x:v>烫嘴可可</x:v>
      </x:c>
      <x:c r="E748" s="16" t="n">
        <x:f>IF(G748=0,I748,IF(G748=1,H748,G748*H748+(1-G748)*I748))</x:f>
        <x:v>0.35724924</x:v>
      </x:c>
      <x:c r="F748" s="12" t="n">
        <x:v>1601</x:v>
      </x:c>
      <x:c r="G748" s="11" t="n">
        <x:v>0.3679</x:v>
      </x:c>
      <x:c r="H748" s="11" t="n">
        <x:v>0.3039</x:v>
      </x:c>
      <x:c r="I748" s="11" t="n">
        <x:v>0.3883</x:v>
      </x:c>
      <x:c r="J748" s="13" t="n">
        <x:f>IF(OR(G748=0,G748=1),"",(H748-I748)*100)</x:f>
        <x:v>-8.439999999999998</x:v>
      </x:c>
      <x:c r="K748" s="14" t="n">
        <x:v>8.65</x:v>
      </x:c>
      <x:c r="L748" s="15" t="n">
        <x:f>F748*G748</x:f>
        <x:v>589.0079000000001</x:v>
      </x:c>
      <x:c r="M748" s="15" t="n">
        <x:f>F748-L748</x:f>
        <x:v>1011.9920999999999</x:v>
      </x:c>
      <x:c r="N748" s="17" t="str"/>
      <x:c r="O748" s="17" t="str">
        <x:v>https://sts2log.com/cards</x:v>
      </x:c>
      <x:c r="P748" s="17" t="str">
        <x:v>https://slaythespire2.net/ancient/tezcatara</x:v>
      </x:c>
    </x:row>
    <x:row r="749" ht="25" customHeight="1">
      <x:c r="A749" s="2" t="str">
        <x:v>v0.111</x:v>
      </x:c>
      <x:c r="B749" s="2" t="str">
        <x:v>故障机器人</x:v>
      </x:c>
      <x:c r="C749" s="2" t="str">
        <x:v>特兹卡塔拉</x:v>
      </x:c>
      <x:c r="D749" s="2" t="str">
        <x:v>黄金印</x:v>
      </x:c>
      <x:c r="E749" s="16" t="n">
        <x:f>IF(G749=0,I749,IF(G749=1,H749,G749*H749+(1-G749)*I749))</x:f>
        <x:v>0.35311008</x:v>
      </x:c>
      <x:c r="F749" s="12" t="n">
        <x:v>1212</x:v>
      </x:c>
      <x:c r="G749" s="11" t="n">
        <x:v>0.2384</x:v>
      </x:c>
      <x:c r="H749" s="11" t="n">
        <x:v>0.34259999999999996</x:v>
      </x:c>
      <x:c r="I749" s="11" t="n">
        <x:v>0.3564</x:v>
      </x:c>
      <x:c r="J749" s="13" t="n">
        <x:f>IF(OR(G749=0,G749=1),"",(H749-I749)*100)</x:f>
        <x:v>-1.3800000000000034</x:v>
      </x:c>
      <x:c r="K749" s="14" t="n">
        <x:v>12.52</x:v>
      </x:c>
      <x:c r="L749" s="15" t="n">
        <x:f>F749*G749</x:f>
        <x:v>288.9408</x:v>
      </x:c>
      <x:c r="M749" s="15" t="n">
        <x:f>F749-L749</x:f>
        <x:v>923.0591999999999</x:v>
      </x:c>
      <x:c r="N749" s="17" t="str"/>
      <x:c r="O749" s="17" t="str">
        <x:v>https://sts2log.com/cards</x:v>
      </x:c>
      <x:c r="P749" s="17" t="str">
        <x:v>https://slaythespire2.net/ancient/tezcatara</x:v>
      </x:c>
    </x:row>
    <x:row r="750" ht="25" customHeight="1">
      <x:c r="A750" s="2" t="str">
        <x:v>v0.111</x:v>
      </x:c>
      <x:c r="B750" s="2" t="str">
        <x:v>故障机器人</x:v>
      </x:c>
      <x:c r="C750" s="2" t="str">
        <x:v>特兹卡塔拉</x:v>
      </x:c>
      <x:c r="D750" s="2" t="str">
        <x:v>南瓜蜡烛</x:v>
      </x:c>
      <x:c r="E750" s="16" t="n">
        <x:f>IF(G750=0,I750,IF(G750=1,H750,G750*H750+(1-G750)*I750))</x:f>
        <x:v>0.35195052000000004</x:v>
      </x:c>
      <x:c r="F750" s="12" t="n">
        <x:v>1165</x:v>
      </x:c>
      <x:c r="G750" s="11" t="n">
        <x:v>0.3193</x:v>
      </x:c>
      <x:c r="H750" s="11" t="n">
        <x:v>0.34950000000000003</x:v>
      </x:c>
      <x:c r="I750" s="11" t="n">
        <x:v>0.3531</x:v>
      </x:c>
      <x:c r="J750" s="13" t="n">
        <x:f>IF(OR(G750=0,G750=1),"",(H750-I750)*100)</x:f>
        <x:v>-0.3599999999999992</x:v>
      </x:c>
      <x:c r="K750" s="14" t="n">
        <x:v>13.21</x:v>
      </x:c>
      <x:c r="L750" s="15" t="n">
        <x:f>F750*G750</x:f>
        <x:v>371.98449999999997</x:v>
      </x:c>
      <x:c r="M750" s="15" t="n">
        <x:f>F750-L750</x:f>
        <x:v>793.0155</x:v>
      </x:c>
      <x:c r="N750" s="17" t="str"/>
      <x:c r="O750" s="17" t="str">
        <x:v>https://sts2log.com/cards</x:v>
      </x:c>
      <x:c r="P750" s="17" t="str">
        <x:v>https://slaythespire2.net/ancient/tezcatara</x:v>
      </x:c>
    </x:row>
    <x:row r="751" ht="25" customHeight="1">
      <x:c r="A751" s="2" t="str">
        <x:v>v0.111</x:v>
      </x:c>
      <x:c r="B751" s="2" t="str">
        <x:v>故障机器人</x:v>
      </x:c>
      <x:c r="C751" s="2" t="str">
        <x:v>特兹卡塔拉</x:v>
      </x:c>
      <x:c r="D751" s="2" t="str">
        <x:v>大～抱抱</x:v>
      </x:c>
      <x:c r="E751" s="16" t="n">
        <x:f>IF(G751=0,I751,IF(G751=1,H751,G751*H751+(1-G751)*I751))</x:f>
        <x:v>0.34579592000000003</x:v>
      </x:c>
      <x:c r="F751" s="12" t="n">
        <x:v>1602</x:v>
      </x:c>
      <x:c r="G751" s="11" t="n">
        <x:v>0.4388</x:v>
      </x:c>
      <x:c r="H751" s="11" t="n">
        <x:v>0.3926</x:v>
      </x:c>
      <x:c r="I751" s="11" t="n">
        <x:v>0.30920000000000003</x:v>
      </x:c>
      <x:c r="J751" s="13" t="n">
        <x:f>IF(OR(G751=0,G751=1),"",(H751-I751)*100)</x:f>
        <x:v>8.339999999999998</x:v>
      </x:c>
      <x:c r="K751" s="14" t="n">
        <x:v>17.52</x:v>
      </x:c>
      <x:c r="L751" s="15" t="n">
        <x:f>F751*G751</x:f>
        <x:v>702.9576000000001</x:v>
      </x:c>
      <x:c r="M751" s="15" t="n">
        <x:f>F751-L751</x:f>
        <x:v>899.0423999999999</x:v>
      </x:c>
      <x:c r="N751" s="17" t="str"/>
      <x:c r="O751" s="17" t="str">
        <x:v>https://sts2log.com/cards</x:v>
      </x:c>
      <x:c r="P751" s="17" t="str">
        <x:v>https://slaythespire2.net/ancient/tezcatara</x:v>
      </x:c>
    </x:row>
    <x:row r="752" ht="25" customHeight="1">
      <x:c r="A752" s="2" t="str">
        <x:v>v0.111</x:v>
      </x:c>
      <x:c r="B752" s="2" t="str">
        <x:v>故障机器人</x:v>
      </x:c>
      <x:c r="C752" s="2" t="str">
        <x:v>特兹卡塔拉</x:v>
      </x:c>
      <x:c r="D752" s="2" t="str">
        <x:v>烘焙手套</x:v>
      </x:c>
      <x:c r="E752" s="16" t="n">
        <x:f>IF(G752=0,I752,IF(G752=1,H752,G752*H752+(1-G752)*I752))</x:f>
        <x:v>0.3420462</x:v>
      </x:c>
      <x:c r="F752" s="12" t="n">
        <x:v>1643</x:v>
      </x:c>
      <x:c r="G752" s="11" t="n">
        <x:v>0.266</x:v>
      </x:c>
      <x:c r="H752" s="11" t="n">
        <x:v>0.4233</x:v>
      </x:c>
      <x:c r="I752" s="11" t="n">
        <x:v>0.3126</x:v>
      </x:c>
      <x:c r="J752" s="13" t="n">
        <x:f>IF(OR(G752=0,G752=1),"",(H752-I752)*100)</x:f>
        <x:v>11.070000000000002</x:v>
      </x:c>
      <x:c r="K752" s="14" t="n">
        <x:v>20.59</x:v>
      </x:c>
      <x:c r="L752" s="15" t="n">
        <x:f>F752*G752</x:f>
        <x:v>437.038</x:v>
      </x:c>
      <x:c r="M752" s="15" t="n">
        <x:f>F752-L752</x:f>
        <x:v>1205.962</x:v>
      </x:c>
      <x:c r="N752" s="17" t="str"/>
      <x:c r="O752" s="17" t="str">
        <x:v>https://sts2log.com/cards</x:v>
      </x:c>
      <x:c r="P752" s="17" t="str">
        <x:v>https://slaythespire2.net/ancient/tezcatara</x:v>
      </x:c>
    </x:row>
    <x:row r="753" ht="25" customHeight="1">
      <x:c r="A753" s="2" t="str">
        <x:v>v0.111</x:v>
      </x:c>
      <x:c r="B753" s="2" t="str">
        <x:v>故障机器人</x:v>
      </x:c>
      <x:c r="C753" s="2" t="str">
        <x:v>特兹卡塔拉</x:v>
      </x:c>
      <x:c r="D753" s="2" t="str">
        <x:v>玩具盒</x:v>
      </x:c>
      <x:c r="E753" s="16" t="n">
        <x:f>IF(G753=0,I753,IF(G753=1,H753,G753*H753+(1-G753)*I753))</x:f>
        <x:v>0.34151000000000004</x:v>
      </x:c>
      <x:c r="F753" s="12" t="n">
        <x:v>1224</x:v>
      </x:c>
      <x:c r="G753" s="11" t="n">
        <x:v>0.335</x:v>
      </x:c>
      <x:c r="H753" s="11" t="n">
        <x:v>0.38539999999999996</x:v>
      </x:c>
      <x:c r="I753" s="11" t="n">
        <x:v>0.3194</x:v>
      </x:c>
      <x:c r="J753" s="13" t="n">
        <x:f>IF(OR(G753=0,G753=1),"",(H753-I753)*100)</x:f>
        <x:v>6.599999999999994</x:v>
      </x:c>
      <x:c r="K753" s="14" t="n">
        <x:v>16.8</x:v>
      </x:c>
      <x:c r="L753" s="15" t="n">
        <x:f>F753*G753</x:f>
        <x:v>410.04</x:v>
      </x:c>
      <x:c r="M753" s="15" t="n">
        <x:f>F753-L753</x:f>
        <x:v>813.96</x:v>
      </x:c>
      <x:c r="N753" s="17" t="str"/>
      <x:c r="O753" s="17" t="str">
        <x:v>https://sts2log.com/cards</x:v>
      </x:c>
      <x:c r="P753" s="17" t="str">
        <x:v>https://slaythespire2.net/ancient/tezcatara</x:v>
      </x:c>
    </x:row>
    <x:row r="754" ht="25" customHeight="1">
      <x:c r="A754" s="2" t="str">
        <x:v>v0.111</x:v>
      </x:c>
      <x:c r="B754" s="2" t="str">
        <x:v>故障机器人</x:v>
      </x:c>
      <x:c r="C754" s="2" t="str">
        <x:v>特兹卡塔拉</x:v>
      </x:c>
      <x:c r="D754" s="2" t="str">
        <x:v>美味饼干</x:v>
      </x:c>
      <x:c r="E754" s="16" t="n">
        <x:f>IF(G754=0,I754,IF(G754=1,H754,G754*H754+(1-G754)*I754))</x:f>
        <x:v>0.33745142</x:v>
      </x:c>
      <x:c r="F754" s="12" t="n">
        <x:v>1612</x:v>
      </x:c>
      <x:c r="G754" s="11" t="n">
        <x:v>0.5614</x:v>
      </x:c>
      <x:c r="H754" s="11" t="n">
        <x:v>0.2696</x:v>
      </x:c>
      <x:c r="I754" s="11" t="n">
        <x:v>0.4243</x:v>
      </x:c>
      <x:c r="J754" s="13" t="n">
        <x:f>IF(OR(G754=0,G754=1),"",(H754-I754)*100)</x:f>
        <x:v>-15.47</x:v>
      </x:c>
      <x:c r="K754" s="14" t="n">
        <x:v>5.22</x:v>
      </x:c>
      <x:c r="L754" s="15" t="n">
        <x:f>F754*G754</x:f>
        <x:v>904.9768</x:v>
      </x:c>
      <x:c r="M754" s="15" t="n">
        <x:f>F754-L754</x:f>
        <x:v>707.0232</x:v>
      </x:c>
      <x:c r="N754" s="17" t="str"/>
      <x:c r="O754" s="17" t="str">
        <x:v>https://sts2log.com/cards</x:v>
      </x:c>
      <x:c r="P754" s="17" t="str">
        <x:v>https://slaythespire2.net/ancient/tezcatara</x:v>
      </x:c>
    </x:row>
    <x:row r="755" ht="25" customHeight="1">
      <x:c r="A755" s="2" t="str">
        <x:v>v0.111</x:v>
      </x:c>
      <x:c r="B755" s="2" t="str">
        <x:v>故障机器人</x:v>
      </x:c>
      <x:c r="C755" s="2" t="str">
        <x:v>特兹卡塔拉</x:v>
      </x:c>
      <x:c r="D755" s="2" t="str">
        <x:v>故事书</x:v>
      </x:c>
      <x:c r="E755" s="16" t="n">
        <x:f>IF(G755=0,I755,IF(G755=1,H755,G755*H755+(1-G755)*I755))</x:f>
        <x:v>0.33539512000000005</x:v>
      </x:c>
      <x:c r="F755" s="12" t="n">
        <x:v>1604</x:v>
      </x:c>
      <x:c r="G755" s="11" t="n">
        <x:v>0.2481</x:v>
      </x:c>
      <x:c r="H755" s="11" t="n">
        <x:v>0.37689999999999996</x:v>
      </x:c>
      <x:c r="I755" s="11" t="n">
        <x:v>0.32170000000000004</x:v>
      </x:c>
      <x:c r="J755" s="13" t="n">
        <x:f>IF(OR(G755=0,G755=1),"",(H755-I755)*100)</x:f>
        <x:v>5.519999999999992</x:v>
      </x:c>
      <x:c r="K755" s="14" t="n">
        <x:v>15.95</x:v>
      </x:c>
      <x:c r="L755" s="15" t="n">
        <x:f>F755*G755</x:f>
        <x:v>397.95239999999995</x:v>
      </x:c>
      <x:c r="M755" s="15" t="n">
        <x:f>F755-L755</x:f>
        <x:v>1206.0476</x:v>
      </x:c>
      <x:c r="N755" s="17" t="str"/>
      <x:c r="O755" s="17" t="str">
        <x:v>https://sts2log.com/cards</x:v>
      </x:c>
      <x:c r="P755" s="17" t="str">
        <x:v>https://slaythespire2.net/ancient/tezcatara</x:v>
      </x:c>
    </x:row>
    <x:row r="756" ht="25" customHeight="1">
      <x:c r="A756" s="2" t="str">
        <x:v>v0.111</x:v>
      </x:c>
      <x:c r="B756" s="2" t="str">
        <x:v>故障机器人</x:v>
      </x:c>
      <x:c r="C756" s="2" t="str">
        <x:v>特兹卡塔拉</x:v>
      </x:c>
      <x:c r="D756" s="2" t="str">
        <x:v>营养汤</x:v>
      </x:c>
      <x:c r="E756" s="16" t="n">
        <x:f>IF(G756=0,I756,IF(G756=1,H756,G756*H756+(1-G756)*I756))</x:f>
        <x:v>0.32882265</x:v>
      </x:c>
      <x:c r="F756" s="12" t="n">
        <x:v>1636</x:v>
      </x:c>
      <x:c r="G756" s="11" t="n">
        <x:v>0.2433</x:v>
      </x:c>
      <x:c r="H756" s="11" t="n">
        <x:v>0.3065</x:v>
      </x:c>
      <x:c r="I756" s="11" t="n">
        <x:v>0.336</x:v>
      </x:c>
      <x:c r="J756" s="13" t="n">
        <x:f>IF(OR(G756=0,G756=1),"",(H756-I756)*100)</x:f>
        <x:v>-2.950000000000003</x:v>
      </x:c>
      <x:c r="K756" s="14" t="n">
        <x:v>8.91</x:v>
      </x:c>
      <x:c r="L756" s="15" t="n">
        <x:f>F756*G756</x:f>
        <x:v>398.0388</x:v>
      </x:c>
      <x:c r="M756" s="15" t="n">
        <x:f>F756-L756</x:f>
        <x:v>1237.9612</x:v>
      </x:c>
      <x:c r="N756" s="17" t="str"/>
      <x:c r="O756" s="17" t="str">
        <x:v>https://sts2log.com/cards</x:v>
      </x:c>
      <x:c r="P756" s="17" t="str">
        <x:v>https://slaythespire2.net/ancient/tezcatara</x:v>
      </x:c>
    </x:row>
    <x:row r="757" ht="25" customHeight="1">
      <x:c r="A757" s="2" t="str">
        <x:v>v0.111</x:v>
      </x:c>
      <x:c r="B757" s="2" t="str">
        <x:v>故障机器人</x:v>
      </x:c>
      <x:c r="C757" s="2" t="str">
        <x:v>特兹卡塔拉</x:v>
      </x:c>
      <x:c r="D757" s="2" t="str">
        <x:v>黄金罗盘</x:v>
      </x:c>
      <x:c r="E757" s="16" t="n">
        <x:f>IF(G757=0,I757,IF(G757=1,H757,G757*H757+(1-G757)*I757))</x:f>
        <x:v>0.32116966</x:v>
      </x:c>
      <x:c r="F757" s="12" t="n">
        <x:v>1258</x:v>
      </x:c>
      <x:c r="G757" s="11" t="n">
        <x:v>0.2607</x:v>
      </x:c>
      <x:c r="H757" s="11" t="n">
        <x:v>0.3018</x:v>
      </x:c>
      <x:c r="I757" s="11" t="n">
        <x:v>0.32799999999999996</x:v>
      </x:c>
      <x:c r="J757" s="13" t="n">
        <x:f>IF(OR(G757=0,G757=1),"",(H757-I757)*100)</x:f>
        <x:v>-2.6199999999999948</x:v>
      </x:c>
      <x:c r="K757" s="14" t="n">
        <x:v>8.44</x:v>
      </x:c>
      <x:c r="L757" s="15" t="n">
        <x:f>F757*G757</x:f>
        <x:v>327.9606</x:v>
      </x:c>
      <x:c r="M757" s="15" t="n">
        <x:f>F757-L757</x:f>
        <x:v>930.0394</x:v>
      </x:c>
      <x:c r="N757" s="17" t="str"/>
      <x:c r="O757" s="17" t="str">
        <x:v>https://sts2log.com/cards</x:v>
      </x:c>
      <x:c r="P757" s="17" t="str">
        <x:v>https://slaythespire2.net/ancient/tezcatara</x:v>
      </x:c>
    </x:row>
    <x:row r="758" ht="25" customHeight="1">
      <x:c r="A758" s="2" t="str">
        <x:v>v0.111</x:v>
      </x:c>
      <x:c r="B758" s="2" t="str">
        <x:v>故障机器人</x:v>
      </x:c>
      <x:c r="C758" s="2" t="str">
        <x:v>诺奴佩普</x:v>
      </x:c>
      <x:c r="D758" s="2" t="str">
        <x:v>华美手镯</x:v>
      </x:c>
      <x:c r="E758" s="16" t="n">
        <x:f>IF(G758=0,I758,IF(G758=1,H758,G758*H758+(1-G758)*I758))</x:f>
        <x:v>0.6038310399999999</x:v>
      </x:c>
      <x:c r="F758" s="12" t="n">
        <x:v>828</x:v>
      </x:c>
      <x:c r="G758" s="11" t="n">
        <x:v>0.36469999999999997</x:v>
      </x:c>
      <x:c r="H758" s="11" t="n">
        <x:v>0.6820999999999999</x:v>
      </x:c>
      <x:c r="I758" s="11" t="n">
        <x:v>0.5589</x:v>
      </x:c>
      <x:c r="J758" s="13" t="n">
        <x:f>IF(OR(G758=0,G758=1),"",(H758-I758)*100)</x:f>
        <x:v>12.319999999999997</x:v>
      </x:c>
      <x:c r="K758" s="14" t="n">
        <x:v>46.47</x:v>
      </x:c>
      <x:c r="L758" s="15" t="n">
        <x:f>F758*G758</x:f>
        <x:v>301.97159999999997</x:v>
      </x:c>
      <x:c r="M758" s="15" t="n">
        <x:f>F758-L758</x:f>
        <x:v>526.0284</x:v>
      </x:c>
      <x:c r="N758" s="17" t="str"/>
      <x:c r="O758" s="17" t="str">
        <x:v>https://sts2log.com/cards</x:v>
      </x:c>
      <x:c r="P758" s="17" t="str">
        <x:v>https://slaythespire2.net/ancient/nonupeipe</x:v>
      </x:c>
    </x:row>
    <x:row r="759" ht="25" customHeight="1">
      <x:c r="A759" s="2" t="str">
        <x:v>v0.111</x:v>
      </x:c>
      <x:c r="B759" s="2" t="str">
        <x:v>故障机器人</x:v>
      </x:c>
      <x:c r="C759" s="2" t="str">
        <x:v>诺奴佩普</x:v>
      </x:c>
      <x:c r="D759" s="2" t="str">
        <x:v>珠宝盒</x:v>
      </x:c>
      <x:c r="E759" s="16" t="n">
        <x:f>IF(G759=0,I759,IF(G759=1,H759,G759*H759+(1-G759)*I759))</x:f>
        <x:v>0.60003718</x:v>
      </x:c>
      <x:c r="F759" s="12" t="n">
        <x:v>830</x:v>
      </x:c>
      <x:c r="G759" s="11" t="n">
        <x:v>0.32770000000000005</x:v>
      </x:c>
      <x:c r="H759" s="11" t="n">
        <x:v>0.5956</x:v>
      </x:c>
      <x:c r="I759" s="11" t="n">
        <x:v>0.6022</x:v>
      </x:c>
      <x:c r="J759" s="13" t="n">
        <x:f>IF(OR(G759=0,G759=1),"",(H759-I759)*100)</x:f>
        <x:v>-0.6599999999999939</x:v>
      </x:c>
      <x:c r="K759" s="14" t="n">
        <x:v>37.82</x:v>
      </x:c>
      <x:c r="L759" s="15" t="n">
        <x:f>F759*G759</x:f>
        <x:v>271.99100000000004</x:v>
      </x:c>
      <x:c r="M759" s="15" t="n">
        <x:f>F759-L759</x:f>
        <x:v>558.009</x:v>
      </x:c>
      <x:c r="N759" s="17" t="str"/>
      <x:c r="O759" s="17" t="str">
        <x:v>https://sts2log.com/cards</x:v>
      </x:c>
      <x:c r="P759" s="17" t="str">
        <x:v>https://slaythespire2.net/ancient/nonupeipe</x:v>
      </x:c>
    </x:row>
    <x:row r="760" ht="25" customHeight="1">
      <x:c r="A760" s="2" t="str">
        <x:v>v0.111</x:v>
      </x:c>
      <x:c r="B760" s="2" t="str">
        <x:v>故障机器人</x:v>
      </x:c>
      <x:c r="C760" s="2" t="str">
        <x:v>诺奴佩普</x:v>
      </x:c>
      <x:c r="D760" s="2" t="str">
        <x:v>图章戒指</x:v>
      </x:c>
      <x:c r="E760" s="16" t="n">
        <x:f>IF(G760=0,I760,IF(G760=1,H760,G760*H760+(1-G760)*I760))</x:f>
        <x:v>0.59676342</x:v>
      </x:c>
      <x:c r="F760" s="12" t="n">
        <x:v>863</x:v>
      </x:c>
      <x:c r="G760" s="11" t="n">
        <x:v>0.5122</x:v>
      </x:c>
      <x:c r="H760" s="11" t="n">
        <x:v>0.5972999999999999</x:v>
      </x:c>
      <x:c r="I760" s="11" t="n">
        <x:v>0.5962</x:v>
      </x:c>
      <x:c r="J760" s="13" t="n">
        <x:f>IF(OR(G760=0,G760=1),"",(H760-I760)*100)</x:f>
        <x:v>0.10999999999999899</x:v>
      </x:c>
      <x:c r="K760" s="14" t="n">
        <x:v>37.99</x:v>
      </x:c>
      <x:c r="L760" s="15" t="n">
        <x:f>F760*G760</x:f>
        <x:v>442.0286</x:v>
      </x:c>
      <x:c r="M760" s="15" t="n">
        <x:f>F760-L760</x:f>
        <x:v>420.9714</x:v>
      </x:c>
      <x:c r="N760" s="17" t="str"/>
      <x:c r="O760" s="17" t="str">
        <x:v>https://sts2log.com/cards</x:v>
      </x:c>
      <x:c r="P760" s="17" t="str">
        <x:v>https://slaythespire2.net/ancient/nonupeipe</x:v>
      </x:c>
    </x:row>
    <x:row r="761" ht="25" customHeight="1">
      <x:c r="A761" s="2" t="str">
        <x:v>v0.111</x:v>
      </x:c>
      <x:c r="B761" s="2" t="str">
        <x:v>故障机器人</x:v>
      </x:c>
      <x:c r="C761" s="2" t="str">
        <x:v>诺奴佩普</x:v>
      </x:c>
      <x:c r="D761" s="2" t="str">
        <x:v>艳丽围巾</x:v>
      </x:c>
      <x:c r="E761" s="16" t="n">
        <x:f>IF(G761=0,I761,IF(G761=1,H761,G761*H761+(1-G761)*I761))</x:f>
        <x:v>0.5860504</x:v>
      </x:c>
      <x:c r="F761" s="12" t="n">
        <x:v>860</x:v>
      </x:c>
      <x:c r="G761" s="11" t="n">
        <x:v>0.3465</x:v>
      </x:c>
      <x:c r="H761" s="11" t="n">
        <x:v>0.6812</x:v>
      </x:c>
      <x:c r="I761" s="11" t="n">
        <x:v>0.5356000000000001</x:v>
      </x:c>
      <x:c r="J761" s="13" t="n">
        <x:f>IF(OR(G761=0,G761=1),"",(H761-I761)*100)</x:f>
        <x:v>14.559999999999995</x:v>
      </x:c>
      <x:c r="K761" s="14" t="n">
        <x:v>46.38</x:v>
      </x:c>
      <x:c r="L761" s="15" t="n">
        <x:f>F761*G761</x:f>
        <x:v>297.98999999999995</x:v>
      </x:c>
      <x:c r="M761" s="15" t="n">
        <x:f>F761-L761</x:f>
        <x:v>562.01</x:v>
      </x:c>
      <x:c r="N761" s="17" t="str"/>
      <x:c r="O761" s="17" t="str">
        <x:v>https://sts2log.com/cards</x:v>
      </x:c>
      <x:c r="P761" s="17" t="str">
        <x:v>https://slaythespire2.net/ancient/nonupeipe</x:v>
      </x:c>
    </x:row>
    <x:row r="762" ht="25" customHeight="1">
      <x:c r="A762" s="2" t="str">
        <x:v>v0.111</x:v>
      </x:c>
      <x:c r="B762" s="2" t="str">
        <x:v>故障机器人</x:v>
      </x:c>
      <x:c r="C762" s="2" t="str">
        <x:v>诺奴佩普</x:v>
      </x:c>
      <x:c r="D762" s="2" t="str">
        <x:v>亮片</x:v>
      </x:c>
      <x:c r="E762" s="16" t="n">
        <x:f>IF(G762=0,I762,IF(G762=1,H762,G762*H762+(1-G762)*I762))</x:f>
        <x:v>0.58010856</x:v>
      </x:c>
      <x:c r="F762" s="12" t="n">
        <x:v>874</x:v>
      </x:c>
      <x:c r="G762" s="11" t="n">
        <x:v>0.45189999999999997</x:v>
      </x:c>
      <x:c r="H762" s="11" t="n">
        <x:v>0.5595</x:v>
      </x:c>
      <x:c r="I762" s="11" t="n">
        <x:v>0.5971</x:v>
      </x:c>
      <x:c r="J762" s="13" t="n">
        <x:f>IF(OR(G762=0,G762=1),"",(H762-I762)*100)</x:f>
        <x:v>-3.7599999999999967</x:v>
      </x:c>
      <x:c r="K762" s="14" t="n">
        <x:v>34.21</x:v>
      </x:c>
      <x:c r="L762" s="15" t="n">
        <x:f>F762*G762</x:f>
        <x:v>394.9606</x:v>
      </x:c>
      <x:c r="M762" s="15" t="n">
        <x:f>F762-L762</x:f>
        <x:v>479.0394</x:v>
      </x:c>
      <x:c r="N762" s="17" t="str"/>
      <x:c r="O762" s="17" t="str">
        <x:v>https://sts2log.com/cards</x:v>
      </x:c>
      <x:c r="P762" s="17" t="str">
        <x:v>https://slaythespire2.net/ancient/nonupeipe</x:v>
      </x:c>
    </x:row>
    <x:row r="763" ht="25" customHeight="1">
      <x:c r="A763" s="2" t="str">
        <x:v>v0.111</x:v>
      </x:c>
      <x:c r="B763" s="2" t="str">
        <x:v>故障机器人</x:v>
      </x:c>
      <x:c r="C763" s="2" t="str">
        <x:v>诺奴佩普</x:v>
      </x:c>
      <x:c r="D763" s="2" t="str">
        <x:v>娇嫩蕨草</x:v>
      </x:c>
      <x:c r="E763" s="16" t="n">
        <x:f>IF(G763=0,I763,IF(G763=1,H763,G763*H763+(1-G763)*I763))</x:f>
        <x:v>0.5771391</x:v>
      </x:c>
      <x:c r="F763" s="12" t="n">
        <x:v>849</x:v>
      </x:c>
      <x:c r="G763" s="11" t="n">
        <x:v>0.139</x:v>
      </x:c>
      <x:c r="H763" s="11" t="n">
        <x:v>0.6864</x:v>
      </x:c>
      <x:c r="I763" s="11" t="n">
        <x:v>0.5595</x:v>
      </x:c>
      <x:c r="J763" s="13" t="n">
        <x:f>IF(OR(G763=0,G763=1),"",(H763-I763)*100)</x:f>
        <x:v>12.690000000000001</x:v>
      </x:c>
      <x:c r="K763" s="14" t="n">
        <x:v>46.9</x:v>
      </x:c>
      <x:c r="L763" s="15" t="n">
        <x:f>F763*G763</x:f>
        <x:v>118.01100000000001</x:v>
      </x:c>
      <x:c r="M763" s="15" t="n">
        <x:f>F763-L763</x:f>
        <x:v>730.989</x:v>
      </x:c>
      <x:c r="N763" s="17" t="str"/>
      <x:c r="O763" s="17" t="str">
        <x:v>https://sts2log.com/cards</x:v>
      </x:c>
      <x:c r="P763" s="17" t="str">
        <x:v>https://slaythespire2.net/ancient/nonupeipe</x:v>
      </x:c>
    </x:row>
    <x:row r="764" ht="25" customHeight="1">
      <x:c r="A764" s="2" t="str">
        <x:v>v0.111</x:v>
      </x:c>
      <x:c r="B764" s="2" t="str">
        <x:v>故障机器人</x:v>
      </x:c>
      <x:c r="C764" s="2" t="str">
        <x:v>诺奴佩普</x:v>
      </x:c>
      <x:c r="D764" s="2" t="str">
        <x:v>钻石头冠</x:v>
      </x:c>
      <x:c r="E764" s="16" t="n">
        <x:f>IF(G764=0,I764,IF(G764=1,H764,G764*H764+(1-G764)*I764))</x:f>
        <x:v>0.5730244</x:v>
      </x:c>
      <x:c r="F764" s="12" t="n">
        <x:v>897</x:v>
      </x:c>
      <x:c r="G764" s="11" t="n">
        <x:v>0.3768</x:v>
      </x:c>
      <x:c r="H764" s="11" t="n">
        <x:v>0.5858</x:v>
      </x:c>
      <x:c r="I764" s="11" t="n">
        <x:v>0.5653</x:v>
      </x:c>
      <x:c r="J764" s="13" t="n">
        <x:f>IF(OR(G764=0,G764=1),"",(H764-I764)*100)</x:f>
        <x:v>2.0499999999999963</x:v>
      </x:c>
      <x:c r="K764" s="14" t="n">
        <x:v>36.84</x:v>
      </x:c>
      <x:c r="L764" s="15" t="n">
        <x:f>F764*G764</x:f>
        <x:v>337.9896</x:v>
      </x:c>
      <x:c r="M764" s="15" t="n">
        <x:f>F764-L764</x:f>
        <x:v>559.0104</x:v>
      </x:c>
      <x:c r="N764" s="17" t="str"/>
      <x:c r="O764" s="17" t="str">
        <x:v>https://sts2log.com/cards</x:v>
      </x:c>
      <x:c r="P764" s="17" t="str">
        <x:v>https://slaythespire2.net/ancient/nonupeipe</x:v>
      </x:c>
    </x:row>
    <x:row r="765" ht="25" customHeight="1">
      <x:c r="A765" s="2" t="str">
        <x:v>v0.111</x:v>
      </x:c>
      <x:c r="B765" s="2" t="str">
        <x:v>故障机器人</x:v>
      </x:c>
      <x:c r="C765" s="2" t="str">
        <x:v>诺奴佩普</x:v>
      </x:c>
      <x:c r="D765" s="2" t="str">
        <x:v>布质果实</x:v>
      </x:c>
      <x:c r="E765" s="16" t="n">
        <x:f>IF(G765=0,I765,IF(G765=1,H765,G765*H765+(1-G765)*I765))</x:f>
        <x:v>0.5725344</x:v>
      </x:c>
      <x:c r="F765" s="12" t="n">
        <x:v>896</x:v>
      </x:c>
      <x:c r="G765" s="11" t="n">
        <x:v>0.221</x:v>
      </x:c>
      <x:c r="H765" s="11" t="n">
        <x:v>0.5152</x:v>
      </x:c>
      <x:c r="I765" s="11" t="n">
        <x:v>0.5888</x:v>
      </x:c>
      <x:c r="J765" s="13" t="n">
        <x:f>IF(OR(G765=0,G765=1),"",(H765-I765)*100)</x:f>
        <x:v>-7.359999999999999</x:v>
      </x:c>
      <x:c r="K765" s="14" t="n">
        <x:v>29.78</x:v>
      </x:c>
      <x:c r="L765" s="15" t="n">
        <x:f>F765*G765</x:f>
        <x:v>198.016</x:v>
      </x:c>
      <x:c r="M765" s="15" t="n">
        <x:f>F765-L765</x:f>
        <x:v>697.984</x:v>
      </x:c>
      <x:c r="N765" s="17" t="str"/>
      <x:c r="O765" s="17" t="str">
        <x:v>https://sts2log.com/cards</x:v>
      </x:c>
      <x:c r="P765" s="17" t="str">
        <x:v>https://slaythespire2.net/ancient/nonupeipe</x:v>
      </x:c>
    </x:row>
    <x:row r="766" ht="25" customHeight="1">
      <x:c r="A766" s="2" t="str">
        <x:v>v0.111</x:v>
      </x:c>
      <x:c r="B766" s="2" t="str">
        <x:v>故障机器人</x:v>
      </x:c>
      <x:c r="C766" s="2" t="str">
        <x:v>诺奴佩普</x:v>
      </x:c>
      <x:c r="D766" s="2" t="str">
        <x:v>赐福鹿角</x:v>
      </x:c>
      <x:c r="E766" s="16" t="n">
        <x:f>IF(G766=0,I766,IF(G766=1,H766,G766*H766+(1-G766)*I766))</x:f>
        <x:v>0.56319728</x:v>
      </x:c>
      <x:c r="F766" s="12" t="n">
        <x:v>886</x:v>
      </x:c>
      <x:c r="G766" s="11" t="n">
        <x:v>0.2968</x:v>
      </x:c>
      <x:c r="H766" s="11" t="n">
        <x:v>0.4715</x:v>
      </x:c>
      <x:c r="I766" s="11" t="n">
        <x:v>0.6019</x:v>
      </x:c>
      <x:c r="J766" s="13" t="n">
        <x:f>IF(OR(G766=0,G766=1),"",(H766-I766)*100)</x:f>
        <x:v>-13.040000000000001</x:v>
      </x:c>
      <x:c r="K766" s="14" t="n">
        <x:v>25.41</x:v>
      </x:c>
      <x:c r="L766" s="15" t="n">
        <x:f>F766*G766</x:f>
        <x:v>262.9648</x:v>
      </x:c>
      <x:c r="M766" s="15" t="n">
        <x:f>F766-L766</x:f>
        <x:v>623.0352</x:v>
      </x:c>
      <x:c r="N766" s="17" t="str"/>
      <x:c r="O766" s="17" t="str">
        <x:v>https://sts2log.com/cards</x:v>
      </x:c>
      <x:c r="P766" s="17" t="str">
        <x:v>https://slaythespire2.net/ancient/nonupeipe</x:v>
      </x:c>
    </x:row>
    <x:row r="767" ht="25" customHeight="1">
      <x:c r="A767" s="2" t="str">
        <x:v>v0.111</x:v>
      </x:c>
      <x:c r="B767" s="2" t="str">
        <x:v>故障机器人</x:v>
      </x:c>
      <x:c r="C767" s="2" t="str">
        <x:v>诺奴佩普</x:v>
      </x:c>
      <x:c r="D767" s="2" t="str">
        <x:v>皮草大衣</x:v>
      </x:c>
      <x:c r="E767" s="16" t="n">
        <x:f>IF(G767=0,I767,IF(G767=1,H767,G767*H767+(1-G767)*I767))</x:f>
        <x:v>0.54102415</x:v>
      </x:c>
      <x:c r="F767" s="12" t="n">
        <x:v>865</x:v>
      </x:c>
      <x:c r="G767" s="11" t="n">
        <x:v>0.2821</x:v>
      </x:c>
      <x:c r="H767" s="11" t="n">
        <x:v>0.4057</x:v>
      </x:c>
      <x:c r="I767" s="11" t="n">
        <x:v>0.5942000000000001</x:v>
      </x:c>
      <x:c r="J767" s="13" t="n">
        <x:f>IF(OR(G767=0,G767=1),"",(H767-I767)*100)</x:f>
        <x:v>-18.850000000000005</x:v>
      </x:c>
      <x:c r="K767" s="14" t="n">
        <x:v>18.83</x:v>
      </x:c>
      <x:c r="L767" s="15" t="n">
        <x:f>F767*G767</x:f>
        <x:v>244.0165</x:v>
      </x:c>
      <x:c r="M767" s="15" t="n">
        <x:f>F767-L767</x:f>
        <x:v>620.9835</x:v>
      </x:c>
      <x:c r="N767" s="17" t="str"/>
      <x:c r="O767" s="17" t="str">
        <x:v>https://sts2log.com/cards</x:v>
      </x:c>
      <x:c r="P767" s="17" t="str">
        <x:v>https://slaythespire2.net/ancient/nonupeipe</x:v>
      </x:c>
    </x:row>
    <x:row r="768" ht="25" customHeight="1">
      <x:c r="A768" s="2" t="str">
        <x:v>v0.111</x:v>
      </x:c>
      <x:c r="B768" s="2" t="str">
        <x:v>故障机器人</x:v>
      </x:c>
      <x:c r="C768" s="2" t="str">
        <x:v>坦克斯</x:v>
      </x:c>
      <x:c r="D768" s="2" t="str">
        <x:v>铁棒</x:v>
      </x:c>
      <x:c r="E768" s="16" t="n">
        <x:f>IF(G768=0,I768,IF(G768=1,H768,G768*H768+(1-G768)*I768))</x:f>
        <x:v>0.6277000199999999</x:v>
      </x:c>
      <x:c r="F768" s="12" t="n">
        <x:v>932</x:v>
      </x:c>
      <x:c r="G768" s="11" t="n">
        <x:v>0.6019</x:v>
      </x:c>
      <x:c r="H768" s="11" t="n">
        <x:v>0.6738</x:v>
      </x:c>
      <x:c r="I768" s="11" t="n">
        <x:v>0.5579999999999999</x:v>
      </x:c>
      <x:c r="J768" s="13" t="n">
        <x:f>IF(OR(G768=0,G768=1),"",(H768-I768)*100)</x:f>
        <x:v>11.580000000000002</x:v>
      </x:c>
      <x:c r="K768" s="14" t="n">
        <x:v>45.64</x:v>
      </x:c>
      <x:c r="L768" s="15" t="n">
        <x:f>F768*G768</x:f>
        <x:v>560.9707999999999</x:v>
      </x:c>
      <x:c r="M768" s="15" t="n">
        <x:f>F768-L768</x:f>
        <x:v>371.02920000000006</x:v>
      </x:c>
      <x:c r="N768" s="17" t="str"/>
      <x:c r="O768" s="17" t="str">
        <x:v>https://sts2log.com/cards</x:v>
      </x:c>
      <x:c r="P768" s="17" t="str">
        <x:v>https://slaythespire2.net/ancient/tanx</x:v>
      </x:c>
    </x:row>
    <x:row r="769" ht="25" customHeight="1">
      <x:c r="A769" s="2" t="str">
        <x:v>v0.111</x:v>
      </x:c>
      <x:c r="B769" s="2" t="str">
        <x:v>故障机器人</x:v>
      </x:c>
      <x:c r="C769" s="2" t="str">
        <x:v>坦克斯</x:v>
      </x:c>
      <x:c r="D769" s="2" t="str">
        <x:v>钗</x:v>
      </x:c>
      <x:c r="E769" s="16" t="n">
        <x:f>IF(G769=0,I769,IF(G769=1,H769,G769*H769+(1-G769)*I769))</x:f>
        <x:v>0.60606573</x:v>
      </x:c>
      <x:c r="F769" s="12" t="n">
        <x:v>891</x:v>
      </x:c>
      <x:c r="G769" s="11" t="n">
        <x:v>0.48710000000000003</x:v>
      </x:c>
      <x:c r="H769" s="11" t="n">
        <x:v>0.6452</x:v>
      </x:c>
      <x:c r="I769" s="11" t="n">
        <x:v>0.5689</x:v>
      </x:c>
      <x:c r="J769" s="13" t="n">
        <x:f>IF(OR(G769=0,G769=1),"",(H769-I769)*100)</x:f>
        <x:v>7.6300000000000034</x:v>
      </x:c>
      <x:c r="K769" s="14" t="n">
        <x:v>42.78</x:v>
      </x:c>
      <x:c r="L769" s="15" t="n">
        <x:f>F769*G769</x:f>
        <x:v>434.0061</x:v>
      </x:c>
      <x:c r="M769" s="15" t="n">
        <x:f>F769-L769</x:f>
        <x:v>456.9939</x:v>
      </x:c>
      <x:c r="N769" s="17" t="str"/>
      <x:c r="O769" s="17" t="str">
        <x:v>https://sts2log.com/cards</x:v>
      </x:c>
      <x:c r="P769" s="17" t="str">
        <x:v>https://slaythespire2.net/ancient/tanx</x:v>
      </x:c>
    </x:row>
    <x:row r="770" ht="25" customHeight="1">
      <x:c r="A770" s="2" t="str">
        <x:v>v0.111</x:v>
      </x:c>
      <x:c r="B770" s="2" t="str">
        <x:v>故障机器人</x:v>
      </x:c>
      <x:c r="C770" s="2" t="str">
        <x:v>坦克斯</x:v>
      </x:c>
      <x:c r="D770" s="2" t="str">
        <x:v>坦克斯的哨子</x:v>
      </x:c>
      <x:c r="E770" s="16" t="n">
        <x:f>IF(G770=0,I770,IF(G770=1,H770,G770*H770+(1-G770)*I770))</x:f>
        <x:v>0.60002704</x:v>
      </x:c>
      <x:c r="F770" s="12" t="n">
        <x:v>840</x:v>
      </x:c>
      <x:c r="G770" s="11" t="n">
        <x:v>0.25120000000000003</x:v>
      </x:c>
      <x:c r="H770" s="11" t="n">
        <x:v>0.5545</x:v>
      </x:c>
      <x:c r="I770" s="11" t="n">
        <x:v>0.6153</x:v>
      </x:c>
      <x:c r="J770" s="13" t="n">
        <x:f>IF(OR(G770=0,G770=1),"",(H770-I770)*100)</x:f>
        <x:v>-6.0799999999999965</x:v>
      </x:c>
      <x:c r="K770" s="14" t="n">
        <x:v>33.71</x:v>
      </x:c>
      <x:c r="L770" s="15" t="n">
        <x:f>F770*G770</x:f>
        <x:v>211.00800000000004</x:v>
      </x:c>
      <x:c r="M770" s="15" t="n">
        <x:f>F770-L770</x:f>
        <x:v>628.992</x:v>
      </x:c>
      <x:c r="N770" s="17" t="str"/>
      <x:c r="O770" s="17" t="str">
        <x:v>https://sts2log.com/cards</x:v>
      </x:c>
      <x:c r="P770" s="17" t="str">
        <x:v>https://slaythespire2.net/ancient/tanx</x:v>
      </x:c>
    </x:row>
    <x:row r="771" ht="25" customHeight="1">
      <x:c r="A771" s="2" t="str">
        <x:v>v0.111</x:v>
      </x:c>
      <x:c r="B771" s="2" t="str">
        <x:v>故障机器人</x:v>
      </x:c>
      <x:c r="C771" s="2" t="str">
        <x:v>坦克斯</x:v>
      </x:c>
      <x:c r="D771" s="2" t="str">
        <x:v>利爪</x:v>
      </x:c>
      <x:c r="E771" s="16" t="n">
        <x:f>IF(G771=0,I771,IF(G771=1,H771,G771*H771+(1-G771)*I771))</x:f>
        <x:v>0.59454655</x:v>
      </x:c>
      <x:c r="F771" s="12" t="n">
        <x:v>920</x:v>
      </x:c>
      <x:c r="G771" s="11" t="n">
        <x:v>0.24350000000000002</x:v>
      </x:c>
      <x:c r="H771" s="11" t="n">
        <x:v>0.5804</x:v>
      </x:c>
      <x:c r="I771" s="11" t="n">
        <x:v>0.5991</x:v>
      </x:c>
      <x:c r="J771" s="13" t="n">
        <x:f>IF(OR(G771=0,G771=1),"",(H771-I771)*100)</x:f>
        <x:v>-1.869999999999994</x:v>
      </x:c>
      <x:c r="K771" s="14" t="n">
        <x:v>36.3</x:v>
      </x:c>
      <x:c r="L771" s="15" t="n">
        <x:f>F771*G771</x:f>
        <x:v>224.02</x:v>
      </x:c>
      <x:c r="M771" s="15" t="n">
        <x:f>F771-L771</x:f>
        <x:v>695.98</x:v>
      </x:c>
      <x:c r="N771" s="17" t="str"/>
      <x:c r="O771" s="17" t="str">
        <x:v>https://sts2log.com/cards</x:v>
      </x:c>
      <x:c r="P771" s="17" t="str">
        <x:v>https://slaythespire2.net/ancient/tanx</x:v>
      </x:c>
    </x:row>
    <x:row r="772" ht="25" customHeight="1">
      <x:c r="A772" s="2" t="str">
        <x:v>v0.111</x:v>
      </x:c>
      <x:c r="B772" s="2" t="str">
        <x:v>故障机器人</x:v>
      </x:c>
      <x:c r="C772" s="2" t="str">
        <x:v>坦克斯</x:v>
      </x:c>
      <x:c r="D772" s="2" t="str">
        <x:v>十字弓</x:v>
      </x:c>
      <x:c r="E772" s="16" t="n">
        <x:f>IF(G772=0,I772,IF(G772=1,H772,G772*H772+(1-G772)*I772))</x:f>
        <x:v>0.58465088</x:v>
      </x:c>
      <x:c r="F772" s="12" t="n">
        <x:v>939</x:v>
      </x:c>
      <x:c r="G772" s="11" t="n">
        <x:v>0.1864</x:v>
      </x:c>
      <x:c r="H772" s="11" t="n">
        <x:v>0.6857</x:v>
      </x:c>
      <x:c r="I772" s="11" t="n">
        <x:v>0.5615</x:v>
      </x:c>
      <x:c r="J772" s="13" t="n">
        <x:f>IF(OR(G772=0,G772=1),"",(H772-I772)*100)</x:f>
        <x:v>12.419999999999998</x:v>
      </x:c>
      <x:c r="K772" s="14" t="n">
        <x:v>46.83</x:v>
      </x:c>
      <x:c r="L772" s="15" t="n">
        <x:f>F772*G772</x:f>
        <x:v>175.02960000000002</x:v>
      </x:c>
      <x:c r="M772" s="15" t="n">
        <x:f>F772-L772</x:f>
        <x:v>763.9703999999999</x:v>
      </x:c>
      <x:c r="N772" s="17" t="str"/>
      <x:c r="O772" s="17" t="str">
        <x:v>https://sts2log.com/cards</x:v>
      </x:c>
      <x:c r="P772" s="17" t="str">
        <x:v>https://slaythespire2.net/ancient/tanx</x:v>
      </x:c>
    </x:row>
    <x:row r="773" ht="25" customHeight="1">
      <x:c r="A773" s="2" t="str">
        <x:v>v0.111</x:v>
      </x:c>
      <x:c r="B773" s="2" t="str">
        <x:v>故障机器人</x:v>
      </x:c>
      <x:c r="C773" s="2" t="str">
        <x:v>坦克斯</x:v>
      </x:c>
      <x:c r="D773" s="2" t="str">
        <x:v>战锤</x:v>
      </x:c>
      <x:c r="E773" s="16" t="n">
        <x:f>IF(G773=0,I773,IF(G773=1,H773,G773*H773+(1-G773)*I773))</x:f>
        <x:v>0.5836034299999999</x:v>
      </x:c>
      <x:c r="F773" s="12" t="n">
        <x:v>927</x:v>
      </x:c>
      <x:c r="G773" s="11" t="n">
        <x:v>0.2557</x:v>
      </x:c>
      <x:c r="H773" s="11" t="n">
        <x:v>0.5611999999999999</x:v>
      </x:c>
      <x:c r="I773" s="11" t="n">
        <x:v>0.5913</x:v>
      </x:c>
      <x:c r="J773" s="13" t="n">
        <x:f>IF(OR(G773=0,G773=1),"",(H773-I773)*100)</x:f>
        <x:v>-3.0100000000000127</x:v>
      </x:c>
      <x:c r="K773" s="14" t="n">
        <x:v>34.38</x:v>
      </x:c>
      <x:c r="L773" s="15" t="n">
        <x:f>F773*G773</x:f>
        <x:v>237.0339</x:v>
      </x:c>
      <x:c r="M773" s="15" t="n">
        <x:f>F773-L773</x:f>
        <x:v>689.9661</x:v>
      </x:c>
      <x:c r="N773" s="17" t="str"/>
      <x:c r="O773" s="17" t="str">
        <x:v>https://sts2log.com/cards</x:v>
      </x:c>
      <x:c r="P773" s="17" t="str">
        <x:v>https://slaythespire2.net/ancient/tanx</x:v>
      </x:c>
    </x:row>
    <x:row r="774" ht="25" customHeight="1">
      <x:c r="A774" s="2" t="str">
        <x:v>v0.111</x:v>
      </x:c>
      <x:c r="B774" s="2" t="str">
        <x:v>故障机器人</x:v>
      </x:c>
      <x:c r="C774" s="2" t="str">
        <x:v>坦克斯</x:v>
      </x:c>
      <x:c r="D774" s="2" t="str">
        <x:v>切肉刀</x:v>
      </x:c>
      <x:c r="E774" s="16" t="n">
        <x:f>IF(G774=0,I774,IF(G774=1,H774,G774*H774+(1-G774)*I774))</x:f>
        <x:v>0.5832566400000001</x:v>
      </x:c>
      <x:c r="F774" s="12" t="n">
        <x:v>895</x:v>
      </x:c>
      <x:c r="G774" s="11" t="n">
        <x:v>0.46259999999999996</x:v>
      </x:c>
      <x:c r="H774" s="11" t="n">
        <x:v>0.5652</x:v>
      </x:c>
      <x:c r="I774" s="11" t="n">
        <x:v>0.5988</x:v>
      </x:c>
      <x:c r="J774" s="13" t="n">
        <x:f>IF(OR(G774=0,G774=1),"",(H774-I774)*100)</x:f>
        <x:v>-3.3599999999999963</x:v>
      </x:c>
      <x:c r="K774" s="14" t="n">
        <x:v>34.78</x:v>
      </x:c>
      <x:c r="L774" s="15" t="n">
        <x:f>F774*G774</x:f>
        <x:v>414.027</x:v>
      </x:c>
      <x:c r="M774" s="15" t="n">
        <x:f>F774-L774</x:f>
        <x:v>480.973</x:v>
      </x:c>
      <x:c r="N774" s="17" t="str"/>
      <x:c r="O774" s="17" t="str">
        <x:v>https://sts2log.com/cards</x:v>
      </x:c>
      <x:c r="P774" s="17" t="str">
        <x:v>https://slaythespire2.net/ancient/tanx</x:v>
      </x:c>
    </x:row>
    <x:row r="775" ht="25" customHeight="1">
      <x:c r="A775" s="2" t="str">
        <x:v>v0.111</x:v>
      </x:c>
      <x:c r="B775" s="2" t="str">
        <x:v>故障机器人</x:v>
      </x:c>
      <x:c r="C775" s="2" t="str">
        <x:v>坦克斯</x:v>
      </x:c>
      <x:c r="D775" s="2" t="str">
        <x:v>三刃回旋镖</x:v>
      </x:c>
      <x:c r="E775" s="16" t="n">
        <x:f>IF(G775=0,I775,IF(G775=1,H775,G775*H775+(1-G775)*I775))</x:f>
        <x:v>0.5676838000000001</x:v>
      </x:c>
      <x:c r="F775" s="12" t="n">
        <x:v>842</x:v>
      </x:c>
      <x:c r="G775" s="11" t="n">
        <x:v>0.266</x:v>
      </x:c>
      <x:c r="H775" s="11" t="n">
        <x:v>0.5268</x:v>
      </x:c>
      <x:c r="I775" s="11" t="n">
        <x:v>0.5825</x:v>
      </x:c>
      <x:c r="J775" s="13" t="n">
        <x:f>IF(OR(G775=0,G775=1),"",(H775-I775)*100)</x:f>
        <x:v>-5.569999999999997</x:v>
      </x:c>
      <x:c r="K775" s="14" t="n">
        <x:v>30.94</x:v>
      </x:c>
      <x:c r="L775" s="15" t="n">
        <x:f>F775*G775</x:f>
        <x:v>223.972</x:v>
      </x:c>
      <x:c r="M775" s="15" t="n">
        <x:f>F775-L775</x:f>
        <x:v>618.028</x:v>
      </x:c>
      <x:c r="N775" s="17" t="str"/>
      <x:c r="O775" s="17" t="str">
        <x:v>https://sts2log.com/cards</x:v>
      </x:c>
      <x:c r="P775" s="17" t="str">
        <x:v>https://slaythespire2.net/ancient/tanx</x:v>
      </x:c>
    </x:row>
    <x:row r="776" ht="25" customHeight="1">
      <x:c r="A776" s="2" t="str">
        <x:v>v0.111</x:v>
      </x:c>
      <x:c r="B776" s="2" t="str">
        <x:v>故障机器人</x:v>
      </x:c>
      <x:c r="C776" s="2" t="str">
        <x:v>坦克斯</x:v>
      </x:c>
      <x:c r="D776" s="2" t="str">
        <x:v>带刺手甲</x:v>
      </x:c>
      <x:c r="E776" s="16" t="n">
        <x:f>IF(G776=0,I776,IF(G776=1,H776,G776*H776+(1-G776)*I776))</x:f>
        <x:v>0.55957602</x:v>
      </x:c>
      <x:c r="F776" s="12" t="n">
        <x:v>949</x:v>
      </x:c>
      <x:c r="G776" s="11" t="n">
        <x:v>0.1591</x:v>
      </x:c>
      <x:c r="H776" s="11" t="n">
        <x:v>0.4437</x:v>
      </x:c>
      <x:c r="I776" s="11" t="n">
        <x:v>0.5815</x:v>
      </x:c>
      <x:c r="J776" s="13" t="n">
        <x:f>IF(OR(G776=0,G776=1),"",(H776-I776)*100)</x:f>
        <x:v>-13.780000000000003</x:v>
      </x:c>
      <x:c r="K776" s="14" t="n">
        <x:v>22.63</x:v>
      </x:c>
      <x:c r="L776" s="15" t="n">
        <x:f>F776*G776</x:f>
        <x:v>150.9859</x:v>
      </x:c>
      <x:c r="M776" s="15" t="n">
        <x:f>F776-L776</x:f>
        <x:v>798.0141</x:v>
      </x:c>
      <x:c r="N776" s="17" t="str"/>
      <x:c r="O776" s="17" t="str">
        <x:v>https://sts2log.com/cards</x:v>
      </x:c>
      <x:c r="P776" s="17" t="str">
        <x:v>https://slaythespire2.net/ancient/tanx</x:v>
      </x:c>
    </x:row>
    <x:row r="777" ht="25" customHeight="1">
      <x:c r="A777" s="2" t="str">
        <x:v>v0.111</x:v>
      </x:c>
      <x:c r="B777" s="2" t="str">
        <x:v>故障机器人</x:v>
      </x:c>
      <x:c r="C777" s="2" t="str">
        <x:v>坦克斯</x:v>
      </x:c>
      <x:c r="D777" s="2" t="str">
        <x:v>投斧</x:v>
      </x:c>
      <x:c r="E777" s="16" t="n">
        <x:f>IF(G777=0,I777,IF(G777=1,H777,G777*H777+(1-G777)*I777))</x:f>
        <x:v>0.55579584</x:v>
      </x:c>
      <x:c r="F777" s="12" t="n">
        <x:v>959</x:v>
      </x:c>
      <x:c r="G777" s="11" t="n">
        <x:v>0.4004</x:v>
      </x:c>
      <x:c r="H777" s="11" t="n">
        <x:v>0.48960000000000004</x:v>
      </x:c>
      <x:c r="I777" s="11" t="n">
        <x:v>0.6</x:v>
      </x:c>
      <x:c r="J777" s="13" t="n">
        <x:f>IF(OR(G777=0,G777=1),"",(H777-I777)*100)</x:f>
        <x:v>-11.039999999999994</x:v>
      </x:c>
      <x:c r="K777" s="14" t="n">
        <x:v>27.22</x:v>
      </x:c>
      <x:c r="L777" s="15" t="n">
        <x:f>F777*G777</x:f>
        <x:v>383.98359999999997</x:v>
      </x:c>
      <x:c r="M777" s="15" t="n">
        <x:f>F777-L777</x:f>
        <x:v>575.0164</x:v>
      </x:c>
      <x:c r="N777" s="17" t="str"/>
      <x:c r="O777" s="17" t="str">
        <x:v>https://sts2log.com/cards</x:v>
      </x:c>
      <x:c r="P777" s="17" t="str">
        <x:v>https://slaythespire2.net/ancient/tanx</x:v>
      </x:c>
    </x:row>
    <x:row r="778" ht="25" customHeight="1">
      <x:c r="A778" s="2" t="str">
        <x:v>v0.111</x:v>
      </x:c>
      <x:c r="B778" s="2" t="str">
        <x:v>故障机器人</x:v>
      </x:c>
      <x:c r="C778" s="2" t="str">
        <x:v>瓦库</x:v>
      </x:c>
      <x:c r="D778" s="2" t="str">
        <x:v>低语耳环</x:v>
      </x:c>
      <x:c r="E778" s="16" t="n">
        <x:f>IF(G778=0,I778,IF(G778=1,H778,G778*H778+(1-G778)*I778))</x:f>
        <x:v>0.53850752</x:v>
      </x:c>
      <x:c r="F778" s="12" t="n">
        <x:v>947</x:v>
      </x:c>
      <x:c r="G778" s="11" t="n">
        <x:v>0.1394</x:v>
      </x:c>
      <x:c r="H778" s="11" t="n">
        <x:v>0.40149999999999997</x:v>
      </x:c>
      <x:c r="I778" s="11" t="n">
        <x:v>0.5607</x:v>
      </x:c>
      <x:c r="J778" s="13" t="n">
        <x:f>IF(OR(G778=0,G778=1),"",(H778-I778)*100)</x:f>
        <x:v>-15.920000000000002</x:v>
      </x:c>
      <x:c r="K778" s="14" t="n">
        <x:v>18.41</x:v>
      </x:c>
      <x:c r="L778" s="15" t="n">
        <x:f>F778*G778</x:f>
        <x:v>132.0118</x:v>
      </x:c>
      <x:c r="M778" s="15" t="n">
        <x:f>F778-L778</x:f>
        <x:v>814.9882</x:v>
      </x:c>
      <x:c r="N778" s="17" t="str"/>
      <x:c r="O778" s="17" t="str">
        <x:v>https://sts2log.com/cards</x:v>
      </x:c>
      <x:c r="P778" s="17" t="str">
        <x:v>https://slaythespire2.net/ancient/vakuu</x:v>
      </x:c>
    </x:row>
    <x:row r="779" ht="25" customHeight="1">
      <x:c r="A779" s="2" t="str">
        <x:v>v0.111</x:v>
      </x:c>
      <x:c r="B779" s="2" t="str">
        <x:v>故障机器人</x:v>
      </x:c>
      <x:c r="C779" s="2" t="str">
        <x:v>瓦库</x:v>
      </x:c>
      <x:c r="D779" s="2" t="str">
        <x:v>原初之爪</x:v>
      </x:c>
      <x:c r="E779" s="16" t="n">
        <x:f>IF(G779=0,I779,IF(G779=1,H779,G779*H779+(1-G779)*I779))</x:f>
        <x:v>0.52978355</x:v>
      </x:c>
      <x:c r="F779" s="12" t="n">
        <x:v>974</x:v>
      </x:c>
      <x:c r="G779" s="11" t="n">
        <x:v>0.5185</x:v>
      </x:c>
      <x:c r="H779" s="11" t="n">
        <x:v>0.5722999999999999</x:v>
      </x:c>
      <x:c r="I779" s="11" t="n">
        <x:v>0.484</x:v>
      </x:c>
      <x:c r="J779" s="13" t="n">
        <x:f>IF(OR(G779=0,G779=1),"",(H779-I779)*100)</x:f>
        <x:v>8.829999999999993</x:v>
      </x:c>
      <x:c r="K779" s="14" t="n">
        <x:v>35.49</x:v>
      </x:c>
      <x:c r="L779" s="15" t="n">
        <x:f>F779*G779</x:f>
        <x:v>505.01899999999995</x:v>
      </x:c>
      <x:c r="M779" s="15" t="n">
        <x:f>F779-L779</x:f>
        <x:v>468.98100000000005</x:v>
      </x:c>
      <x:c r="N779" s="17" t="str"/>
      <x:c r="O779" s="17" t="str">
        <x:v>https://sts2log.com/cards</x:v>
      </x:c>
      <x:c r="P779" s="17" t="str">
        <x:v>https://slaythespire2.net/ancient/vakuu</x:v>
      </x:c>
    </x:row>
    <x:row r="780" ht="25" customHeight="1">
      <x:c r="A780" s="2" t="str">
        <x:v>v0.111</x:v>
      </x:c>
      <x:c r="B780" s="2" t="str">
        <x:v>故障机器人</x:v>
      </x:c>
      <x:c r="C780" s="2" t="str">
        <x:v>瓦库</x:v>
      </x:c>
      <x:c r="D780" s="2" t="str">
        <x:v>音乐盒</x:v>
      </x:c>
      <x:c r="E780" s="16" t="n">
        <x:f>IF(G780=0,I780,IF(G780=1,H780,G780*H780+(1-G780)*I780))</x:f>
        <x:v>0.52841502</x:v>
      </x:c>
      <x:c r="F780" s="12" t="n">
        <x:v>757</x:v>
      </x:c>
      <x:c r="G780" s="11" t="n">
        <x:v>0.3567</x:v>
      </x:c>
      <x:c r="H780" s="11" t="n">
        <x:v>0.5481</x:v>
      </x:c>
      <x:c r="I780" s="11" t="n">
        <x:v>0.5175</x:v>
      </x:c>
      <x:c r="J780" s="13" t="n">
        <x:f>IF(OR(G780=0,G780=1),"",(H780-I780)*100)</x:f>
        <x:v>3.060000000000007</x:v>
      </x:c>
      <x:c r="K780" s="14" t="n">
        <x:v>33.07</x:v>
      </x:c>
      <x:c r="L780" s="15" t="n">
        <x:f>F780*G780</x:f>
        <x:v>270.0219</x:v>
      </x:c>
      <x:c r="M780" s="15" t="n">
        <x:f>F780-L780</x:f>
        <x:v>486.9781</x:v>
      </x:c>
      <x:c r="N780" s="17" t="str"/>
      <x:c r="O780" s="17" t="str">
        <x:v>https://sts2log.com/cards</x:v>
      </x:c>
      <x:c r="P780" s="17" t="str">
        <x:v>https://slaythespire2.net/ancient/vakuu</x:v>
      </x:c>
    </x:row>
    <x:row r="781" ht="25" customHeight="1">
      <x:c r="A781" s="2" t="str">
        <x:v>v0.111</x:v>
      </x:c>
      <x:c r="B781" s="2" t="str">
        <x:v>故障机器人</x:v>
      </x:c>
      <x:c r="C781" s="2" t="str">
        <x:v>瓦库</x:v>
      </x:c>
      <x:c r="D781" s="2" t="str">
        <x:v>宝石面具</x:v>
      </x:c>
      <x:c r="E781" s="16" t="n">
        <x:f>IF(G781=0,I781,IF(G781=1,H781,G781*H781+(1-G781)*I781))</x:f>
        <x:v>0.52404884</x:v>
      </x:c>
      <x:c r="F781" s="12" t="n">
        <x:v>748</x:v>
      </x:c>
      <x:c r="G781" s="11" t="n">
        <x:v>0.7286</x:v>
      </x:c>
      <x:c r="H781" s="11" t="n">
        <x:v>0.5266</x:v>
      </x:c>
      <x:c r="I781" s="11" t="n">
        <x:v>0.5172</x:v>
      </x:c>
      <x:c r="J781" s="13" t="n">
        <x:f>IF(OR(G781=0,G781=1),"",(H781-I781)*100)</x:f>
        <x:v>0.9399999999999964</x:v>
      </x:c>
      <x:c r="K781" s="14" t="n">
        <x:v>30.92</x:v>
      </x:c>
      <x:c r="L781" s="15" t="n">
        <x:f>F781*G781</x:f>
        <x:v>544.9928</x:v>
      </x:c>
      <x:c r="M781" s="15" t="n">
        <x:f>F781-L781</x:f>
        <x:v>203.0072</x:v>
      </x:c>
      <x:c r="N781" s="17" t="str"/>
      <x:c r="O781" s="17" t="str">
        <x:v>https://sts2log.com/cards</x:v>
      </x:c>
      <x:c r="P781" s="17" t="str">
        <x:v>https://slaythespire2.net/ancient/vakuu</x:v>
      </x:c>
    </x:row>
    <x:row r="782" ht="25" customHeight="1">
      <x:c r="A782" s="2" t="str">
        <x:v>v0.111</x:v>
      </x:c>
      <x:c r="B782" s="2" t="str">
        <x:v>故障机器人</x:v>
      </x:c>
      <x:c r="C782" s="2" t="str">
        <x:v>瓦库</x:v>
      </x:c>
      <x:c r="D782" s="2" t="str">
        <x:v>卓越斗篷</x:v>
      </x:c>
      <x:c r="E782" s="16" t="n">
        <x:f>IF(G782=0,I782,IF(G782=1,H782,G782*H782+(1-G782)*I782))</x:f>
        <x:v>0.52295524</x:v>
      </x:c>
      <x:c r="F782" s="12" t="n">
        <x:v>981</x:v>
      </x:c>
      <x:c r="G782" s="11" t="n">
        <x:v>0.2324</x:v>
      </x:c>
      <x:c r="H782" s="11" t="n">
        <x:v>0.4693</x:v>
      </x:c>
      <x:c r="I782" s="11" t="n">
        <x:v>0.5392</x:v>
      </x:c>
      <x:c r="J782" s="13" t="n">
        <x:f>IF(OR(G782=0,G782=1),"",(H782-I782)*100)</x:f>
        <x:v>-6.990000000000002</x:v>
      </x:c>
      <x:c r="K782" s="14" t="n">
        <x:v>25.19</x:v>
      </x:c>
      <x:c r="L782" s="15" t="n">
        <x:f>F782*G782</x:f>
        <x:v>227.9844</x:v>
      </x:c>
      <x:c r="M782" s="15" t="n">
        <x:f>F782-L782</x:f>
        <x:v>753.0156</x:v>
      </x:c>
      <x:c r="N782" s="17" t="str"/>
      <x:c r="O782" s="17" t="str">
        <x:v>https://sts2log.com/cards</x:v>
      </x:c>
      <x:c r="P782" s="17" t="str">
        <x:v>https://slaythespire2.net/ancient/vakuu</x:v>
      </x:c>
    </x:row>
    <x:row r="783" ht="25" customHeight="1">
      <x:c r="A783" s="2" t="str">
        <x:v>v0.111</x:v>
      </x:c>
      <x:c r="B783" s="2" t="str">
        <x:v>故障机器人</x:v>
      </x:c>
      <x:c r="C783" s="2" t="str">
        <x:v>瓦库</x:v>
      </x:c>
      <x:c r="D783" s="2" t="str">
        <x:v>选择悖论</x:v>
      </x:c>
      <x:c r="E783" s="16" t="n">
        <x:f>IF(G783=0,I783,IF(G783=1,H783,G783*H783+(1-G783)*I783))</x:f>
        <x:v>0.51892748</x:v>
      </x:c>
      <x:c r="F783" s="12" t="n">
        <x:v>688</x:v>
      </x:c>
      <x:c r="G783" s="11" t="n">
        <x:v>0.4404</x:v>
      </x:c>
      <x:c r="H783" s="11" t="n">
        <x:v>0.5182</x:v>
      </x:c>
      <x:c r="I783" s="11" t="n">
        <x:v>0.5195000000000001</x:v>
      </x:c>
      <x:c r="J783" s="13" t="n">
        <x:f>IF(OR(G783=0,G783=1),"",(H783-I783)*100)</x:f>
        <x:v>-0.1300000000000079</x:v>
      </x:c>
      <x:c r="K783" s="14" t="n">
        <x:v>30.08</x:v>
      </x:c>
      <x:c r="L783" s="15" t="n">
        <x:f>F783*G783</x:f>
        <x:v>302.9952</x:v>
      </x:c>
      <x:c r="M783" s="15" t="n">
        <x:f>F783-L783</x:f>
        <x:v>385.0048</x:v>
      </x:c>
      <x:c r="N783" s="17" t="str"/>
      <x:c r="O783" s="17" t="str">
        <x:v>https://sts2log.com/cards</x:v>
      </x:c>
      <x:c r="P783" s="17" t="str">
        <x:v>https://slaythespire2.net/ancient/vakuu</x:v>
      </x:c>
    </x:row>
    <x:row r="784" ht="25" customHeight="1">
      <x:c r="A784" s="2" t="str">
        <x:v>v0.111</x:v>
      </x:c>
      <x:c r="B784" s="2" t="str">
        <x:v>故障机器人</x:v>
      </x:c>
      <x:c r="C784" s="2" t="str">
        <x:v>瓦库</x:v>
      </x:c>
      <x:c r="D784" s="2" t="str">
        <x:v>血染玫瑰</x:v>
      </x:c>
      <x:c r="E784" s="16" t="n">
        <x:f>IF(G784=0,I784,IF(G784=1,H784,G784*H784+(1-G784)*I784))</x:f>
        <x:v>0.5103446</x:v>
      </x:c>
      <x:c r="F784" s="12" t="n">
        <x:v>970</x:v>
      </x:c>
      <x:c r="G784" s="11" t="n">
        <x:v>0.1278</x:v>
      </x:c>
      <x:c r="H784" s="11" t="n">
        <x:v>0.2984</x:v>
      </x:c>
      <x:c r="I784" s="11" t="n">
        <x:v>0.5414</x:v>
      </x:c>
      <x:c r="J784" s="13" t="n">
        <x:f>IF(OR(G784=0,G784=1),"",(H784-I784)*100)</x:f>
        <x:v>-24.3</x:v>
      </x:c>
      <x:c r="K784" s="14" t="n">
        <x:v>8.1</x:v>
      </x:c>
      <x:c r="L784" s="15" t="n">
        <x:f>F784*G784</x:f>
        <x:v>123.966</x:v>
      </x:c>
      <x:c r="M784" s="15" t="n">
        <x:f>F784-L784</x:f>
        <x:v>846.034</x:v>
      </x:c>
      <x:c r="N784" s="17" t="str"/>
      <x:c r="O784" s="17" t="str">
        <x:v>https://sts2log.com/cards</x:v>
      </x:c>
      <x:c r="P784" s="17" t="str">
        <x:v>https://slaythespire2.net/ancient/vakuu</x:v>
      </x:c>
    </x:row>
    <x:row r="785" ht="25" customHeight="1">
      <x:c r="A785" s="2" t="str">
        <x:v>v0.111</x:v>
      </x:c>
      <x:c r="B785" s="2" t="str">
        <x:v>故障机器人</x:v>
      </x:c>
      <x:c r="C785" s="2" t="str">
        <x:v>瓦库</x:v>
      </x:c>
      <x:c r="D785" s="2" t="str">
        <x:v>小提琴</x:v>
      </x:c>
      <x:c r="E785" s="16" t="n">
        <x:f>IF(G785=0,I785,IF(G785=1,H785,G785*H785+(1-G785)*I785))</x:f>
        <x:v>0.5060098</x:v>
      </x:c>
      <x:c r="F785" s="12" t="n">
        <x:v>992</x:v>
      </x:c>
      <x:c r="G785" s="11" t="n">
        <x:v>0.11689999999999999</x:v>
      </x:c>
      <x:c r="H785" s="11" t="n">
        <x:v>0.5431</x:v>
      </x:c>
      <x:c r="I785" s="11" t="n">
        <x:v>0.5011</x:v>
      </x:c>
      <x:c r="J785" s="13" t="n">
        <x:f>IF(OR(G785=0,G785=1),"",(H785-I785)*100)</x:f>
        <x:v>4.200000000000004</x:v>
      </x:c>
      <x:c r="K785" s="14" t="n">
        <x:v>32.57</x:v>
      </x:c>
      <x:c r="L785" s="15" t="n">
        <x:f>F785*G785</x:f>
        <x:v>115.9648</x:v>
      </x:c>
      <x:c r="M785" s="15" t="n">
        <x:f>F785-L785</x:f>
        <x:v>876.0352</x:v>
      </x:c>
      <x:c r="N785" s="17" t="str"/>
      <x:c r="O785" s="17" t="str">
        <x:v>https://sts2log.com/cards</x:v>
      </x:c>
      <x:c r="P785" s="17" t="str">
        <x:v>https://slaythespire2.net/ancient/vakuu</x:v>
      </x:c>
    </x:row>
    <x:row r="786" ht="25" customHeight="1">
      <x:c r="A786" s="2" t="str">
        <x:v>v0.111</x:v>
      </x:c>
      <x:c r="B786" s="2" t="str">
        <x:v>故障机器人</x:v>
      </x:c>
      <x:c r="C786" s="2" t="str">
        <x:v>瓦库</x:v>
      </x:c>
      <x:c r="D786" s="2" t="str">
        <x:v>领主阳伞</x:v>
      </x:c>
      <x:c r="E786" s="16" t="n">
        <x:f>IF(G786=0,I786,IF(G786=1,H786,G786*H786+(1-G786)*I786))</x:f>
        <x:v>0.501415</x:v>
      </x:c>
      <x:c r="F786" s="12" t="n">
        <x:v>720</x:v>
      </x:c>
      <x:c r="G786" s="11" t="n">
        <x:v>0.15</x:v>
      </x:c>
      <x:c r="H786" s="11" t="n">
        <x:v>0.5185</x:v>
      </x:c>
      <x:c r="I786" s="11" t="n">
        <x:v>0.4984</x:v>
      </x:c>
      <x:c r="J786" s="13" t="n">
        <x:f>IF(OR(G786=0,G786=1),"",(H786-I786)*100)</x:f>
        <x:v>2.0099999999999953</x:v>
      </x:c>
      <x:c r="K786" s="14" t="n">
        <x:v>30.11</x:v>
      </x:c>
      <x:c r="L786" s="15" t="n">
        <x:f>F786*G786</x:f>
        <x:v>108</x:v>
      </x:c>
      <x:c r="M786" s="15" t="n">
        <x:f>F786-L786</x:f>
        <x:v>612</x:v>
      </x:c>
      <x:c r="N786" s="17" t="str"/>
      <x:c r="O786" s="17" t="str">
        <x:v>https://sts2log.com/cards</x:v>
      </x:c>
      <x:c r="P786" s="17" t="str">
        <x:v>https://slaythespire2.net/ancient/vakuu</x:v>
      </x:c>
    </x:row>
    <x:row r="787" ht="25" customHeight="1">
      <x:c r="A787" s="2" t="str">
        <x:v>v0.111</x:v>
      </x:c>
      <x:c r="B787" s="2" t="str">
        <x:v>故障机器人</x:v>
      </x:c>
      <x:c r="C787" s="2" t="str">
        <x:v>瓦库</x:v>
      </x:c>
      <x:c r="D787" s="2" t="str">
        <x:v>腌制活雾</x:v>
      </x:c>
      <x:c r="E787" s="16" t="n">
        <x:f>IF(G787=0,I787,IF(G787=1,H787,G787*H787+(1-G787)*I787))</x:f>
        <x:v>0.5010195000000001</x:v>
      </x:c>
      <x:c r="F787" s="12" t="n">
        <x:v>954</x:v>
      </x:c>
      <x:c r="G787" s="11" t="n">
        <x:v>0.5975</x:v>
      </x:c>
      <x:c r="H787" s="11" t="n">
        <x:v>0.5333</x:v>
      </x:c>
      <x:c r="I787" s="11" t="n">
        <x:v>0.4531</x:v>
      </x:c>
      <x:c r="J787" s="13" t="n">
        <x:f>IF(OR(G787=0,G787=1),"",(H787-I787)*100)</x:f>
        <x:v>8.02</x:v>
      </x:c>
      <x:c r="K787" s="14" t="n">
        <x:v>31.59</x:v>
      </x:c>
      <x:c r="L787" s="15" t="n">
        <x:f>F787*G787</x:f>
        <x:v>570.015</x:v>
      </x:c>
      <x:c r="M787" s="15" t="n">
        <x:f>F787-L787</x:f>
        <x:v>383.985</x:v>
      </x:c>
      <x:c r="N787" s="17" t="str"/>
      <x:c r="O787" s="17" t="str">
        <x:v>https://sts2log.com/cards</x:v>
      </x:c>
      <x:c r="P787" s="17" t="str">
        <x:v>https://slaythespire2.net/ancient/vakuu</x:v>
      </x:c>
    </x:row>
    <x:row r="788" ht="42" customHeight="1">
      <x:c r="A788" s="2" t="str">
        <x:v>v0.111</x:v>
      </x:c>
      <x:c r="B788" s="2" t="str">
        <x:v>故障机器人</x:v>
      </x:c>
      <x:c r="C788" s="2" t="str">
        <x:v>达弗</x:v>
      </x:c>
      <x:c r="D788" s="2" t="str">
        <x:v>符文金字塔</x:v>
      </x:c>
      <x:c r="E788" s="16" t="n">
        <x:f>IF(G788=0,I788,IF(G788=1,H788,G788*H788+(1-G788)*I788))</x:f>
        <x:v>0.47828572</x:v>
      </x:c>
      <x:c r="F788" s="12" t="n">
        <x:v>644</x:v>
      </x:c>
      <x:c r="G788" s="11" t="n">
        <x:v>0.6242</x:v>
      </x:c>
      <x:c r="H788" s="11" t="n">
        <x:v>0.5672</x:v>
      </x:c>
      <x:c r="I788" s="11" t="n">
        <x:v>0.3306</x:v>
      </x:c>
      <x:c r="J788" s="13" t="n">
        <x:f>IF(OR(G788=0,G788=1),"",(H788-I788)*100)</x:f>
        <x:v>23.660000000000004</x:v>
      </x:c>
      <x:c r="K788" s="14" t="n">
        <x:v>34.98</x:v>
      </x:c>
      <x:c r="L788" s="15" t="n">
        <x:f>F788*G788</x:f>
        <x:v>401.9848</x:v>
      </x:c>
      <x:c r="M788" s="15" t="n">
        <x:f>F788-L788</x:f>
        <x:v>242.0152</x:v>
      </x:c>
      <x:c r="N788" s="17" t="str">
        <x:v>不同幕混合，勿直接解释为纯强度</x:v>
      </x:c>
      <x:c r="O788" s="17" t="str">
        <x:v>https://sts2log.com/cards</x:v>
      </x:c>
      <x:c r="P788" s="17" t="str">
        <x:v>https://slaythespire2.net/ancient/darv</x:v>
      </x:c>
    </x:row>
    <x:row r="789" ht="42" customHeight="1">
      <x:c r="A789" s="2" t="str">
        <x:v>v0.111</x:v>
      </x:c>
      <x:c r="B789" s="2" t="str">
        <x:v>故障机器人</x:v>
      </x:c>
      <x:c r="C789" s="2" t="str">
        <x:v>达弗</x:v>
      </x:c>
      <x:c r="D789" s="2" t="str">
        <x:v>星盘</x:v>
      </x:c>
      <x:c r="E789" s="16" t="n">
        <x:f>IF(G789=0,I789,IF(G789=1,H789,G789*H789+(1-G789)*I789))</x:f>
        <x:v>0.46409133999999996</x:v>
      </x:c>
      <x:c r="F789" s="12" t="n">
        <x:v>640</x:v>
      </x:c>
      <x:c r="G789" s="11" t="n">
        <x:v>0.6640999999999999</x:v>
      </x:c>
      <x:c r="H789" s="11" t="n">
        <x:v>0.45649999999999996</x:v>
      </x:c>
      <x:c r="I789" s="11" t="n">
        <x:v>0.47909999999999997</x:v>
      </x:c>
      <x:c r="J789" s="13" t="n">
        <x:f>IF(OR(G789=0,G789=1),"",(H789-I789)*100)</x:f>
        <x:v>-2.2600000000000007</x:v>
      </x:c>
      <x:c r="K789" s="14" t="n">
        <x:v>23.91</x:v>
      </x:c>
      <x:c r="L789" s="15" t="n">
        <x:f>F789*G789</x:f>
        <x:v>425.02399999999994</x:v>
      </x:c>
      <x:c r="M789" s="15" t="n">
        <x:f>F789-L789</x:f>
        <x:v>214.97600000000006</x:v>
      </x:c>
      <x:c r="N789" s="17" t="str">
        <x:v>不同幕混合，勿直接解释为纯强度</x:v>
      </x:c>
      <x:c r="O789" s="17" t="str">
        <x:v>https://sts2log.com/cards</x:v>
      </x:c>
      <x:c r="P789" s="17" t="str">
        <x:v>https://slaythespire2.net/ancient/darv</x:v>
      </x:c>
    </x:row>
    <x:row r="790" ht="42" customHeight="1">
      <x:c r="A790" s="2" t="str">
        <x:v>v0.111</x:v>
      </x:c>
      <x:c r="B790" s="2" t="str">
        <x:v>故障机器人</x:v>
      </x:c>
      <x:c r="C790" s="2" t="str">
        <x:v>达弗</x:v>
      </x:c>
      <x:c r="D790" s="2" t="str">
        <x:v>潘多拉魔盒</x:v>
      </x:c>
      <x:c r="E790" s="16" t="n">
        <x:f>IF(G790=0,I790,IF(G790=1,H790,G790*H790+(1-G790)*I790))</x:f>
        <x:v>0.44876842</x:v>
      </x:c>
      <x:c r="F790" s="12" t="n">
        <x:v>644</x:v>
      </x:c>
      <x:c r="G790" s="11" t="n">
        <x:v>0.5326</x:v>
      </x:c>
      <x:c r="H790" s="11" t="n">
        <x:v>0.45189999999999997</x:v>
      </x:c>
      <x:c r="I790" s="11" t="n">
        <x:v>0.44520000000000004</x:v>
      </x:c>
      <x:c r="J790" s="13" t="n">
        <x:f>IF(OR(G790=0,G790=1),"",(H790-I790)*100)</x:f>
        <x:v>0.6699999999999928</x:v>
      </x:c>
      <x:c r="K790" s="14" t="n">
        <x:v>23.45</x:v>
      </x:c>
      <x:c r="L790" s="15" t="n">
        <x:f>F790*G790</x:f>
        <x:v>342.9944</x:v>
      </x:c>
      <x:c r="M790" s="15" t="n">
        <x:f>F790-L790</x:f>
        <x:v>301.0056</x:v>
      </x:c>
      <x:c r="N790" s="17" t="str">
        <x:v>不同幕混合，勿直接解释为纯强度</x:v>
      </x:c>
      <x:c r="O790" s="17" t="str">
        <x:v>https://sts2log.com/cards</x:v>
      </x:c>
      <x:c r="P790" s="17" t="str">
        <x:v>https://slaythespire2.net/ancient/darv</x:v>
      </x:c>
    </x:row>
    <x:row r="791" ht="42" customHeight="1">
      <x:c r="A791" s="2" t="str">
        <x:v>v0.111</x:v>
      </x:c>
      <x:c r="B791" s="2" t="str">
        <x:v>故障机器人</x:v>
      </x:c>
      <x:c r="C791" s="2" t="str">
        <x:v>达弗</x:v>
      </x:c>
      <x:c r="D791" s="2" t="str">
        <x:v>贤者之石</x:v>
      </x:c>
      <x:c r="E791" s="16" t="n">
        <x:f>IF(G791=0,I791,IF(G791=1,H791,G791*H791+(1-G791)*I791))</x:f>
        <x:v>0.43259156000000004</x:v>
      </x:c>
      <x:c r="F791" s="12" t="n">
        <x:v>675</x:v>
      </x:c>
      <x:c r="G791" s="11" t="n">
        <x:v>0.3007</x:v>
      </x:c>
      <x:c r="H791" s="11" t="n">
        <x:v>0.38420000000000004</x:v>
      </x:c>
      <x:c r="I791" s="11" t="n">
        <x:v>0.4534</x:v>
      </x:c>
      <x:c r="J791" s="13" t="n">
        <x:f>IF(OR(G791=0,G791=1),"",(H791-I791)*100)</x:f>
        <x:v>-6.919999999999998</x:v>
      </x:c>
      <x:c r="K791" s="14" t="n">
        <x:v>16.68</x:v>
      </x:c>
      <x:c r="L791" s="15" t="n">
        <x:f>F791*G791</x:f>
        <x:v>202.97250000000003</x:v>
      </x:c>
      <x:c r="M791" s="15" t="n">
        <x:f>F791-L791</x:f>
        <x:v>472.0275</x:v>
      </x:c>
      <x:c r="N791" s="17" t="str">
        <x:v>不同幕混合，勿直接解释为纯强度</x:v>
      </x:c>
      <x:c r="O791" s="17" t="str">
        <x:v>https://sts2log.com/cards</x:v>
      </x:c>
      <x:c r="P791" s="17" t="str">
        <x:v>https://op.gg/zh-cn/slay-the-spire2/events/Darv</x:v>
      </x:c>
    </x:row>
    <x:row r="792" ht="42" customHeight="1">
      <x:c r="A792" s="2" t="str">
        <x:v>v0.111</x:v>
      </x:c>
      <x:c r="B792" s="2" t="str">
        <x:v>故障机器人</x:v>
      </x:c>
      <x:c r="C792" s="2" t="str">
        <x:v>达弗</x:v>
      </x:c>
      <x:c r="D792" s="2" t="str">
        <x:v>天鹅绒颈圈</x:v>
      </x:c>
      <x:c r="E792" s="16" t="n">
        <x:f>IF(G792=0,I792,IF(G792=1,H792,G792*H792+(1-G792)*I792))</x:f>
        <x:v>0.43019734000000004</x:v>
      </x:c>
      <x:c r="F792" s="12" t="n">
        <x:v>609</x:v>
      </x:c>
      <x:c r="G792" s="11" t="n">
        <x:v>0.0509</x:v>
      </x:c>
      <x:c r="H792" s="11" t="n">
        <x:v>0.2903</x:v>
      </x:c>
      <x:c r="I792" s="11" t="n">
        <x:v>0.43770000000000003</x:v>
      </x:c>
      <x:c r="J792" s="13" t="n">
        <x:f>IF(OR(G792=0,G792=1),"",(H792-I792)*100)</x:f>
        <x:v>-14.740000000000004</x:v>
      </x:c>
      <x:c r="K792" s="14" t="n">
        <x:v>7.29</x:v>
      </x:c>
      <x:c r="L792" s="15" t="n">
        <x:f>F792*G792</x:f>
        <x:v>30.9981</x:v>
      </x:c>
      <x:c r="M792" s="15" t="n">
        <x:f>F792-L792</x:f>
        <x:v>578.0019</x:v>
      </x:c>
      <x:c r="N792" s="17" t="str">
        <x:v>不同幕混合，勿直接解释为纯强度</x:v>
      </x:c>
      <x:c r="O792" s="17" t="str">
        <x:v>https://sts2log.com/cards</x:v>
      </x:c>
      <x:c r="P792" s="17" t="str">
        <x:v>https://op.gg/zh-cn/slay-the-spire2/events/Darv</x:v>
      </x:c>
    </x:row>
    <x:row r="793" ht="42" customHeight="1">
      <x:c r="A793" s="2" t="str">
        <x:v>v0.111</x:v>
      </x:c>
      <x:c r="B793" s="2" t="str">
        <x:v>故障机器人</x:v>
      </x:c>
      <x:c r="C793" s="2" t="str">
        <x:v>达弗</x:v>
      </x:c>
      <x:c r="D793" s="2" t="str">
        <x:v>尘封魔典</x:v>
      </x:c>
      <x:c r="E793" s="16" t="n">
        <x:f>IF(G793=0,I793,IF(G793=1,H793,G793*H793+(1-G793)*I793))</x:f>
        <x:v>0.42630928</x:v>
      </x:c>
      <x:c r="F793" s="12" t="n">
        <x:v>1330</x:v>
      </x:c>
      <x:c r="G793" s="11" t="n">
        <x:v>0.3068</x:v>
      </x:c>
      <x:c r="H793" s="11" t="n">
        <x:v>0.4191</x:v>
      </x:c>
      <x:c r="I793" s="11" t="n">
        <x:v>0.42950000000000005</x:v>
      </x:c>
      <x:c r="J793" s="13" t="n">
        <x:f>IF(OR(G793=0,G793=1),"",(H793-I793)*100)</x:f>
        <x:v>-1.0400000000000076</x:v>
      </x:c>
      <x:c r="K793" s="14" t="n">
        <x:v>20.17</x:v>
      </x:c>
      <x:c r="L793" s="15" t="n">
        <x:f>F793*G793</x:f>
        <x:v>408.04400000000004</x:v>
      </x:c>
      <x:c r="M793" s="15" t="n">
        <x:f>F793-L793</x:f>
        <x:v>921.9559999999999</x:v>
      </x:c>
      <x:c r="N793" s="17" t="str">
        <x:v>不同幕混合，勿直接解释为纯强度</x:v>
      </x:c>
      <x:c r="O793" s="17" t="str">
        <x:v>https://sts2log.com/cards</x:v>
      </x:c>
      <x:c r="P793" s="17" t="str">
        <x:v>https://slaythespire2.net/ancient/darv</x:v>
      </x:c>
    </x:row>
    <x:row r="794" ht="42" customHeight="1">
      <x:c r="A794" s="2" t="str">
        <x:v>v0.111</x:v>
      </x:c>
      <x:c r="B794" s="2" t="str">
        <x:v>故障机器人</x:v>
      </x:c>
      <x:c r="C794" s="2" t="str">
        <x:v>达弗</x:v>
      </x:c>
      <x:c r="D794" s="2" t="str">
        <x:v>异蛇之眼</x:v>
      </x:c>
      <x:c r="E794" s="16" t="n">
        <x:f>IF(G794=0,I794,IF(G794=1,H794,G794*H794+(1-G794)*I794))</x:f>
        <x:v>0.42536767999999997</x:v>
      </x:c>
      <x:c r="F794" s="12" t="n">
        <x:v>623</x:v>
      </x:c>
      <x:c r="G794" s="11" t="n">
        <x:v>0.049800000000000004</x:v>
      </x:c>
      <x:c r="H794" s="11" t="n">
        <x:v>0.4839</x:v>
      </x:c>
      <x:c r="I794" s="11" t="n">
        <x:v>0.42229999999999995</x:v>
      </x:c>
      <x:c r="J794" s="13" t="n">
        <x:f>IF(OR(G794=0,G794=1),"",(H794-I794)*100)</x:f>
        <x:v>6.160000000000005</x:v>
      </x:c>
      <x:c r="K794" s="14" t="n">
        <x:v>26.65</x:v>
      </x:c>
      <x:c r="L794" s="15" t="n">
        <x:f>F794*G794</x:f>
        <x:v>31.0254</x:v>
      </x:c>
      <x:c r="M794" s="15" t="n">
        <x:f>F794-L794</x:f>
        <x:v>591.9746</x:v>
      </x:c>
      <x:c r="N794" s="17" t="str">
        <x:v>不同幕混合，勿直接解释为纯强度</x:v>
      </x:c>
      <x:c r="O794" s="17" t="str">
        <x:v>https://sts2log.com/cards</x:v>
      </x:c>
      <x:c r="P794" s="17" t="str">
        <x:v>https://slaythespire2.net/ancient/darv</x:v>
      </x:c>
    </x:row>
    <x:row r="795" ht="42" customHeight="1">
      <x:c r="A795" s="2" t="str">
        <x:v>v0.111</x:v>
      </x:c>
      <x:c r="B795" s="2" t="str">
        <x:v>故障机器人</x:v>
      </x:c>
      <x:c r="C795" s="2" t="str">
        <x:v>达弗</x:v>
      </x:c>
      <x:c r="D795" s="2" t="str">
        <x:v>空鸟笼</x:v>
      </x:c>
      <x:c r="E795" s="16" t="n">
        <x:f>IF(G795=0,I795,IF(G795=1,H795,G795*H795+(1-G795)*I795))</x:f>
        <x:v>0.41457354</x:v>
      </x:c>
      <x:c r="F795" s="12" t="n">
        <x:v>632</x:v>
      </x:c>
      <x:c r="G795" s="11" t="n">
        <x:v>0.4778</x:v>
      </x:c>
      <x:c r="H795" s="11" t="n">
        <x:v>0.3411</x:v>
      </x:c>
      <x:c r="I795" s="11" t="n">
        <x:v>0.4818</x:v>
      </x:c>
      <x:c r="J795" s="13" t="n">
        <x:f>IF(OR(G795=0,G795=1),"",(H795-I795)*100)</x:f>
        <x:v>-14.069999999999999</x:v>
      </x:c>
      <x:c r="K795" s="14" t="n">
        <x:v>12.37</x:v>
      </x:c>
      <x:c r="L795" s="15" t="n">
        <x:f>F795*G795</x:f>
        <x:v>301.9696</x:v>
      </x:c>
      <x:c r="M795" s="15" t="n">
        <x:f>F795-L795</x:f>
        <x:v>330.0304</x:v>
      </x:c>
      <x:c r="N795" s="17" t="str">
        <x:v>不同幕混合，勿直接解释为纯强度</x:v>
      </x:c>
      <x:c r="O795" s="17" t="str">
        <x:v>https://sts2log.com/cards</x:v>
      </x:c>
      <x:c r="P795" s="17" t="str">
        <x:v>https://slaythespire2.net/ancient/darv</x:v>
      </x:c>
    </x:row>
    <x:row r="796" ht="42" customHeight="1">
      <x:c r="A796" s="2" t="str">
        <x:v>v0.111</x:v>
      </x:c>
      <x:c r="B796" s="2" t="str">
        <x:v>故障机器人</x:v>
      </x:c>
      <x:c r="C796" s="2" t="str">
        <x:v>达弗</x:v>
      </x:c>
      <x:c r="D796" s="2" t="str">
        <x:v>黑星</x:v>
      </x:c>
      <x:c r="E796" s="16" t="n">
        <x:f>IF(G796=0,I796,IF(G796=1,H796,G796*H796+(1-G796)*I796))</x:f>
        <x:v>0.40416887</x:v>
      </x:c>
      <x:c r="F796" s="12" t="n">
        <x:v>668</x:v>
      </x:c>
      <x:c r="G796" s="11" t="n">
        <x:v>0.2829</x:v>
      </x:c>
      <x:c r="H796" s="11" t="n">
        <x:v>0.3757</x:v>
      </x:c>
      <x:c r="I796" s="11" t="n">
        <x:v>0.4154</x:v>
      </x:c>
      <x:c r="J796" s="13" t="n">
        <x:f>IF(OR(G796=0,G796=1),"",(H796-I796)*100)</x:f>
        <x:v>-3.9700000000000015</x:v>
      </x:c>
      <x:c r="K796" s="14" t="n">
        <x:v>15.83</x:v>
      </x:c>
      <x:c r="L796" s="15" t="n">
        <x:f>F796*G796</x:f>
        <x:v>188.97719999999998</x:v>
      </x:c>
      <x:c r="M796" s="15" t="n">
        <x:f>F796-L796</x:f>
        <x:v>479.0228</x:v>
      </x:c>
      <x:c r="N796" s="17" t="str">
        <x:v>不同幕混合，勿直接解释为纯强度</x:v>
      </x:c>
      <x:c r="O796" s="17" t="str">
        <x:v>https://sts2log.com/cards</x:v>
      </x:c>
      <x:c r="P796" s="17" t="str">
        <x:v>https://slaythespire2.net/ancient/darv</x:v>
      </x:c>
    </x:row>
    <x:row r="797" ht="42" customHeight="1">
      <x:c r="A797" s="2" t="str">
        <x:v>v0.111</x:v>
      </x:c>
      <x:c r="B797" s="2" t="str">
        <x:v>故障机器人</x:v>
      </x:c>
      <x:c r="C797" s="2" t="str">
        <x:v>达弗</x:v>
      </x:c>
      <x:c r="D797" s="2" t="str">
        <x:v>召唤铃铛</x:v>
      </x:c>
      <x:c r="E797" s="16" t="n">
        <x:f>IF(G797=0,I797,IF(G797=1,H797,G797*H797+(1-G797)*I797))</x:f>
        <x:v>0.3940393</x:v>
      </x:c>
      <x:c r="F797" s="12" t="n">
        <x:v>642</x:v>
      </x:c>
      <x:c r="G797" s="11" t="n">
        <x:v>0.3505</x:v>
      </x:c>
      <x:c r="H797" s="11" t="n">
        <x:v>0.30219999999999997</x:v>
      </x:c>
      <x:c r="I797" s="11" t="n">
        <x:v>0.4436</x:v>
      </x:c>
      <x:c r="J797" s="13" t="n">
        <x:f>IF(OR(G797=0,G797=1),"",(H797-I797)*100)</x:f>
        <x:v>-14.140000000000002</x:v>
      </x:c>
      <x:c r="K797" s="14" t="n">
        <x:v>8.48</x:v>
      </x:c>
      <x:c r="L797" s="15" t="n">
        <x:f>F797*G797</x:f>
        <x:v>225.021</x:v>
      </x:c>
      <x:c r="M797" s="15" t="n">
        <x:f>F797-L797</x:f>
        <x:v>416.97900000000004</x:v>
      </x:c>
      <x:c r="N797" s="17" t="str">
        <x:v>不同幕混合，勿直接解释为纯强度</x:v>
      </x:c>
      <x:c r="O797" s="17" t="str">
        <x:v>https://sts2log.com/cards</x:v>
      </x:c>
      <x:c r="P797" s="17" t="str">
        <x:v>https://slaythespire2.net/ancient/darv</x:v>
      </x:c>
    </x:row>
    <x:row r="798" ht="42" customHeight="1">
      <x:c r="A798" s="2" t="str">
        <x:v>v0.111</x:v>
      </x:c>
      <x:c r="B798" s="2" t="str">
        <x:v>故障机器人</x:v>
      </x:c>
      <x:c r="C798" s="2" t="str">
        <x:v>达弗</x:v>
      </x:c>
      <x:c r="D798" s="2" t="str">
        <x:v>灵体外质</x:v>
      </x:c>
      <x:c r="E798" s="16" t="n">
        <x:f>IF(G798=0,I798,IF(G798=1,H798,G798*H798+(1-G798)*I798))</x:f>
        <x:v>0.36710000000000004</x:v>
      </x:c>
      <x:c r="F798" s="12" t="n">
        <x:v>425</x:v>
      </x:c>
      <x:c r="G798" s="11" t="n">
        <x:v>0.08</x:v>
      </x:c>
      <x:c r="H798" s="11" t="n">
        <x:v>0.4706</x:v>
      </x:c>
      <x:c r="I798" s="11" t="n">
        <x:v>0.35810000000000003</x:v>
      </x:c>
      <x:c r="J798" s="13" t="n">
        <x:f>IF(OR(G798=0,G798=1),"",(H798-I798)*100)</x:f>
        <x:v>11.249999999999998</x:v>
      </x:c>
      <x:c r="K798" s="14" t="n">
        <x:v>25.32</x:v>
      </x:c>
      <x:c r="L798" s="15" t="n">
        <x:f>F798*G798</x:f>
        <x:v>34</x:v>
      </x:c>
      <x:c r="M798" s="15" t="n">
        <x:f>F798-L798</x:f>
        <x:v>391</x:v>
      </x:c>
      <x:c r="N798" s="17" t="str">
        <x:v>不同幕混合，勿直接解释为纯强度</x:v>
      </x:c>
      <x:c r="O798" s="17" t="str">
        <x:v>https://sts2log.com/cards</x:v>
      </x:c>
      <x:c r="P798" s="17" t="str">
        <x:v>https://op.gg/zh-cn/slay-the-spire2/events/Darv</x:v>
      </x:c>
    </x:row>
    <x:row r="799" ht="42" customHeight="1">
      <x:c r="A799" s="2" t="str">
        <x:v>v0.111</x:v>
      </x:c>
      <x:c r="B799" s="2" t="str">
        <x:v>故障机器人</x:v>
      </x:c>
      <x:c r="C799" s="2" t="str">
        <x:v>达弗</x:v>
      </x:c>
      <x:c r="D799" s="2" t="str">
        <x:v>添水</x:v>
      </x:c>
      <x:c r="E799" s="16" t="n">
        <x:f>IF(G799=0,I799,IF(G799=1,H799,G799*H799+(1-G799)*I799))</x:f>
        <x:v>0.34487577999999997</x:v>
      </x:c>
      <x:c r="F799" s="12" t="n">
        <x:v>490</x:v>
      </x:c>
      <x:c r="G799" s="11" t="n">
        <x:v>0.1469</x:v>
      </x:c>
      <x:c r="H799" s="11" t="n">
        <x:v>0.22219999999999998</x:v>
      </x:c>
      <x:c r="I799" s="11" t="n">
        <x:v>0.366</x:v>
      </x:c>
      <x:c r="J799" s="13" t="n">
        <x:f>IF(OR(G799=0,G799=1),"",(H799-I799)*100)</x:f>
        <x:v>-14.38</x:v>
      </x:c>
      <x:c r="K799" s="14" t="n">
        <x:v>0.48</x:v>
      </x:c>
      <x:c r="L799" s="15" t="n">
        <x:f>F799*G799</x:f>
        <x:v>71.981</x:v>
      </x:c>
      <x:c r="M799" s="15" t="n">
        <x:f>F799-L799</x:f>
        <x:v>418.019</x:v>
      </x:c>
      <x:c r="N799" s="17" t="str">
        <x:v>不同幕混合，勿直接解释为纯强度</x:v>
      </x:c>
      <x:c r="O799" s="17" t="str">
        <x:v>https://sts2log.com/cards</x:v>
      </x:c>
      <x:c r="P799" s="17" t="str">
        <x:v>https://op.gg/zh-cn/slay-the-spire2/events/Darv</x:v>
      </x:c>
    </x:row>
    <x:row r="800" ht="25" customHeight="1">
      <x:c r="A800" s="2" t="str">
        <x:v>v0.111</x:v>
      </x:c>
      <x:c r="B800" s="2" t="str">
        <x:v>亡灵契约师</x:v>
      </x:c>
      <x:c r="C800" s="2" t="str">
        <x:v>涅奥</x:v>
      </x:c>
      <x:c r="D800" s="2" t="str">
        <x:v>松动羊毛剪</x:v>
      </x:c>
      <x:c r="E800" s="16" t="n">
        <x:f>IF(G800=0,I800,IF(G800=1,H800,G800*H800+(1-G800)*I800))</x:f>
        <x:v>0.28836103</x:v>
      </x:c>
      <x:c r="F800" s="12" t="n">
        <x:v>2164</x:v>
      </x:c>
      <x:c r="G800" s="11" t="n">
        <x:v>0.41590000000000005</x:v>
      </x:c>
      <x:c r="H800" s="11" t="n">
        <x:v>0.32439999999999997</x:v>
      </x:c>
      <x:c r="I800" s="11" t="n">
        <x:v>0.2627</x:v>
      </x:c>
      <x:c r="J800" s="13" t="n">
        <x:f>IF(OR(G800=0,G800=1),"",(H800-I800)*100)</x:f>
        <x:v>6.169999999999998</x:v>
      </x:c>
      <x:c r="K800" s="14" t="n">
        <x:v>6.41</x:v>
      </x:c>
      <x:c r="L800" s="15" t="n">
        <x:f>F800*G800</x:f>
        <x:v>900.0076000000001</x:v>
      </x:c>
      <x:c r="M800" s="15" t="n">
        <x:f>F800-L800</x:f>
        <x:v>1263.9923999999999</x:v>
      </x:c>
      <x:c r="N800" s="17" t="str"/>
      <x:c r="O800" s="17" t="str">
        <x:v>https://sts2log.com/cards</x:v>
      </x:c>
      <x:c r="P800" s="17" t="str">
        <x:v>https://slaythespire2.net/ancient/neow</x:v>
      </x:c>
    </x:row>
    <x:row r="801" ht="25" customHeight="1">
      <x:c r="A801" s="2" t="str">
        <x:v>v0.111</x:v>
      </x:c>
      <x:c r="B801" s="2" t="str">
        <x:v>亡灵契约师</x:v>
      </x:c>
      <x:c r="C801" s="2" t="str">
        <x:v>涅奥</x:v>
      </x:c>
      <x:c r="D801" s="2" t="str">
        <x:v>新叶</x:v>
      </x:c>
      <x:c r="E801" s="16" t="n">
        <x:f>IF(G801=0,I801,IF(G801=1,H801,G801*H801+(1-G801)*I801))</x:f>
        <x:v>0.27959990999999995</x:v>
      </x:c>
      <x:c r="F801" s="12" t="n">
        <x:v>2457</x:v>
      </x:c>
      <x:c r="G801" s="11" t="n">
        <x:v>0.4567</x:v>
      </x:c>
      <x:c r="H801" s="11" t="n">
        <x:v>0.2727</x:v>
      </x:c>
      <x:c r="I801" s="11" t="n">
        <x:v>0.2854</x:v>
      </x:c>
      <x:c r="J801" s="13" t="n">
        <x:f>IF(OR(G801=0,G801=1),"",(H801-I801)*100)</x:f>
        <x:v>-1.269999999999999</x:v>
      </x:c>
      <x:c r="K801" s="14" t="n">
        <x:v>1.24</x:v>
      </x:c>
      <x:c r="L801" s="15" t="n">
        <x:f>F801*G801</x:f>
        <x:v>1122.1118999999999</x:v>
      </x:c>
      <x:c r="M801" s="15" t="n">
        <x:f>F801-L801</x:f>
        <x:v>1334.8881000000001</x:v>
      </x:c>
      <x:c r="N801" s="17" t="str"/>
      <x:c r="O801" s="17" t="str">
        <x:v>https://sts2log.com/cards</x:v>
      </x:c>
      <x:c r="P801" s="17" t="str">
        <x:v>https://slaythespire2.net/ancient/neow</x:v>
      </x:c>
    </x:row>
    <x:row r="802" ht="25" customHeight="1">
      <x:c r="A802" s="2" t="str">
        <x:v>v0.111</x:v>
      </x:c>
      <x:c r="B802" s="2" t="str">
        <x:v>亡灵契约师</x:v>
      </x:c>
      <x:c r="C802" s="2" t="str">
        <x:v>涅奥</x:v>
      </x:c>
      <x:c r="D802" s="2" t="str">
        <x:v>药瓶皮套</x:v>
      </x:c>
      <x:c r="E802" s="16" t="n">
        <x:f>IF(G802=0,I802,IF(G802=1,H802,G802*H802+(1-G802)*I802))</x:f>
        <x:v>0.27941924</x:v>
      </x:c>
      <x:c r="F802" s="12" t="n">
        <x:v>2523</x:v>
      </x:c>
      <x:c r="G802" s="11" t="n">
        <x:v>0.21239999999999998</x:v>
      </x:c>
      <x:c r="H802" s="11" t="n">
        <x:v>0.3937</x:v>
      </x:c>
      <x:c r="I802" s="11" t="n">
        <x:v>0.2486</x:v>
      </x:c>
      <x:c r="J802" s="13" t="n">
        <x:f>IF(OR(G802=0,G802=1),"",(H802-I802)*100)</x:f>
        <x:v>14.510000000000002</x:v>
      </x:c>
      <x:c r="K802" s="14" t="n">
        <x:v>13.34</x:v>
      </x:c>
      <x:c r="L802" s="15" t="n">
        <x:f>F802*G802</x:f>
        <x:v>535.8851999999999</x:v>
      </x:c>
      <x:c r="M802" s="15" t="n">
        <x:f>F802-L802</x:f>
        <x:v>1987.1148</x:v>
      </x:c>
      <x:c r="N802" s="17" t="str"/>
      <x:c r="O802" s="17" t="str">
        <x:v>https://sts2log.com/cards</x:v>
      </x:c>
      <x:c r="P802" s="17" t="str">
        <x:v>https://slaythespire2.net/ancient/neow</x:v>
      </x:c>
    </x:row>
    <x:row r="803" ht="25" customHeight="1">
      <x:c r="A803" s="2" t="str">
        <x:v>v0.111</x:v>
      </x:c>
      <x:c r="B803" s="2" t="str">
        <x:v>亡灵契约师</x:v>
      </x:c>
      <x:c r="C803" s="2" t="str">
        <x:v>涅奥</x:v>
      </x:c>
      <x:c r="D803" s="2" t="str">
        <x:v>万花筒</x:v>
      </x:c>
      <x:c r="E803" s="16" t="n">
        <x:f>IF(G803=0,I803,IF(G803=1,H803,G803*H803+(1-G803)*I803))</x:f>
        <x:v>0.27092774</x:v>
      </x:c>
      <x:c r="F803" s="12" t="n">
        <x:v>2635</x:v>
      </x:c>
      <x:c r="G803" s="11" t="n">
        <x:v>0.24780000000000002</x:v>
      </x:c>
      <x:c r="H803" s="11" t="n">
        <x:v>0.23579999999999998</x:v>
      </x:c>
      <x:c r="I803" s="11" t="n">
        <x:v>0.2825</x:v>
      </x:c>
      <x:c r="J803" s="13" t="n">
        <x:f>IF(OR(G803=0,G803=1),"",(H803-I803)*100)</x:f>
        <x:v>-4.669999999999999</x:v>
      </x:c>
      <x:c r="K803" s="14" t="n">
        <x:v>-2.45</x:v>
      </x:c>
      <x:c r="L803" s="15" t="n">
        <x:f>F803*G803</x:f>
        <x:v>652.9530000000001</x:v>
      </x:c>
      <x:c r="M803" s="15" t="n">
        <x:f>F803-L803</x:f>
        <x:v>1982.047</x:v>
      </x:c>
      <x:c r="N803" s="17" t="str"/>
      <x:c r="O803" s="17" t="str">
        <x:v>https://sts2log.com/cards</x:v>
      </x:c>
      <x:c r="P803" s="17" t="str">
        <x:v>https://slaythespire2.net/ancient/neow</x:v>
      </x:c>
    </x:row>
    <x:row r="804" ht="25" customHeight="1">
      <x:c r="A804" s="2" t="str">
        <x:v>v0.111</x:v>
      </x:c>
      <x:c r="B804" s="2" t="str">
        <x:v>亡灵契约师</x:v>
      </x:c>
      <x:c r="C804" s="2" t="str">
        <x:v>涅奥</x:v>
      </x:c>
      <x:c r="D804" s="2" t="str">
        <x:v>金色珍珠</x:v>
      </x:c>
      <x:c r="E804" s="16" t="n">
        <x:f>IF(G804=0,I804,IF(G804=1,H804,G804*H804+(1-G804)*I804))</x:f>
        <x:v>0.26965029000000007</x:v>
      </x:c>
      <x:c r="F804" s="12" t="n">
        <x:v>2522</x:v>
      </x:c>
      <x:c r="G804" s="11" t="n">
        <x:v>0.40130000000000005</x:v>
      </x:c>
      <x:c r="H804" s="11" t="n">
        <x:v>0.2836</x:v>
      </x:c>
      <x:c r="I804" s="11" t="n">
        <x:v>0.26030000000000003</x:v>
      </x:c>
      <x:c r="J804" s="13" t="n">
        <x:f>IF(OR(G804=0,G804=1),"",(H804-I804)*100)</x:f>
        <x:v>2.3299999999999987</x:v>
      </x:c>
      <x:c r="K804" s="14" t="n">
        <x:v>2.33</x:v>
      </x:c>
      <x:c r="L804" s="15" t="n">
        <x:f>F804*G804</x:f>
        <x:v>1012.0786000000002</x:v>
      </x:c>
      <x:c r="M804" s="15" t="n">
        <x:f>F804-L804</x:f>
        <x:v>1509.9213999999997</x:v>
      </x:c>
      <x:c r="N804" s="17" t="str"/>
      <x:c r="O804" s="17" t="str">
        <x:v>https://sts2log.com/cards</x:v>
      </x:c>
      <x:c r="P804" s="17" t="str">
        <x:v>https://slaythespire2.net/ancient/neow</x:v>
      </x:c>
    </x:row>
    <x:row r="805" ht="25" customHeight="1">
      <x:c r="A805" s="2" t="str">
        <x:v>v0.111</x:v>
      </x:c>
      <x:c r="B805" s="2" t="str">
        <x:v>亡灵契约师</x:v>
      </x:c>
      <x:c r="C805" s="2" t="str">
        <x:v>涅奥</x:v>
      </x:c>
      <x:c r="D805" s="2" t="str">
        <x:v>熔岩石</x:v>
      </x:c>
      <x:c r="E805" s="16" t="n">
        <x:f>IF(G805=0,I805,IF(G805=1,H805,G805*H805+(1-G805)*I805))</x:f>
        <x:v>0.26782064000000005</x:v>
      </x:c>
      <x:c r="F805" s="12" t="n">
        <x:v>1180</x:v>
      </x:c>
      <x:c r="G805" s="11" t="n">
        <x:v>0.1424</x:v>
      </x:c>
      <x:c r="H805" s="11" t="n">
        <x:v>0.3095</x:v>
      </x:c>
      <x:c r="I805" s="11" t="n">
        <x:v>0.2609</x:v>
      </x:c>
      <x:c r="J805" s="13" t="n">
        <x:f>IF(OR(G805=0,G805=1),"",(H805-I805)*100)</x:f>
        <x:v>4.859999999999998</x:v>
      </x:c>
      <x:c r="K805" s="14" t="n">
        <x:v>4.92</x:v>
      </x:c>
      <x:c r="L805" s="15" t="n">
        <x:f>F805*G805</x:f>
        <x:v>168.032</x:v>
      </x:c>
      <x:c r="M805" s="15" t="n">
        <x:f>F805-L805</x:f>
        <x:v>1011.968</x:v>
      </x:c>
      <x:c r="N805" s="17" t="str"/>
      <x:c r="O805" s="17" t="str">
        <x:v>https://sts2log.com/cards</x:v>
      </x:c>
      <x:c r="P805" s="17" t="str">
        <x:v>https://slaythespire2.net/ancient/neow</x:v>
      </x:c>
    </x:row>
    <x:row r="806" ht="25" customHeight="1">
      <x:c r="A806" s="2" t="str">
        <x:v>v0.111</x:v>
      </x:c>
      <x:c r="B806" s="2" t="str">
        <x:v>亡灵契约师</x:v>
      </x:c>
      <x:c r="C806" s="2" t="str">
        <x:v>涅奥</x:v>
      </x:c>
      <x:c r="D806" s="2" t="str">
        <x:v>树叶药膏</x:v>
      </x:c>
      <x:c r="E806" s="16" t="n">
        <x:f>IF(G806=0,I806,IF(G806=1,H806,G806*H806+(1-G806)*I806))</x:f>
        <x:v>0.26765744</x:v>
      </x:c>
      <x:c r="F806" s="12" t="n">
        <x:v>2096</x:v>
      </x:c>
      <x:c r="G806" s="11" t="n">
        <x:v>0.6015999999999999</x:v>
      </x:c>
      <x:c r="H806" s="11" t="n">
        <x:v>0.272</x:v>
      </x:c>
      <x:c r="I806" s="11" t="n">
        <x:v>0.2611</x:v>
      </x:c>
      <x:c r="J806" s="13" t="n">
        <x:f>IF(OR(G806=0,G806=1),"",(H806-I806)*100)</x:f>
        <x:v>1.090000000000002</x:v>
      </x:c>
      <x:c r="K806" s="14" t="n">
        <x:v>1.17</x:v>
      </x:c>
      <x:c r="L806" s="15" t="n">
        <x:f>F806*G806</x:f>
        <x:v>1260.9535999999998</x:v>
      </x:c>
      <x:c r="M806" s="15" t="n">
        <x:f>F806-L806</x:f>
        <x:v>835.0464000000002</x:v>
      </x:c>
      <x:c r="N806" s="17" t="str"/>
      <x:c r="O806" s="17" t="str">
        <x:v>https://sts2log.com/cards</x:v>
      </x:c>
      <x:c r="P806" s="17" t="str">
        <x:v>https://slaythespire2.net/ancient/neow</x:v>
      </x:c>
    </x:row>
    <x:row r="807" ht="25" customHeight="1">
      <x:c r="A807" s="2" t="str">
        <x:v>v0.111</x:v>
      </x:c>
      <x:c r="B807" s="2" t="str">
        <x:v>亡灵契约师</x:v>
      </x:c>
      <x:c r="C807" s="2" t="str">
        <x:v>涅奥</x:v>
      </x:c>
      <x:c r="D807" s="2" t="str">
        <x:v>涅奥的牺牲</x:v>
      </x:c>
      <x:c r="E807" s="16" t="n">
        <x:f>IF(G807=0,I807,IF(G807=1,H807,G807*H807+(1-G807)*I807))</x:f>
        <x:v>0.26697455999999997</x:v>
      </x:c>
      <x:c r="F807" s="12" t="n">
        <x:v>1899</x:v>
      </x:c>
      <x:c r="G807" s="11" t="n">
        <x:v>0.1532</x:v>
      </x:c>
      <x:c r="H807" s="11" t="n">
        <x:v>0.3608</x:v>
      </x:c>
      <x:c r="I807" s="11" t="n">
        <x:v>0.25</x:v>
      </x:c>
      <x:c r="J807" s="13" t="n">
        <x:f>IF(OR(G807=0,G807=1),"",(H807-I807)*100)</x:f>
        <x:v>11.080000000000002</x:v>
      </x:c>
      <x:c r="K807" s="14" t="n">
        <x:v>10.05</x:v>
      </x:c>
      <x:c r="L807" s="15" t="n">
        <x:f>F807*G807</x:f>
        <x:v>290.9268</x:v>
      </x:c>
      <x:c r="M807" s="15" t="n">
        <x:f>F807-L807</x:f>
        <x:v>1608.0732</x:v>
      </x:c>
      <x:c r="N807" s="17" t="str"/>
      <x:c r="O807" s="17" t="str">
        <x:v>https://sts2log.com/cards</x:v>
      </x:c>
      <x:c r="P807" s="17" t="str">
        <x:v>https://op.gg/zh-cn/slay-the-spire2/events/Neow</x:v>
      </x:c>
    </x:row>
    <x:row r="808" ht="25" customHeight="1">
      <x:c r="A808" s="2" t="str">
        <x:v>v0.111</x:v>
      </x:c>
      <x:c r="B808" s="2" t="str">
        <x:v>亡灵契约师</x:v>
      </x:c>
      <x:c r="C808" s="2" t="str">
        <x:v>涅奥</x:v>
      </x:c>
      <x:c r="D808" s="2" t="str">
        <x:v>小型扭蛋</x:v>
      </x:c>
      <x:c r="E808" s="16" t="n">
        <x:f>IF(G808=0,I808,IF(G808=1,H808,G808*H808+(1-G808)*I808))</x:f>
        <x:v>0.26668024999999995</x:v>
      </x:c>
      <x:c r="F808" s="12" t="n">
        <x:v>1275</x:v>
      </x:c>
      <x:c r="G808" s="11" t="n">
        <x:v>0.2675</x:v>
      </x:c>
      <x:c r="H808" s="11" t="n">
        <x:v>0.2669</x:v>
      </x:c>
      <x:c r="I808" s="11" t="n">
        <x:v>0.2666</x:v>
      </x:c>
      <x:c r="J808" s="13" t="n">
        <x:f>IF(OR(G808=0,G808=1),"",(H808-I808)*100)</x:f>
        <x:v>0.030000000000002247</x:v>
      </x:c>
      <x:c r="K808" s="14" t="n">
        <x:v>0.66</x:v>
      </x:c>
      <x:c r="L808" s="15" t="n">
        <x:f>F808*G808</x:f>
        <x:v>341.0625</x:v>
      </x:c>
      <x:c r="M808" s="15" t="n">
        <x:f>F808-L808</x:f>
        <x:v>933.9375</x:v>
      </x:c>
      <x:c r="N808" s="17" t="str"/>
      <x:c r="O808" s="17" t="str">
        <x:v>https://sts2log.com/cards</x:v>
      </x:c>
      <x:c r="P808" s="17" t="str">
        <x:v>https://slaythespire2.net/ancient/neow</x:v>
      </x:c>
    </x:row>
    <x:row r="809" ht="25" customHeight="1">
      <x:c r="A809" s="2" t="str">
        <x:v>v0.111</x:v>
      </x:c>
      <x:c r="B809" s="2" t="str">
        <x:v>亡灵契约师</x:v>
      </x:c>
      <x:c r="C809" s="2" t="str">
        <x:v>涅奥</x:v>
      </x:c>
      <x:c r="D809" s="2" t="str">
        <x:v>钓鱼竿</x:v>
      </x:c>
      <x:c r="E809" s="16" t="n">
        <x:f>IF(G809=0,I809,IF(G809=1,H809,G809*H809+(1-G809)*I809))</x:f>
        <x:v>0.26601148999999996</x:v>
      </x:c>
      <x:c r="F809" s="12" t="n">
        <x:v>2598</x:v>
      </x:c>
      <x:c r="G809" s="11" t="n">
        <x:v>0.17129999999999998</x:v>
      </x:c>
      <x:c r="H809" s="11" t="n">
        <x:v>0.24719999999999998</x:v>
      </x:c>
      <x:c r="I809" s="11" t="n">
        <x:v>0.2699</x:v>
      </x:c>
      <x:c r="J809" s="13" t="n">
        <x:f>IF(OR(G809=0,G809=1),"",(H809-I809)*100)</x:f>
        <x:v>-2.2699999999999996</x:v>
      </x:c>
      <x:c r="K809" s="14" t="n">
        <x:v>-1.31</x:v>
      </x:c>
      <x:c r="L809" s="15" t="n">
        <x:f>F809*G809</x:f>
        <x:v>445.03739999999993</x:v>
      </x:c>
      <x:c r="M809" s="15" t="n">
        <x:f>F809-L809</x:f>
        <x:v>2152.9626</x:v>
      </x:c>
      <x:c r="N809" s="17" t="str"/>
      <x:c r="O809" s="17" t="str">
        <x:v>https://sts2log.com/cards</x:v>
      </x:c>
      <x:c r="P809" s="17" t="str">
        <x:v>https://slaythespire2.net/ancient/neow</x:v>
      </x:c>
    </x:row>
    <x:row r="810" ht="25" customHeight="1">
      <x:c r="A810" s="2" t="str">
        <x:v>v0.111</x:v>
      </x:c>
      <x:c r="B810" s="2" t="str">
        <x:v>亡灵契约师</x:v>
      </x:c>
      <x:c r="C810" s="2" t="str">
        <x:v>涅奥</x:v>
      </x:c>
      <x:c r="D810" s="2" t="str">
        <x:v>华美发束</x:v>
      </x:c>
      <x:c r="E810" s="16" t="n">
        <x:f>IF(G810=0,I810,IF(G810=1,H810,G810*H810+(1-G810)*I810))</x:f>
        <x:v>0.26593875</x:v>
      </x:c>
      <x:c r="F810" s="12" t="n">
        <x:v>2245</x:v>
      </x:c>
      <x:c r="G810" s="11" t="n">
        <x:v>0.7563</x:v>
      </x:c>
      <x:c r="H810" s="11" t="n">
        <x:v>0.2568</x:v>
      </x:c>
      <x:c r="I810" s="11" t="n">
        <x:v>0.2943</x:v>
      </x:c>
      <x:c r="J810" s="13" t="n">
        <x:f>IF(OR(G810=0,G810=1),"",(H810-I810)*100)</x:f>
        <x:v>-3.7500000000000036</x:v>
      </x:c>
      <x:c r="K810" s="14" t="n">
        <x:v>-0.35</x:v>
      </x:c>
      <x:c r="L810" s="15" t="n">
        <x:f>F810*G810</x:f>
        <x:v>1697.8935</x:v>
      </x:c>
      <x:c r="M810" s="15" t="n">
        <x:f>F810-L810</x:f>
        <x:v>547.1065000000001</x:v>
      </x:c>
      <x:c r="N810" s="17" t="str"/>
      <x:c r="O810" s="17" t="str">
        <x:v>https://sts2log.com/cards</x:v>
      </x:c>
      <x:c r="P810" s="17" t="str">
        <x:v>https://slaythespire2.net/ancient/neow</x:v>
      </x:c>
    </x:row>
    <x:row r="811" ht="25" customHeight="1">
      <x:c r="A811" s="2" t="str">
        <x:v>v0.111</x:v>
      </x:c>
      <x:c r="B811" s="2" t="str">
        <x:v>亡灵契约师</x:v>
      </x:c>
      <x:c r="C811" s="2" t="str">
        <x:v>涅奥</x:v>
      </x:c>
      <x:c r="D811" s="2" t="str">
        <x:v>涅奥的护符</x:v>
      </x:c>
      <x:c r="E811" s="16" t="n">
        <x:f>IF(G811=0,I811,IF(G811=1,H811,G811*H811+(1-G811)*I811))</x:f>
        <x:v>0.26410025</x:v>
      </x:c>
      <x:c r="F811" s="12" t="n">
        <x:v>1401</x:v>
      </x:c>
      <x:c r="G811" s="11" t="n">
        <x:v>0.10710000000000001</x:v>
      </x:c>
      <x:c r="H811" s="11" t="n">
        <x:v>0.3333</x:v>
      </x:c>
      <x:c r="I811" s="11" t="n">
        <x:v>0.25579999999999997</x:v>
      </x:c>
      <x:c r="J811" s="13" t="n">
        <x:f>IF(OR(G811=0,G811=1),"",(H811-I811)*100)</x:f>
        <x:v>7.750000000000002</x:v>
      </x:c>
      <x:c r="K811" s="14" t="n">
        <x:v>7.3</x:v>
      </x:c>
      <x:c r="L811" s="15" t="n">
        <x:f>F811*G811</x:f>
        <x:v>150.04710000000003</x:v>
      </x:c>
      <x:c r="M811" s="15" t="n">
        <x:f>F811-L811</x:f>
        <x:v>1250.9529</x:v>
      </x:c>
      <x:c r="N811" s="17" t="str"/>
      <x:c r="O811" s="17" t="str">
        <x:v>https://sts2log.com/cards</x:v>
      </x:c>
      <x:c r="P811" s="17" t="str">
        <x:v>https://slaythespire2.net/ancient/neow</x:v>
      </x:c>
    </x:row>
    <x:row r="812" ht="25" customHeight="1">
      <x:c r="A812" s="2" t="str">
        <x:v>v0.111</x:v>
      </x:c>
      <x:c r="B812" s="2" t="str">
        <x:v>亡灵契约师</x:v>
      </x:c>
      <x:c r="C812" s="2" t="str">
        <x:v>涅奥</x:v>
      </x:c>
      <x:c r="D812" s="2" t="str">
        <x:v>奥术卷轴</x:v>
      </x:c>
      <x:c r="E812" s="16" t="n">
        <x:f>IF(G812=0,I812,IF(G812=1,H812,G812*H812+(1-G812)*I812))</x:f>
        <x:v>0.26380719999999996</x:v>
      </x:c>
      <x:c r="F812" s="12" t="n">
        <x:v>2547</x:v>
      </x:c>
      <x:c r="G812" s="11" t="n">
        <x:v>0.5434</x:v>
      </x:c>
      <x:c r="H812" s="11" t="n">
        <x:v>0.2218</x:v>
      </x:c>
      <x:c r="I812" s="11" t="n">
        <x:v>0.31379999999999997</x:v>
      </x:c>
      <x:c r="J812" s="13" t="n">
        <x:f>IF(OR(G812=0,G812=1),"",(H812-I812)*100)</x:f>
        <x:v>-9.199999999999998</x:v>
      </x:c>
      <x:c r="K812" s="14" t="n">
        <x:v>-3.85</x:v>
      </x:c>
      <x:c r="L812" s="15" t="n">
        <x:f>F812*G812</x:f>
        <x:v>1384.0398</x:v>
      </x:c>
      <x:c r="M812" s="15" t="n">
        <x:f>F812-L812</x:f>
        <x:v>1162.9602</x:v>
      </x:c>
      <x:c r="N812" s="17" t="str"/>
      <x:c r="O812" s="17" t="str">
        <x:v>https://sts2log.com/cards</x:v>
      </x:c>
      <x:c r="P812" s="17" t="str">
        <x:v>https://slaythespire2.net/ancient/neow</x:v>
      </x:c>
    </x:row>
    <x:row r="813" ht="25" customHeight="1">
      <x:c r="A813" s="2" t="str">
        <x:v>v0.111</x:v>
      </x:c>
      <x:c r="B813" s="2" t="str">
        <x:v>亡灵契约师</x:v>
      </x:c>
      <x:c r="C813" s="2" t="str">
        <x:v>涅奥</x:v>
      </x:c>
      <x:c r="D813" s="2" t="str">
        <x:v>石炉加湿器</x:v>
      </x:c>
      <x:c r="E813" s="16" t="n">
        <x:f>IF(G813=0,I813,IF(G813=1,H813,G813*H813+(1-G813)*I813))</x:f>
        <x:v>0.26024564</x:v>
      </x:c>
      <x:c r="F813" s="12" t="n">
        <x:v>1391</x:v>
      </x:c>
      <x:c r="G813" s="11" t="n">
        <x:v>0.0949</x:v>
      </x:c>
      <x:c r="H813" s="11" t="n">
        <x:v>0.2273</x:v>
      </x:c>
      <x:c r="I813" s="11" t="n">
        <x:v>0.2637</x:v>
      </x:c>
      <x:c r="J813" s="13" t="n">
        <x:f>IF(OR(G813=0,G813=1),"",(H813-I813)*100)</x:f>
        <x:v>-3.639999999999999</x:v>
      </x:c>
      <x:c r="K813" s="14" t="n">
        <x:v>-3.3</x:v>
      </x:c>
      <x:c r="L813" s="15" t="n">
        <x:f>F813*G813</x:f>
        <x:v>132.0059</x:v>
      </x:c>
      <x:c r="M813" s="15" t="n">
        <x:f>F813-L813</x:f>
        <x:v>1258.9941</x:v>
      </x:c>
      <x:c r="N813" s="17" t="str"/>
      <x:c r="O813" s="17" t="str">
        <x:v>https://sts2log.com/cards</x:v>
      </x:c>
      <x:c r="P813" s="17" t="str">
        <x:v>https://slaythespire2.net/ancient/neow</x:v>
      </x:c>
    </x:row>
    <x:row r="814" ht="25" customHeight="1">
      <x:c r="A814" s="2" t="str">
        <x:v>v0.111</x:v>
      </x:c>
      <x:c r="B814" s="2" t="str">
        <x:v>亡灵契约师</x:v>
      </x:c>
      <x:c r="C814" s="2" t="str">
        <x:v>涅奥</x:v>
      </x:c>
      <x:c r="D814" s="2" t="str">
        <x:v>白银熔炉</x:v>
      </x:c>
      <x:c r="E814" s="16" t="n">
        <x:f>IF(G814=0,I814,IF(G814=1,H814,G814*H814+(1-G814)*I814))</x:f>
        <x:v>0.25842423999999997</x:v>
      </x:c>
      <x:c r="F814" s="12" t="n">
        <x:v>2221</x:v>
      </x:c>
      <x:c r="G814" s="11" t="n">
        <x:v>0.6808</x:v>
      </x:c>
      <x:c r="H814" s="11" t="n">
        <x:v>0.26649999999999996</x:v>
      </x:c>
      <x:c r="I814" s="11" t="n">
        <x:v>0.2412</x:v>
      </x:c>
      <x:c r="J814" s="13" t="n">
        <x:f>IF(OR(G814=0,G814=1),"",(H814-I814)*100)</x:f>
        <x:v>2.5299999999999963</x:v>
      </x:c>
      <x:c r="K814" s="14" t="n">
        <x:v>0.62</x:v>
      </x:c>
      <x:c r="L814" s="15" t="n">
        <x:f>F814*G814</x:f>
        <x:v>1512.0567999999998</x:v>
      </x:c>
      <x:c r="M814" s="15" t="n">
        <x:f>F814-L814</x:f>
        <x:v>708.9432000000002</x:v>
      </x:c>
      <x:c r="N814" s="17" t="str"/>
      <x:c r="O814" s="17" t="str">
        <x:v>https://sts2log.com/cards</x:v>
      </x:c>
      <x:c r="P814" s="17" t="str">
        <x:v>https://slaythespire2.net/ancient/neow</x:v>
      </x:c>
    </x:row>
    <x:row r="815" ht="25" customHeight="1">
      <x:c r="A815" s="2" t="str">
        <x:v>v0.111</x:v>
      </x:c>
      <x:c r="B815" s="2" t="str">
        <x:v>亡灵契约师</x:v>
      </x:c>
      <x:c r="C815" s="2" t="str">
        <x:v>涅奥</x:v>
      </x:c>
      <x:c r="D815" s="2" t="str">
        <x:v>失物盒</x:v>
      </x:c>
      <x:c r="E815" s="16" t="n">
        <x:f>IF(G815=0,I815,IF(G815=1,H815,G815*H815+(1-G815)*I815))</x:f>
        <x:v>0.25799793</x:v>
      </x:c>
      <x:c r="F815" s="12" t="n">
        <x:v>2465</x:v>
      </x:c>
      <x:c r="G815" s="11" t="n">
        <x:v>0.2369</x:v>
      </x:c>
      <x:c r="H815" s="11" t="n">
        <x:v>0.26539999999999997</x:v>
      </x:c>
      <x:c r="I815" s="11" t="n">
        <x:v>0.2557</x:v>
      </x:c>
      <x:c r="J815" s="13" t="n">
        <x:f>IF(OR(G815=0,G815=1),"",(H815-I815)*100)</x:f>
        <x:v>0.9699999999999986</x:v>
      </x:c>
      <x:c r="K815" s="14" t="n">
        <x:v>0.51</x:v>
      </x:c>
      <x:c r="L815" s="15" t="n">
        <x:f>F815*G815</x:f>
        <x:v>583.9585</x:v>
      </x:c>
      <x:c r="M815" s="15" t="n">
        <x:f>F815-L815</x:f>
        <x:v>1881.0415</x:v>
      </x:c>
      <x:c r="N815" s="17" t="str"/>
      <x:c r="O815" s="17" t="str">
        <x:v>https://sts2log.com/cards</x:v>
      </x:c>
      <x:c r="P815" s="17" t="str">
        <x:v>https://slaythespire2.net/ancient/neow</x:v>
      </x:c>
    </x:row>
    <x:row r="816" ht="25" customHeight="1">
      <x:c r="A816" s="2" t="str">
        <x:v>v0.111</x:v>
      </x:c>
      <x:c r="B816" s="2" t="str">
        <x:v>亡灵契约师</x:v>
      </x:c>
      <x:c r="C816" s="2" t="str">
        <x:v>涅奥</x:v>
      </x:c>
      <x:c r="D816" s="2" t="str">
        <x:v>卷轴箱</x:v>
      </x:c>
      <x:c r="E816" s="16" t="n">
        <x:f>IF(G816=0,I816,IF(G816=1,H816,G816*H816+(1-G816)*I816))</x:f>
        <x:v>0.25742226</x:v>
      </x:c>
      <x:c r="F816" s="12" t="n">
        <x:v>2758</x:v>
      </x:c>
      <x:c r="G816" s="11" t="n">
        <x:v>0.3713</x:v>
      </x:c>
      <x:c r="H816" s="11" t="n">
        <x:v>0.2324</x:v>
      </x:c>
      <x:c r="I816" s="11" t="n">
        <x:v>0.2722</x:v>
      </x:c>
      <x:c r="J816" s="13" t="n">
        <x:f>IF(OR(G816=0,G816=1),"",(H816-I816)*100)</x:f>
        <x:v>-3.9800000000000004</x:v>
      </x:c>
      <x:c r="K816" s="14" t="n">
        <x:v>-2.79</x:v>
      </x:c>
      <x:c r="L816" s="15" t="n">
        <x:f>F816*G816</x:f>
        <x:v>1024.0454</x:v>
      </x:c>
      <x:c r="M816" s="15" t="n">
        <x:f>F816-L816</x:f>
        <x:v>1733.9546</x:v>
      </x:c>
      <x:c r="N816" s="17" t="str"/>
      <x:c r="O816" s="17" t="str">
        <x:v>https://sts2log.com/cards</x:v>
      </x:c>
      <x:c r="P816" s="17" t="str">
        <x:v>https://slaythespire2.net/ancient/neow</x:v>
      </x:c>
    </x:row>
    <x:row r="817" ht="25" customHeight="1">
      <x:c r="A817" s="2" t="str">
        <x:v>v0.111</x:v>
      </x:c>
      <x:c r="B817" s="2" t="str">
        <x:v>亡灵契约师</x:v>
      </x:c>
      <x:c r="C817" s="2" t="str">
        <x:v>涅奥</x:v>
      </x:c>
      <x:c r="D817" s="2" t="str">
        <x:v>沉重石板</x:v>
      </x:c>
      <x:c r="E817" s="16" t="n">
        <x:f>IF(G817=0,I817,IF(G817=1,H817,G817*H817+(1-G817)*I817))</x:f>
        <x:v>0.25718649000000005</x:v>
      </x:c>
      <x:c r="F817" s="12" t="n">
        <x:v>2193</x:v>
      </x:c>
      <x:c r="G817" s="11" t="n">
        <x:v>0.5922999999999999</x:v>
      </x:c>
      <x:c r="H817" s="11" t="n">
        <x:v>0.1986</x:v>
      </x:c>
      <x:c r="I817" s="11" t="n">
        <x:v>0.3423</x:v>
      </x:c>
      <x:c r="J817" s="13" t="n">
        <x:f>IF(OR(G817=0,G817=1),"",(H817-I817)*100)</x:f>
        <x:v>-14.37</x:v>
      </x:c>
      <x:c r="K817" s="14" t="n">
        <x:v>-6.17</x:v>
      </x:c>
      <x:c r="L817" s="15" t="n">
        <x:f>F817*G817</x:f>
        <x:v>1298.9138999999998</x:v>
      </x:c>
      <x:c r="M817" s="15" t="n">
        <x:f>F817-L817</x:f>
        <x:v>894.0861000000002</x:v>
      </x:c>
      <x:c r="N817" s="17" t="str"/>
      <x:c r="O817" s="17" t="str">
        <x:v>https://sts2log.com/cards</x:v>
      </x:c>
      <x:c r="P817" s="17" t="str">
        <x:v>https://slaythespire2.net/ancient/neow</x:v>
      </x:c>
    </x:row>
    <x:row r="818" ht="25" customHeight="1">
      <x:c r="A818" s="2" t="str">
        <x:v>v0.111</x:v>
      </x:c>
      <x:c r="B818" s="2" t="str">
        <x:v>亡灵契约师</x:v>
      </x:c>
      <x:c r="C818" s="2" t="str">
        <x:v>涅奥</x:v>
      </x:c>
      <x:c r="D818" s="2" t="str">
        <x:v>涅奥的苦痛</x:v>
      </x:c>
      <x:c r="E818" s="16" t="n">
        <x:f>IF(G818=0,I818,IF(G818=1,H818,G818*H818+(1-G818)*I818))</x:f>
        <x:v>0.25666739000000005</x:v>
      </x:c>
      <x:c r="F818" s="12" t="n">
        <x:v>2595</x:v>
      </x:c>
      <x:c r="G818" s="11" t="n">
        <x:v>0.0917</x:v>
      </x:c>
      <x:c r="H818" s="11" t="n">
        <x:v>0.34450000000000003</x:v>
      </x:c>
      <x:c r="I818" s="11" t="n">
        <x:v>0.24780000000000002</x:v>
      </x:c>
      <x:c r="J818" s="13" t="n">
        <x:f>IF(OR(G818=0,G818=1),"",(H818-I818)*100)</x:f>
        <x:v>9.670000000000002</x:v>
      </x:c>
      <x:c r="K818" s="14" t="n">
        <x:v>8.42</x:v>
      </x:c>
      <x:c r="L818" s="15" t="n">
        <x:f>F818*G818</x:f>
        <x:v>237.9615</x:v>
      </x:c>
      <x:c r="M818" s="15" t="n">
        <x:f>F818-L818</x:f>
        <x:v>2357.0385</x:v>
      </x:c>
      <x:c r="N818" s="17" t="str"/>
      <x:c r="O818" s="17" t="str">
        <x:v>https://sts2log.com/cards</x:v>
      </x:c>
      <x:c r="P818" s="17" t="str">
        <x:v>https://slaythespire2.net/ancient/neow</x:v>
      </x:c>
    </x:row>
    <x:row r="819" ht="25" customHeight="1">
      <x:c r="A819" s="2" t="str">
        <x:v>v0.111</x:v>
      </x:c>
      <x:c r="B819" s="2" t="str">
        <x:v>亡灵契约师</x:v>
      </x:c>
      <x:c r="C819" s="2" t="str">
        <x:v>涅奥</x:v>
      </x:c>
      <x:c r="D819" s="2" t="str">
        <x:v>橙型香盒</x:v>
      </x:c>
      <x:c r="E819" s="16" t="n">
        <x:f>IF(G819=0,I819,IF(G819=1,H819,G819*H819+(1-G819)*I819))</x:f>
        <x:v>0.25616819999999996</x:v>
      </x:c>
      <x:c r="F819" s="12" t="n">
        <x:v>1374</x:v>
      </x:c>
      <x:c r="G819" s="11" t="n">
        <x:v>0.1492</x:v>
      </x:c>
      <x:c r="H819" s="11" t="n">
        <x:v>0.2634</x:v>
      </x:c>
      <x:c r="I819" s="11" t="n">
        <x:v>0.25489999999999996</x:v>
      </x:c>
      <x:c r="J819" s="13" t="n">
        <x:f>IF(OR(G819=0,G819=1),"",(H819-I819)*100)</x:f>
        <x:v>0.8500000000000063</x:v>
      </x:c>
      <x:c r="K819" s="14" t="n">
        <x:v>0.31</x:v>
      </x:c>
      <x:c r="L819" s="15" t="n">
        <x:f>F819*G819</x:f>
        <x:v>205.0008</x:v>
      </x:c>
      <x:c r="M819" s="15" t="n">
        <x:f>F819-L819</x:f>
        <x:v>1168.9992</x:v>
      </x:c>
      <x:c r="N819" s="17" t="str"/>
      <x:c r="O819" s="17" t="str">
        <x:v>https://sts2log.com/cards</x:v>
      </x:c>
      <x:c r="P819" s="17" t="str">
        <x:v>https://slaythespire2.net/ancient/neow</x:v>
      </x:c>
    </x:row>
    <x:row r="820" ht="25" customHeight="1">
      <x:c r="A820" s="2" t="str">
        <x:v>v0.111</x:v>
      </x:c>
      <x:c r="B820" s="2" t="str">
        <x:v>亡灵契约师</x:v>
      </x:c>
      <x:c r="C820" s="2" t="str">
        <x:v>涅奥</x:v>
      </x:c>
      <x:c r="D820" s="2" t="str">
        <x:v>铅制镇纸</x:v>
      </x:c>
      <x:c r="E820" s="16" t="n">
        <x:f>IF(G820=0,I820,IF(G820=1,H820,G820*H820+(1-G820)*I820))</x:f>
        <x:v>0.2556928</x:v>
      </x:c>
      <x:c r="F820" s="12" t="n">
        <x:v>2581</x:v>
      </x:c>
      <x:c r="G820" s="11" t="n">
        <x:v>0.29600000000000004</x:v>
      </x:c>
      <x:c r="H820" s="11" t="n">
        <x:v>0.2552</x:v>
      </x:c>
      <x:c r="I820" s="11" t="n">
        <x:v>0.2559</x:v>
      </x:c>
      <x:c r="J820" s="13" t="n">
        <x:f>IF(OR(G820=0,G820=1),"",(H820-I820)*100)</x:f>
        <x:v>-0.07000000000000339</x:v>
      </x:c>
      <x:c r="K820" s="14" t="n">
        <x:v>-0.51</x:v>
      </x:c>
      <x:c r="L820" s="15" t="n">
        <x:f>F820*G820</x:f>
        <x:v>763.9760000000001</x:v>
      </x:c>
      <x:c r="M820" s="15" t="n">
        <x:f>F820-L820</x:f>
        <x:v>1817.024</x:v>
      </x:c>
      <x:c r="N820" s="17" t="str"/>
      <x:c r="O820" s="17" t="str">
        <x:v>https://sts2log.com/cards</x:v>
      </x:c>
      <x:c r="P820" s="17" t="str">
        <x:v>https://slaythespire2.net/ancient/neow</x:v>
      </x:c>
    </x:row>
    <x:row r="821" ht="25" customHeight="1">
      <x:c r="A821" s="2" t="str">
        <x:v>v0.111</x:v>
      </x:c>
      <x:c r="B821" s="2" t="str">
        <x:v>亡灵契约师</x:v>
      </x:c>
      <x:c r="C821" s="2" t="str">
        <x:v>涅奥</x:v>
      </x:c>
      <x:c r="D821" s="2" t="str">
        <x:v>精准剪刀</x:v>
      </x:c>
      <x:c r="E821" s="16" t="n">
        <x:f>IF(G821=0,I821,IF(G821=1,H821,G821*H821+(1-G821)*I821))</x:f>
        <x:v>0.2554014</x:v>
      </x:c>
      <x:c r="F821" s="12" t="n">
        <x:v>2459</x:v>
      </x:c>
      <x:c r="G821" s="11" t="n">
        <x:v>0.1895</x:v>
      </x:c>
      <x:c r="H821" s="11" t="n">
        <x:v>0.2661</x:v>
      </x:c>
      <x:c r="I821" s="11" t="n">
        <x:v>0.2529</x:v>
      </x:c>
      <x:c r="J821" s="13" t="n">
        <x:f>IF(OR(G821=0,G821=1),"",(H821-I821)*100)</x:f>
        <x:v>1.319999999999999</x:v>
      </x:c>
      <x:c r="K821" s="14" t="n">
        <x:v>0.58</x:v>
      </x:c>
      <x:c r="L821" s="15" t="n">
        <x:f>F821*G821</x:f>
        <x:v>465.9805</x:v>
      </x:c>
      <x:c r="M821" s="15" t="n">
        <x:f>F821-L821</x:f>
        <x:v>1993.0194999999999</x:v>
      </x:c>
      <x:c r="N821" s="17" t="str"/>
      <x:c r="O821" s="17" t="str">
        <x:v>https://sts2log.com/cards</x:v>
      </x:c>
      <x:c r="P821" s="17" t="str">
        <x:v>https://slaythespire2.net/ancient/neow</x:v>
      </x:c>
    </x:row>
    <x:row r="822" ht="25" customHeight="1">
      <x:c r="A822" s="2" t="str">
        <x:v>v0.111</x:v>
      </x:c>
      <x:c r="B822" s="2" t="str">
        <x:v>亡灵契约师</x:v>
      </x:c>
      <x:c r="C822" s="2" t="str">
        <x:v>涅奥</x:v>
      </x:c>
      <x:c r="D822" s="2" t="str">
        <x:v>涅奥骨骰</x:v>
      </x:c>
      <x:c r="E822" s="16" t="n">
        <x:f>IF(G822=0,I822,IF(G822=1,H822,G822*H822+(1-G822)*I822))</x:f>
        <x:v>0.2549317</x:v>
      </x:c>
      <x:c r="F822" s="12" t="n">
        <x:v>1887</x:v>
      </x:c>
      <x:c r="G822" s="11" t="n">
        <x:v>0.4685</x:v>
      </x:c>
      <x:c r="H822" s="11" t="n">
        <x:v>0.2274</x:v>
      </x:c>
      <x:c r="I822" s="11" t="n">
        <x:v>0.2792</x:v>
      </x:c>
      <x:c r="J822" s="13" t="n">
        <x:f>IF(OR(G822=0,G822=1),"",(H822-I822)*100)</x:f>
        <x:v>-5.1800000000000015</x:v>
      </x:c>
      <x:c r="K822" s="14" t="n">
        <x:v>-3.29</x:v>
      </x:c>
      <x:c r="L822" s="15" t="n">
        <x:f>F822*G822</x:f>
        <x:v>884.0595000000001</x:v>
      </x:c>
      <x:c r="M822" s="15" t="n">
        <x:f>F822-L822</x:f>
        <x:v>1002.9404999999999</x:v>
      </x:c>
      <x:c r="N822" s="17" t="str"/>
      <x:c r="O822" s="17" t="str">
        <x:v>https://sts2log.com/cards</x:v>
      </x:c>
      <x:c r="P822" s="17" t="str">
        <x:v>https://slaythespire2.net/ancient/neow</x:v>
      </x:c>
    </x:row>
    <x:row r="823" ht="25" customHeight="1">
      <x:c r="A823" s="2" t="str">
        <x:v>v0.111</x:v>
      </x:c>
      <x:c r="B823" s="2" t="str">
        <x:v>亡灵契约师</x:v>
      </x:c>
      <x:c r="C823" s="2" t="str">
        <x:v>涅奥</x:v>
      </x:c>
      <x:c r="D823" s="2" t="str">
        <x:v>诅咒珍珠</x:v>
      </x:c>
      <x:c r="E823" s="16" t="n">
        <x:f>IF(G823=0,I823,IF(G823=1,H823,G823*H823+(1-G823)*I823))</x:f>
        <x:v>0.25388276</x:v>
      </x:c>
      <x:c r="F823" s="12" t="n">
        <x:v>2127</x:v>
      </x:c>
      <x:c r="G823" s="11" t="n">
        <x:v>0.5147999999999999</x:v>
      </x:c>
      <x:c r="H823" s="11" t="n">
        <x:v>0.2484</x:v>
      </x:c>
      <x:c r="I823" s="11" t="n">
        <x:v>0.2597</x:v>
      </x:c>
      <x:c r="J823" s="13" t="n">
        <x:f>IF(OR(G823=0,G823=1),"",(H823-I823)*100)</x:f>
        <x:v>-1.1299999999999977</x:v>
      </x:c>
      <x:c r="K823" s="14" t="n">
        <x:v>-1.19</x:v>
      </x:c>
      <x:c r="L823" s="15" t="n">
        <x:f>F823*G823</x:f>
        <x:v>1094.9796</x:v>
      </x:c>
      <x:c r="M823" s="15" t="n">
        <x:f>F823-L823</x:f>
        <x:v>1032.0204</x:v>
      </x:c>
      <x:c r="N823" s="17" t="str"/>
      <x:c r="O823" s="17" t="str">
        <x:v>https://sts2log.com/cards</x:v>
      </x:c>
      <x:c r="P823" s="17" t="str">
        <x:v>https://slaythespire2.net/ancient/neow</x:v>
      </x:c>
    </x:row>
    <x:row r="824" ht="25" customHeight="1">
      <x:c r="A824" s="2" t="str">
        <x:v>v0.111</x:v>
      </x:c>
      <x:c r="B824" s="2" t="str">
        <x:v>亡灵契约师</x:v>
      </x:c>
      <x:c r="C824" s="2" t="str">
        <x:v>涅奥</x:v>
      </x:c>
      <x:c r="D824" s="2" t="str">
        <x:v>巨大扭蛋</x:v>
      </x:c>
      <x:c r="E824" s="16" t="n">
        <x:f>IF(G824=0,I824,IF(G824=1,H824,G824*H824+(1-G824)*I824))</x:f>
        <x:v>0.2503687</x:v>
      </x:c>
      <x:c r="F824" s="12" t="n">
        <x:v>1841</x:v>
      </x:c>
      <x:c r="G824" s="11" t="n">
        <x:v>0.2645</x:v>
      </x:c>
      <x:c r="H824" s="11" t="n">
        <x:v>0.2361</x:v>
      </x:c>
      <x:c r="I824" s="11" t="n">
        <x:v>0.2555</x:v>
      </x:c>
      <x:c r="J824" s="13" t="n">
        <x:f>IF(OR(G824=0,G824=1),"",(H824-I824)*100)</x:f>
        <x:v>-1.94</x:v>
      </x:c>
      <x:c r="K824" s="14" t="n">
        <x:v>-2.42</x:v>
      </x:c>
      <x:c r="L824" s="15" t="n">
        <x:f>F824*G824</x:f>
        <x:v>486.9445</x:v>
      </x:c>
      <x:c r="M824" s="15" t="n">
        <x:f>F824-L824</x:f>
        <x:v>1354.0555</x:v>
      </x:c>
      <x:c r="N824" s="17" t="str"/>
      <x:c r="O824" s="17" t="str">
        <x:v>https://sts2log.com/cards</x:v>
      </x:c>
      <x:c r="P824" s="17" t="str">
        <x:v>https://slaythespire2.net/ancient/neow</x:v>
      </x:c>
    </x:row>
    <x:row r="825" ht="25" customHeight="1">
      <x:c r="A825" s="2" t="str">
        <x:v>v0.111</x:v>
      </x:c>
      <x:c r="B825" s="2" t="str">
        <x:v>亡灵契约师</x:v>
      </x:c>
      <x:c r="C825" s="2" t="str">
        <x:v>涅奥</x:v>
      </x:c>
      <x:c r="D825" s="2" t="str">
        <x:v>营养牡蛎</x:v>
      </x:c>
      <x:c r="E825" s="16" t="n">
        <x:f>IF(G825=0,I825,IF(G825=1,H825,G825*H825+(1-G825)*I825))</x:f>
        <x:v>0.24997928</x:v>
      </x:c>
      <x:c r="F825" s="12" t="n">
        <x:v>1316</x:v>
      </x:c>
      <x:c r="G825" s="11" t="n">
        <x:v>0.1368</x:v>
      </x:c>
      <x:c r="H825" s="11" t="n">
        <x:v>0.2</x:v>
      </x:c>
      <x:c r="I825" s="11" t="n">
        <x:v>0.2579</x:v>
      </x:c>
      <x:c r="J825" s="13" t="n">
        <x:f>IF(OR(G825=0,G825=1),"",(H825-I825)*100)</x:f>
        <x:v>-5.790000000000001</x:v>
      </x:c>
      <x:c r="K825" s="14" t="n">
        <x:v>-6.03</x:v>
      </x:c>
      <x:c r="L825" s="15" t="n">
        <x:f>F825*G825</x:f>
        <x:v>180.02880000000002</x:v>
      </x:c>
      <x:c r="M825" s="15" t="n">
        <x:f>F825-L825</x:f>
        <x:v>1135.9712</x:v>
      </x:c>
      <x:c r="N825" s="17" t="str"/>
      <x:c r="O825" s="17" t="str">
        <x:v>https://sts2log.com/cards</x:v>
      </x:c>
      <x:c r="P825" s="17" t="str">
        <x:v>https://slaythespire2.net/ancient/neow</x:v>
      </x:c>
    </x:row>
    <x:row r="826" ht="25" customHeight="1">
      <x:c r="A826" s="2" t="str">
        <x:v>v0.111</x:v>
      </x:c>
      <x:c r="B826" s="2" t="str">
        <x:v>亡灵契约师</x:v>
      </x:c>
      <x:c r="C826" s="2" t="str">
        <x:v>涅奥</x:v>
      </x:c>
      <x:c r="D826" s="2" t="str">
        <x:v>寻龙尺</x:v>
      </x:c>
      <x:c r="E826" s="16" t="n">
        <x:f>IF(G826=0,I826,IF(G826=1,H826,G826*H826+(1-G826)*I826))</x:f>
        <x:v>0.24847615999999997</x:v>
      </x:c>
      <x:c r="F826" s="12" t="n">
        <x:v>2008</x:v>
      </x:c>
      <x:c r="G826" s="11" t="n">
        <x:v>0.3496</x:v>
      </x:c>
      <x:c r="H826" s="11" t="n">
        <x:v>0.22219999999999998</x:v>
      </x:c>
      <x:c r="I826" s="11" t="n">
        <x:v>0.2626</x:v>
      </x:c>
      <x:c r="J826" s="13" t="n">
        <x:f>IF(OR(G826=0,G826=1),"",(H826-I826)*100)</x:f>
        <x:v>-4.040000000000002</x:v>
      </x:c>
      <x:c r="K826" s="14" t="n">
        <x:v>-3.81</x:v>
      </x:c>
      <x:c r="L826" s="15" t="n">
        <x:f>F826*G826</x:f>
        <x:v>701.9968</x:v>
      </x:c>
      <x:c r="M826" s="15" t="n">
        <x:f>F826-L826</x:f>
        <x:v>1306.0032</x:v>
      </x:c>
      <x:c r="N826" s="17" t="str"/>
      <x:c r="O826" s="17" t="str">
        <x:v>https://sts2log.com/cards</x:v>
      </x:c>
      <x:c r="P826" s="17" t="str">
        <x:v>https://op.gg/zh-cn/slay-the-spire2/events/Neow</x:v>
      </x:c>
    </x:row>
    <x:row r="827" ht="25" customHeight="1">
      <x:c r="A827" s="2" t="str">
        <x:v>v0.111</x:v>
      </x:c>
      <x:c r="B827" s="2" t="str">
        <x:v>亡灵契约师</x:v>
      </x:c>
      <x:c r="C827" s="2" t="str">
        <x:v>涅奥</x:v>
      </x:c>
      <x:c r="D827" s="2" t="str">
        <x:v>羽翼之靴</x:v>
      </x:c>
      <x:c r="E827" s="16" t="n">
        <x:f>IF(G827=0,I827,IF(G827=1,H827,G827*H827+(1-G827)*I827))</x:f>
        <x:v>0.24594462</x:v>
      </x:c>
      <x:c r="F827" s="12" t="n">
        <x:v>2704</x:v>
      </x:c>
      <x:c r="G827" s="11" t="n">
        <x:v>0.2293</x:v>
      </x:c>
      <x:c r="H827" s="11" t="n">
        <x:v>0.2871</x:v>
      </x:c>
      <x:c r="I827" s="11" t="n">
        <x:v>0.23370000000000002</x:v>
      </x:c>
      <x:c r="J827" s="13" t="n">
        <x:f>IF(OR(G827=0,G827=1),"",(H827-I827)*100)</x:f>
        <x:v>5.34</x:v>
      </x:c>
      <x:c r="K827" s="14" t="n">
        <x:v>2.68</x:v>
      </x:c>
      <x:c r="L827" s="15" t="n">
        <x:f>F827*G827</x:f>
        <x:v>620.0272</x:v>
      </x:c>
      <x:c r="M827" s="15" t="n">
        <x:f>F827-L827</x:f>
        <x:v>2083.9728</x:v>
      </x:c>
      <x:c r="N827" s="17" t="str"/>
      <x:c r="O827" s="17" t="str">
        <x:v>https://sts2log.com/cards</x:v>
      </x:c>
      <x:c r="P827" s="17" t="str">
        <x:v>https://slaythespire2.net/ancient/neow</x:v>
      </x:c>
    </x:row>
    <x:row r="828" ht="25" customHeight="1">
      <x:c r="A828" s="2" t="str">
        <x:v>v0.111</x:v>
      </x:c>
      <x:c r="B828" s="2" t="str">
        <x:v>亡灵契约师</x:v>
      </x:c>
      <x:c r="C828" s="2" t="str">
        <x:v>涅奥</x:v>
      </x:c>
      <x:c r="D828" s="2" t="str">
        <x:v>轰鸣海螺</x:v>
      </x:c>
      <x:c r="E828" s="16" t="n">
        <x:f>IF(G828=0,I828,IF(G828=1,H828,G828*H828+(1-G828)*I828))</x:f>
        <x:v>0.24560659999999998</x:v>
      </x:c>
      <x:c r="F828" s="12" t="n">
        <x:v>2557</x:v>
      </x:c>
      <x:c r="G828" s="11" t="n">
        <x:v>0.15130000000000002</x:v>
      </x:c>
      <x:c r="H828" s="11" t="n">
        <x:v>0.3152</x:v>
      </x:c>
      <x:c r="I828" s="11" t="n">
        <x:v>0.2332</x:v>
      </x:c>
      <x:c r="J828" s="13" t="n">
        <x:f>IF(OR(G828=0,G828=1),"",(H828-I828)*100)</x:f>
        <x:v>8.2</x:v>
      </x:c>
      <x:c r="K828" s="14" t="n">
        <x:v>5.49</x:v>
      </x:c>
      <x:c r="L828" s="15" t="n">
        <x:f>F828*G828</x:f>
        <x:v>386.87410000000006</x:v>
      </x:c>
      <x:c r="M828" s="15" t="n">
        <x:f>F828-L828</x:f>
        <x:v>2170.1259</x:v>
      </x:c>
      <x:c r="N828" s="17" t="str"/>
      <x:c r="O828" s="17" t="str">
        <x:v>https://sts2log.com/cards</x:v>
      </x:c>
      <x:c r="P828" s="17" t="str">
        <x:v>https://slaythespire2.net/ancient/neow</x:v>
      </x:c>
    </x:row>
    <x:row r="829" ht="25" customHeight="1">
      <x:c r="A829" s="2" t="str">
        <x:v>v0.111</x:v>
      </x:c>
      <x:c r="B829" s="2" t="str">
        <x:v>亡灵契约师</x:v>
      </x:c>
      <x:c r="C829" s="2" t="str">
        <x:v>欧洛巴斯</x:v>
      </x:c>
      <x:c r="D829" s="2" t="str">
        <x:v>沙堡</x:v>
      </x:c>
      <x:c r="E829" s="16" t="n">
        <x:f>IF(G829=0,I829,IF(G829=1,H829,G829*H829+(1-G829)*I829))</x:f>
        <x:v>0.40733791999999996</x:v>
      </x:c>
      <x:c r="F829" s="12" t="n">
        <x:v>761</x:v>
      </x:c>
      <x:c r="G829" s="11" t="n">
        <x:v>0.2576</x:v>
      </x:c>
      <x:c r="H829" s="11" t="n">
        <x:v>0.36219999999999997</x:v>
      </x:c>
      <x:c r="I829" s="11" t="n">
        <x:v>0.423</x:v>
      </x:c>
      <x:c r="J829" s="13" t="n">
        <x:f>IF(OR(G829=0,G829=1),"",(H829-I829)*100)</x:f>
        <x:v>-6.080000000000002</x:v>
      </x:c>
      <x:c r="K829" s="14" t="n">
        <x:v>10.19</x:v>
      </x:c>
      <x:c r="L829" s="15" t="n">
        <x:f>F829*G829</x:f>
        <x:v>196.0336</x:v>
      </x:c>
      <x:c r="M829" s="15" t="n">
        <x:f>F829-L829</x:f>
        <x:v>564.9664</x:v>
      </x:c>
      <x:c r="N829" s="17" t="str"/>
      <x:c r="O829" s="17" t="str">
        <x:v>https://sts2log.com/cards</x:v>
      </x:c>
      <x:c r="P829" s="17" t="str">
        <x:v>https://slaythespire2.net/ancient/orobas</x:v>
      </x:c>
    </x:row>
    <x:row r="830" ht="25" customHeight="1">
      <x:c r="A830" s="2" t="str">
        <x:v>v0.111</x:v>
      </x:c>
      <x:c r="B830" s="2" t="str">
        <x:v>亡灵契约师</x:v>
      </x:c>
      <x:c r="C830" s="2" t="str">
        <x:v>欧洛巴斯</x:v>
      </x:c>
      <x:c r="D830" s="2" t="str">
        <x:v>棱彩宝石</x:v>
      </x:c>
      <x:c r="E830" s="16" t="n">
        <x:f>IF(G830=0,I830,IF(G830=1,H830,G830*H830+(1-G830)*I830))</x:f>
        <x:v>0.4013409600000001</x:v>
      </x:c>
      <x:c r="F830" s="12" t="n">
        <x:v>456</x:v>
      </x:c>
      <x:c r="G830" s="11" t="n">
        <x:v>0.49560000000000004</x:v>
      </x:c>
      <x:c r="H830" s="11" t="n">
        <x:v>0.4425</x:v>
      </x:c>
      <x:c r="I830" s="11" t="n">
        <x:v>0.36090000000000005</x:v>
      </x:c>
      <x:c r="J830" s="13" t="n">
        <x:f>IF(OR(G830=0,G830=1),"",(H830-I830)*100)</x:f>
        <x:v>8.159999999999995</x:v>
      </x:c>
      <x:c r="K830" s="14" t="n">
        <x:v>18.22</x:v>
      </x:c>
      <x:c r="L830" s="15" t="n">
        <x:f>F830*G830</x:f>
        <x:v>225.99360000000001</x:v>
      </x:c>
      <x:c r="M830" s="15" t="n">
        <x:f>F830-L830</x:f>
        <x:v>230.00639999999999</x:v>
      </x:c>
      <x:c r="N830" s="17" t="str"/>
      <x:c r="O830" s="17" t="str">
        <x:v>https://sts2log.com/cards</x:v>
      </x:c>
      <x:c r="P830" s="17" t="str">
        <x:v>https://slaythespire2.net/ancient/orobas</x:v>
      </x:c>
    </x:row>
    <x:row r="831" ht="25" customHeight="1">
      <x:c r="A831" s="2" t="str">
        <x:v>v0.111</x:v>
      </x:c>
      <x:c r="B831" s="2" t="str">
        <x:v>亡灵契约师</x:v>
      </x:c>
      <x:c r="C831" s="2" t="str">
        <x:v>欧洛巴斯</x:v>
      </x:c>
      <x:c r="D831" s="2" t="str">
        <x:v>发光珍珠</x:v>
      </x:c>
      <x:c r="E831" s="16" t="n">
        <x:f>IF(G831=0,I831,IF(G831=1,H831,G831*H831+(1-G831)*I831))</x:f>
        <x:v>0.40080990000000005</x:v>
      </x:c>
      <x:c r="F831" s="12" t="n">
        <x:v>781</x:v>
      </x:c>
      <x:c r="G831" s="11" t="n">
        <x:v>0.3086</x:v>
      </x:c>
      <x:c r="H831" s="11" t="n">
        <x:v>0.5021</x:v>
      </x:c>
      <x:c r="I831" s="11" t="n">
        <x:v>0.3556</x:v>
      </x:c>
      <x:c r="J831" s="13" t="n">
        <x:f>IF(OR(G831=0,G831=1),"",(H831-I831)*100)</x:f>
        <x:v>14.649999999999997</x:v>
      </x:c>
      <x:c r="K831" s="14" t="n">
        <x:v>24.18</x:v>
      </x:c>
      <x:c r="L831" s="15" t="n">
        <x:f>F831*G831</x:f>
        <x:v>241.01659999999998</x:v>
      </x:c>
      <x:c r="M831" s="15" t="n">
        <x:f>F831-L831</x:f>
        <x:v>539.9834000000001</x:v>
      </x:c>
      <x:c r="N831" s="17" t="str"/>
      <x:c r="O831" s="17" t="str">
        <x:v>https://sts2log.com/cards</x:v>
      </x:c>
      <x:c r="P831" s="17" t="str">
        <x:v>https://slaythespire2.net/ancient/orobas</x:v>
      </x:c>
    </x:row>
    <x:row r="832" ht="25" customHeight="1">
      <x:c r="A832" s="2" t="str">
        <x:v>v0.111</x:v>
      </x:c>
      <x:c r="B832" s="2" t="str">
        <x:v>亡灵契约师</x:v>
      </x:c>
      <x:c r="C832" s="2" t="str">
        <x:v>欧洛巴斯</x:v>
      </x:c>
      <x:c r="D832" s="2" t="str">
        <x:v>欧洛巴斯之触</x:v>
      </x:c>
      <x:c r="E832" s="16" t="n">
        <x:f>IF(G832=0,I832,IF(G832=1,H832,G832*H832+(1-G832)*I832))</x:f>
        <x:v>0.39505632</x:v>
      </x:c>
      <x:c r="F832" s="12" t="n">
        <x:v>1582</x:v>
      </x:c>
      <x:c r="G832" s="11" t="n">
        <x:v>0.3104</x:v>
      </x:c>
      <x:c r="H832" s="11" t="n">
        <x:v>0.4094</x:v>
      </x:c>
      <x:c r="I832" s="11" t="n">
        <x:v>0.3886</x:v>
      </x:c>
      <x:c r="J832" s="13" t="n">
        <x:f>IF(OR(G832=0,G832=1),"",(H832-I832)*100)</x:f>
        <x:v>2.0799999999999983</x:v>
      </x:c>
      <x:c r="K832" s="14" t="n">
        <x:v>14.91</x:v>
      </x:c>
      <x:c r="L832" s="15" t="n">
        <x:f>F832*G832</x:f>
        <x:v>491.0528</x:v>
      </x:c>
      <x:c r="M832" s="15" t="n">
        <x:f>F832-L832</x:f>
        <x:v>1090.9472</x:v>
      </x:c>
      <x:c r="N832" s="17" t="str"/>
      <x:c r="O832" s="17" t="str">
        <x:v>https://sts2log.com/cards</x:v>
      </x:c>
      <x:c r="P832" s="17" t="str">
        <x:v>https://slaythespire2.net/ancient/orobas</x:v>
      </x:c>
    </x:row>
    <x:row r="833" ht="25" customHeight="1">
      <x:c r="A833" s="2" t="str">
        <x:v>v0.111</x:v>
      </x:c>
      <x:c r="B833" s="2" t="str">
        <x:v>亡灵契约师</x:v>
      </x:c>
      <x:c r="C833" s="2" t="str">
        <x:v>欧洛巴斯</x:v>
      </x:c>
      <x:c r="D833" s="2" t="str">
        <x:v>放电异虾</x:v>
      </x:c>
      <x:c r="E833" s="16" t="n">
        <x:f>IF(G833=0,I833,IF(G833=1,H833,G833*H833+(1-G833)*I833))</x:f>
        <x:v>0.393556</x:v>
      </x:c>
      <x:c r="F833" s="12" t="n">
        <x:v>1400</x:v>
      </x:c>
      <x:c r="G833" s="11" t="n">
        <x:v>0.39</x:v>
      </x:c>
      <x:c r="H833" s="11" t="n">
        <x:v>0.4121</x:v>
      </x:c>
      <x:c r="I833" s="11" t="n">
        <x:v>0.38170000000000004</x:v>
      </x:c>
      <x:c r="J833" s="13" t="n">
        <x:f>IF(OR(G833=0,G833=1),"",(H833-I833)*100)</x:f>
        <x:v>3.0399999999999983</x:v>
      </x:c>
      <x:c r="K833" s="14" t="n">
        <x:v>15.18</x:v>
      </x:c>
      <x:c r="L833" s="15" t="n">
        <x:f>F833*G833</x:f>
        <x:v>546</x:v>
      </x:c>
      <x:c r="M833" s="15" t="n">
        <x:f>F833-L833</x:f>
        <x:v>854</x:v>
      </x:c>
      <x:c r="N833" s="17" t="str"/>
      <x:c r="O833" s="17" t="str">
        <x:v>https://sts2log.com/cards</x:v>
      </x:c>
      <x:c r="P833" s="17" t="str">
        <x:v>https://slaythespire2.net/ancient/orobas</x:v>
      </x:c>
    </x:row>
    <x:row r="834" ht="25" customHeight="1">
      <x:c r="A834" s="2" t="str">
        <x:v>v0.111</x:v>
      </x:c>
      <x:c r="B834" s="2" t="str">
        <x:v>亡灵契约师</x:v>
      </x:c>
      <x:c r="C834" s="2" t="str">
        <x:v>欧洛巴斯</x:v>
      </x:c>
      <x:c r="D834" s="2" t="str">
        <x:v>炼金箱</x:v>
      </x:c>
      <x:c r="E834" s="16" t="n">
        <x:f>IF(G834=0,I834,IF(G834=1,H834,G834*H834+(1-G834)*I834))</x:f>
        <x:v>0.37316128</x:v>
      </x:c>
      <x:c r="F834" s="12" t="n">
        <x:v>804</x:v>
      </x:c>
      <x:c r="G834" s="11" t="n">
        <x:v>0.2488</x:v>
      </x:c>
      <x:c r="H834" s="11" t="n">
        <x:v>0.46</x:v>
      </x:c>
      <x:c r="I834" s="11" t="n">
        <x:v>0.3444</x:v>
      </x:c>
      <x:c r="J834" s="13" t="n">
        <x:f>IF(OR(G834=0,G834=1),"",(H834-I834)*100)</x:f>
        <x:v>11.560000000000004</x:v>
      </x:c>
      <x:c r="K834" s="14" t="n">
        <x:v>19.97</x:v>
      </x:c>
      <x:c r="L834" s="15" t="n">
        <x:f>F834*G834</x:f>
        <x:v>200.0352</x:v>
      </x:c>
      <x:c r="M834" s="15" t="n">
        <x:f>F834-L834</x:f>
        <x:v>603.9648</x:v>
      </x:c>
      <x:c r="N834" s="17" t="str"/>
      <x:c r="O834" s="17" t="str">
        <x:v>https://sts2log.com/cards</x:v>
      </x:c>
      <x:c r="P834" s="17" t="str">
        <x:v>https://slaythespire2.net/ancient/orobas</x:v>
      </x:c>
    </x:row>
    <x:row r="835" ht="25" customHeight="1">
      <x:c r="A835" s="2" t="str">
        <x:v>v0.111</x:v>
      </x:c>
      <x:c r="B835" s="2" t="str">
        <x:v>亡灵契约师</x:v>
      </x:c>
      <x:c r="C835" s="2" t="str">
        <x:v>欧洛巴斯</x:v>
      </x:c>
      <x:c r="D835" s="2" t="str">
        <x:v>古老牙齿</x:v>
      </x:c>
      <x:c r="E835" s="16" t="n">
        <x:f>IF(G835=0,I835,IF(G835=1,H835,G835*H835+(1-G835)*I835))</x:f>
        <x:v>0.36513700000000004</x:v>
      </x:c>
      <x:c r="F835" s="12" t="n">
        <x:v>1583</x:v>
      </x:c>
      <x:c r="G835" s="11" t="n">
        <x:v>0.295</x:v>
      </x:c>
      <x:c r="H835" s="11" t="n">
        <x:v>0.3148</x:v>
      </x:c>
      <x:c r="I835" s="11" t="n">
        <x:v>0.3862</x:v>
      </x:c>
      <x:c r="J835" s="13" t="n">
        <x:f>IF(OR(G835=0,G835=1),"",(H835-I835)*100)</x:f>
        <x:v>-7.139999999999996</x:v>
      </x:c>
      <x:c r="K835" s="14" t="n">
        <x:v>5.45</x:v>
      </x:c>
      <x:c r="L835" s="15" t="n">
        <x:f>F835*G835</x:f>
        <x:v>466.98499999999996</x:v>
      </x:c>
      <x:c r="M835" s="15" t="n">
        <x:f>F835-L835</x:f>
        <x:v>1116.015</x:v>
      </x:c>
      <x:c r="N835" s="17" t="str"/>
      <x:c r="O835" s="17" t="str">
        <x:v>https://sts2log.com/cards</x:v>
      </x:c>
      <x:c r="P835" s="17" t="str">
        <x:v>https://slaythespire2.net/ancient/orobas</x:v>
      </x:c>
    </x:row>
    <x:row r="836" ht="25" customHeight="1">
      <x:c r="A836" s="2" t="str">
        <x:v>v0.111</x:v>
      </x:c>
      <x:c r="B836" s="2" t="str">
        <x:v>亡灵契约师</x:v>
      </x:c>
      <x:c r="C836" s="2" t="str">
        <x:v>欧洛巴斯</x:v>
      </x:c>
      <x:c r="D836" s="2" t="str">
        <x:v>玻璃眼珠</x:v>
      </x:c>
      <x:c r="E836" s="16" t="n">
        <x:f>IF(G836=0,I836,IF(G836=1,H836,G836*H836+(1-G836)*I836))</x:f>
        <x:v>0.35776410000000003</x:v>
      </x:c>
      <x:c r="F836" s="12" t="n">
        <x:v>1308</x:v>
      </x:c>
      <x:c r="G836" s="11" t="n">
        <x:v>0.4702</x:v>
      </x:c>
      <x:c r="H836" s="11" t="n">
        <x:v>0.3024</x:v>
      </x:c>
      <x:c r="I836" s="11" t="n">
        <x:v>0.4069</x:v>
      </x:c>
      <x:c r="J836" s="13" t="n">
        <x:f>IF(OR(G836=0,G836=1),"",(H836-I836)*100)</x:f>
        <x:v>-10.449999999999998</x:v>
      </x:c>
      <x:c r="K836" s="14" t="n">
        <x:v>4.21</x:v>
      </x:c>
      <x:c r="L836" s="15" t="n">
        <x:f>F836*G836</x:f>
        <x:v>615.0216</x:v>
      </x:c>
      <x:c r="M836" s="15" t="n">
        <x:f>F836-L836</x:f>
        <x:v>692.9784</x:v>
      </x:c>
      <x:c r="N836" s="17" t="str"/>
      <x:c r="O836" s="17" t="str">
        <x:v>https://sts2log.com/cards</x:v>
      </x:c>
      <x:c r="P836" s="17" t="str">
        <x:v>https://slaythespire2.net/ancient/orobas</x:v>
      </x:c>
    </x:row>
    <x:row r="837" ht="25" customHeight="1">
      <x:c r="A837" s="2" t="str">
        <x:v>v0.111</x:v>
      </x:c>
      <x:c r="B837" s="2" t="str">
        <x:v>亡灵契约师</x:v>
      </x:c>
      <x:c r="C837" s="2" t="str">
        <x:v>欧洛巴斯</x:v>
      </x:c>
      <x:c r="D837" s="2" t="str">
        <x:v>浮木</x:v>
      </x:c>
      <x:c r="E837" s="16" t="n">
        <x:f>IF(G837=0,I837,IF(G837=1,H837,G837*H837+(1-G837)*I837))</x:f>
        <x:v>0.34265919999999994</x:v>
      </x:c>
      <x:c r="F837" s="12" t="n">
        <x:v>820</x:v>
      </x:c>
      <x:c r="G837" s="11" t="n">
        <x:v>0.2232</x:v>
      </x:c>
      <x:c r="H837" s="11" t="n">
        <x:v>0.32789999999999997</x:v>
      </x:c>
      <x:c r="I837" s="11" t="n">
        <x:v>0.3469</x:v>
      </x:c>
      <x:c r="J837" s="13" t="n">
        <x:f>IF(OR(G837=0,G837=1),"",(H837-I837)*100)</x:f>
        <x:v>-1.9000000000000017</x:v>
      </x:c>
      <x:c r="K837" s="14" t="n">
        <x:v>6.76</x:v>
      </x:c>
      <x:c r="L837" s="15" t="n">
        <x:f>F837*G837</x:f>
        <x:v>183.024</x:v>
      </x:c>
      <x:c r="M837" s="15" t="n">
        <x:f>F837-L837</x:f>
        <x:v>636.976</x:v>
      </x:c>
      <x:c r="N837" s="17" t="str"/>
      <x:c r="O837" s="17" t="str">
        <x:v>https://sts2log.com/cards</x:v>
      </x:c>
      <x:c r="P837" s="17" t="str">
        <x:v>https://slaythespire2.net/ancient/orobas</x:v>
      </x:c>
    </x:row>
    <x:row r="838" ht="25" customHeight="1">
      <x:c r="A838" s="2" t="str">
        <x:v>v0.111</x:v>
      </x:c>
      <x:c r="B838" s="2" t="str">
        <x:v>亡灵契约师</x:v>
      </x:c>
      <x:c r="C838" s="2" t="str">
        <x:v>佩尔</x:v>
      </x:c>
      <x:c r="D838" s="2" t="str">
        <x:v>佩尔的增生组织</x:v>
      </x:c>
      <x:c r="E838" s="16" t="n">
        <x:f>IF(G838=0,I838,IF(G838=1,H838,G838*H838+(1-G838)*I838))</x:f>
        <x:v>0.418443</x:v>
      </x:c>
      <x:c r="F838" s="12" t="n">
        <x:v>607</x:v>
      </x:c>
      <x:c r="G838" s="11" t="n">
        <x:v>0.285</x:v>
      </x:c>
      <x:c r="H838" s="11" t="n">
        <x:v>0.3468</x:v>
      </x:c>
      <x:c r="I838" s="11" t="n">
        <x:v>0.447</x:v>
      </x:c>
      <x:c r="J838" s="13" t="n">
        <x:f>IF(OR(G838=0,G838=1),"",(H838-I838)*100)</x:f>
        <x:v>-10.020000000000001</x:v>
      </x:c>
      <x:c r="K838" s="14" t="n">
        <x:v>8.65</x:v>
      </x:c>
      <x:c r="L838" s="15" t="n">
        <x:f>F838*G838</x:f>
        <x:v>172.99499999999998</x:v>
      </x:c>
      <x:c r="M838" s="15" t="n">
        <x:f>F838-L838</x:f>
        <x:v>434.005</x:v>
      </x:c>
      <x:c r="N838" s="17" t="str"/>
      <x:c r="O838" s="17" t="str">
        <x:v>https://sts2log.com/cards</x:v>
      </x:c>
      <x:c r="P838" s="17" t="str">
        <x:v>https://slaythespire2.net/ancient/pael</x:v>
      </x:c>
    </x:row>
    <x:row r="839" ht="25" customHeight="1">
      <x:c r="A839" s="2" t="str">
        <x:v>v0.111</x:v>
      </x:c>
      <x:c r="B839" s="2" t="str">
        <x:v>亡灵契约师</x:v>
      </x:c>
      <x:c r="C839" s="2" t="str">
        <x:v>佩尔</x:v>
      </x:c>
      <x:c r="D839" s="2" t="str">
        <x:v>佩尔之肉</x:v>
      </x:c>
      <x:c r="E839" s="16" t="n">
        <x:f>IF(G839=0,I839,IF(G839=1,H839,G839*H839+(1-G839)*I839))</x:f>
        <x:v>0.4033742</x:v>
      </x:c>
      <x:c r="F839" s="12" t="n">
        <x:v>1480</x:v>
      </x:c>
      <x:c r="G839" s="11" t="n">
        <x:v>0.47229999999999994</x:v>
      </x:c>
      <x:c r="H839" s="11" t="n">
        <x:v>0.3791</x:v>
      </x:c>
      <x:c r="I839" s="11" t="n">
        <x:v>0.4251</x:v>
      </x:c>
      <x:c r="J839" s="13" t="n">
        <x:f>IF(OR(G839=0,G839=1),"",(H839-I839)*100)</x:f>
        <x:v>-4.599999999999999</x:v>
      </x:c>
      <x:c r="K839" s="14" t="n">
        <x:v>11.88</x:v>
      </x:c>
      <x:c r="L839" s="15" t="n">
        <x:f>F839*G839</x:f>
        <x:v>699.0039999999999</x:v>
      </x:c>
      <x:c r="M839" s="15" t="n">
        <x:f>F839-L839</x:f>
        <x:v>780.9960000000001</x:v>
      </x:c>
      <x:c r="N839" s="17" t="str"/>
      <x:c r="O839" s="17" t="str">
        <x:v>https://sts2log.com/cards</x:v>
      </x:c>
      <x:c r="P839" s="17" t="str">
        <x:v>https://slaythespire2.net/ancient/pael</x:v>
      </x:c>
    </x:row>
    <x:row r="840" ht="25" customHeight="1">
      <x:c r="A840" s="2" t="str">
        <x:v>v0.111</x:v>
      </x:c>
      <x:c r="B840" s="2" t="str">
        <x:v>亡灵契约师</x:v>
      </x:c>
      <x:c r="C840" s="2" t="str">
        <x:v>佩尔</x:v>
      </x:c>
      <x:c r="D840" s="2" t="str">
        <x:v>佩尔之血</x:v>
      </x:c>
      <x:c r="E840" s="16" t="n">
        <x:f>IF(G840=0,I840,IF(G840=1,H840,G840*H840+(1-G840)*I840))</x:f>
        <x:v>0.39984112000000005</x:v>
      </x:c>
      <x:c r="F840" s="12" t="n">
        <x:v>1428</x:v>
      </x:c>
      <x:c r="G840" s="11" t="n">
        <x:v>0.45520000000000005</x:v>
      </x:c>
      <x:c r="H840" s="11" t="n">
        <x:v>0.44920000000000004</x:v>
      </x:c>
      <x:c r="I840" s="11" t="n">
        <x:v>0.3586</x:v>
      </x:c>
      <x:c r="J840" s="13" t="n">
        <x:f>IF(OR(G840=0,G840=1),"",(H840-I840)*100)</x:f>
        <x:v>9.060000000000008</x:v>
      </x:c>
      <x:c r="K840" s="14" t="n">
        <x:v>18.89</x:v>
      </x:c>
      <x:c r="L840" s="15" t="n">
        <x:f>F840*G840</x:f>
        <x:v>650.0256</x:v>
      </x:c>
      <x:c r="M840" s="15" t="n">
        <x:f>F840-L840</x:f>
        <x:v>777.9744</x:v>
      </x:c>
      <x:c r="N840" s="17" t="str"/>
      <x:c r="O840" s="17" t="str">
        <x:v>https://sts2log.com/cards</x:v>
      </x:c>
      <x:c r="P840" s="17" t="str">
        <x:v>https://slaythespire2.net/ancient/pael</x:v>
      </x:c>
    </x:row>
    <x:row r="841" ht="25" customHeight="1">
      <x:c r="A841" s="2" t="str">
        <x:v>v0.111</x:v>
      </x:c>
      <x:c r="B841" s="2" t="str">
        <x:v>亡灵契约师</x:v>
      </x:c>
      <x:c r="C841" s="2" t="str">
        <x:v>佩尔</x:v>
      </x:c>
      <x:c r="D841" s="2" t="str">
        <x:v>佩尔之爪</x:v>
      </x:c>
      <x:c r="E841" s="16" t="n">
        <x:f>IF(G841=0,I841,IF(G841=1,H841,G841*H841+(1-G841)*I841))</x:f>
        <x:v>0.39682768</x:v>
      </x:c>
      <x:c r="F841" s="12" t="n">
        <x:v>1192</x:v>
      </x:c>
      <x:c r="G841" s="11" t="n">
        <x:v>0.24239999999999998</x:v>
      </x:c>
      <x:c r="H841" s="11" t="n">
        <x:v>0.38409999999999994</x:v>
      </x:c>
      <x:c r="I841" s="11" t="n">
        <x:v>0.40090000000000003</x:v>
      </x:c>
      <x:c r="J841" s="13" t="n">
        <x:f>IF(OR(G841=0,G841=1),"",(H841-I841)*100)</x:f>
        <x:v>-1.6800000000000093</x:v>
      </x:c>
      <x:c r="K841" s="14" t="n">
        <x:v>12.38</x:v>
      </x:c>
      <x:c r="L841" s="15" t="n">
        <x:f>F841*G841</x:f>
        <x:v>288.94079999999997</x:v>
      </x:c>
      <x:c r="M841" s="15" t="n">
        <x:f>F841-L841</x:f>
        <x:v>903.0592</x:v>
      </x:c>
      <x:c r="N841" s="17" t="str"/>
      <x:c r="O841" s="17" t="str">
        <x:v>https://sts2log.com/cards</x:v>
      </x:c>
      <x:c r="P841" s="17" t="str">
        <x:v>https://slaythespire2.net/ancient/pael</x:v>
      </x:c>
    </x:row>
    <x:row r="842" ht="25" customHeight="1">
      <x:c r="A842" s="2" t="str">
        <x:v>v0.111</x:v>
      </x:c>
      <x:c r="B842" s="2" t="str">
        <x:v>亡灵契约师</x:v>
      </x:c>
      <x:c r="C842" s="2" t="str">
        <x:v>佩尔</x:v>
      </x:c>
      <x:c r="D842" s="2" t="str">
        <x:v>佩尔的士兵</x:v>
      </x:c>
      <x:c r="E842" s="16" t="n">
        <x:f>IF(G842=0,I842,IF(G842=1,H842,G842*H842+(1-G842)*I842))</x:f>
        <x:v>0.39394355999999997</x:v>
      </x:c>
      <x:c r="F842" s="12" t="n">
        <x:v>1419</x:v>
      </x:c>
      <x:c r="G842" s="11" t="n">
        <x:v>0.4292</x:v>
      </x:c>
      <x:c r="H842" s="11" t="n">
        <x:v>0.4335</x:v>
      </x:c>
      <x:c r="I842" s="11" t="n">
        <x:v>0.3642</x:v>
      </x:c>
      <x:c r="J842" s="13" t="n">
        <x:f>IF(OR(G842=0,G842=1),"",(H842-I842)*100)</x:f>
        <x:v>6.929999999999997</x:v>
      </x:c>
      <x:c r="K842" s="14" t="n">
        <x:v>17.32</x:v>
      </x:c>
      <x:c r="L842" s="15" t="n">
        <x:f>F842*G842</x:f>
        <x:v>609.0348</x:v>
      </x:c>
      <x:c r="M842" s="15" t="n">
        <x:f>F842-L842</x:f>
        <x:v>809.9652</x:v>
      </x:c>
      <x:c r="N842" s="17" t="str"/>
      <x:c r="O842" s="17" t="str">
        <x:v>https://sts2log.com/cards</x:v>
      </x:c>
      <x:c r="P842" s="17" t="str">
        <x:v>https://slaythespire2.net/ancient/pael</x:v>
      </x:c>
    </x:row>
    <x:row r="843" ht="25" customHeight="1">
      <x:c r="A843" s="2" t="str">
        <x:v>v0.111</x:v>
      </x:c>
      <x:c r="B843" s="2" t="str">
        <x:v>亡灵契约师</x:v>
      </x:c>
      <x:c r="C843" s="2" t="str">
        <x:v>佩尔</x:v>
      </x:c>
      <x:c r="D843" s="2" t="str">
        <x:v>佩尔之牙</x:v>
      </x:c>
      <x:c r="E843" s="16" t="n">
        <x:f>IF(G843=0,I843,IF(G843=1,H843,G843*H843+(1-G843)*I843))</x:f>
        <x:v>0.39034473999999997</x:v>
      </x:c>
      <x:c r="F843" s="12" t="n">
        <x:v>1199</x:v>
      </x:c>
      <x:c r="G843" s="11" t="n">
        <x:v>0.1234</x:v>
      </x:c>
      <x:c r="H843" s="11" t="n">
        <x:v>0.2905</x:v>
      </x:c>
      <x:c r="I843" s="11" t="n">
        <x:v>0.4044</x:v>
      </x:c>
      <x:c r="J843" s="13" t="n">
        <x:f>IF(OR(G843=0,G843=1),"",(H843-I843)*100)</x:f>
        <x:v>-11.39</x:v>
      </x:c>
      <x:c r="K843" s="14" t="n">
        <x:v>3.02</x:v>
      </x:c>
      <x:c r="L843" s="15" t="n">
        <x:f>F843*G843</x:f>
        <x:v>147.9566</x:v>
      </x:c>
      <x:c r="M843" s="15" t="n">
        <x:f>F843-L843</x:f>
        <x:v>1051.0434</x:v>
      </x:c>
      <x:c r="N843" s="17" t="str"/>
      <x:c r="O843" s="17" t="str">
        <x:v>https://sts2log.com/cards</x:v>
      </x:c>
      <x:c r="P843" s="17" t="str">
        <x:v>https://slaythespire2.net/ancient/pael</x:v>
      </x:c>
    </x:row>
    <x:row r="844" ht="25" customHeight="1">
      <x:c r="A844" s="2" t="str">
        <x:v>v0.111</x:v>
      </x:c>
      <x:c r="B844" s="2" t="str">
        <x:v>亡灵契约师</x:v>
      </x:c>
      <x:c r="C844" s="2" t="str">
        <x:v>佩尔</x:v>
      </x:c>
      <x:c r="D844" s="2" t="str">
        <x:v>佩尔之角</x:v>
      </x:c>
      <x:c r="E844" s="16" t="n">
        <x:f>IF(G844=0,I844,IF(G844=1,H844,G844*H844+(1-G844)*I844))</x:f>
        <x:v>0.38974662</x:v>
      </x:c>
      <x:c r="F844" s="12" t="n">
        <x:v>1388</x:v>
      </x:c>
      <x:c r="G844" s="11" t="n">
        <x:v>0.2687</x:v>
      </x:c>
      <x:c r="H844" s="11" t="n">
        <x:v>0.42090000000000005</x:v>
      </x:c>
      <x:c r="I844" s="11" t="n">
        <x:v>0.37829999999999997</x:v>
      </x:c>
      <x:c r="J844" s="13" t="n">
        <x:f>IF(OR(G844=0,G844=1),"",(H844-I844)*100)</x:f>
        <x:v>4.260000000000009</x:v>
      </x:c>
      <x:c r="K844" s="14" t="n">
        <x:v>16.06</x:v>
      </x:c>
      <x:c r="L844" s="15" t="n">
        <x:f>F844*G844</x:f>
        <x:v>372.9556</x:v>
      </x:c>
      <x:c r="M844" s="15" t="n">
        <x:f>F844-L844</x:f>
        <x:v>1015.0444</x:v>
      </x:c>
      <x:c r="N844" s="17" t="str"/>
      <x:c r="O844" s="17" t="str">
        <x:v>https://sts2log.com/cards</x:v>
      </x:c>
      <x:c r="P844" s="17" t="str">
        <x:v>https://slaythespire2.net/ancient/pael</x:v>
      </x:c>
    </x:row>
    <x:row r="845" ht="25" customHeight="1">
      <x:c r="A845" s="2" t="str">
        <x:v>v0.111</x:v>
      </x:c>
      <x:c r="B845" s="2" t="str">
        <x:v>亡灵契约师</x:v>
      </x:c>
      <x:c r="C845" s="2" t="str">
        <x:v>佩尔</x:v>
      </x:c>
      <x:c r="D845" s="2" t="str">
        <x:v>佩尔之泪</x:v>
      </x:c>
      <x:c r="E845" s="16" t="n">
        <x:f>IF(G845=0,I845,IF(G845=1,H845,G845*H845+(1-G845)*I845))</x:f>
        <x:v>0.38028629999999997</x:v>
      </x:c>
      <x:c r="F845" s="12" t="n">
        <x:v>1341</x:v>
      </x:c>
      <x:c r="G845" s="11" t="n">
        <x:v>0.48700000000000004</x:v>
      </x:c>
      <x:c r="H845" s="11" t="n">
        <x:v>0.38280000000000003</x:v>
      </x:c>
      <x:c r="I845" s="11" t="n">
        <x:v>0.3779</x:v>
      </x:c>
      <x:c r="J845" s="13" t="n">
        <x:f>IF(OR(G845=0,G845=1),"",(H845-I845)*100)</x:f>
        <x:v>0.49000000000000155</x:v>
      </x:c>
      <x:c r="K845" s="14" t="n">
        <x:v>12.25</x:v>
      </x:c>
      <x:c r="L845" s="15" t="n">
        <x:f>F845*G845</x:f>
        <x:v>653.067</x:v>
      </x:c>
      <x:c r="M845" s="15" t="n">
        <x:f>F845-L845</x:f>
        <x:v>687.933</x:v>
      </x:c>
      <x:c r="N845" s="17" t="str"/>
      <x:c r="O845" s="17" t="str">
        <x:v>https://sts2log.com/cards</x:v>
      </x:c>
      <x:c r="P845" s="17" t="str">
        <x:v>https://slaythespire2.net/ancient/pael</x:v>
      </x:c>
    </x:row>
    <x:row r="846" ht="25" customHeight="1">
      <x:c r="A846" s="2" t="str">
        <x:v>v0.111</x:v>
      </x:c>
      <x:c r="B846" s="2" t="str">
        <x:v>亡灵契约师</x:v>
      </x:c>
      <x:c r="C846" s="2" t="str">
        <x:v>佩尔</x:v>
      </x:c>
      <x:c r="D846" s="2" t="str">
        <x:v>佩尔之眼</x:v>
      </x:c>
      <x:c r="E846" s="16" t="n">
        <x:f>IF(G846=0,I846,IF(G846=1,H846,G846*H846+(1-G846)*I846))</x:f>
        <x:v>0.380284</x:v>
      </x:c>
      <x:c r="F846" s="12" t="n">
        <x:v>1362</x:v>
      </x:c>
      <x:c r="G846" s="11" t="n">
        <x:v>0.1968</x:v>
      </x:c>
      <x:c r="H846" s="11" t="n">
        <x:v>0.3843</x:v>
      </x:c>
      <x:c r="I846" s="11" t="n">
        <x:v>0.37929999999999997</x:v>
      </x:c>
      <x:c r="J846" s="13" t="n">
        <x:f>IF(OR(G846=0,G846=1),"",(H846-I846)*100)</x:f>
        <x:v>0.5000000000000004</x:v>
      </x:c>
      <x:c r="K846" s="14" t="n">
        <x:v>12.4</x:v>
      </x:c>
      <x:c r="L846" s="15" t="n">
        <x:f>F846*G846</x:f>
        <x:v>268.0416</x:v>
      </x:c>
      <x:c r="M846" s="15" t="n">
        <x:f>F846-L846</x:f>
        <x:v>1093.9584</x:v>
      </x:c>
      <x:c r="N846" s="17" t="str"/>
      <x:c r="O846" s="17" t="str">
        <x:v>https://sts2log.com/cards</x:v>
      </x:c>
      <x:c r="P846" s="17" t="str">
        <x:v>https://slaythespire2.net/ancient/pael</x:v>
      </x:c>
    </x:row>
    <x:row r="847" ht="25" customHeight="1">
      <x:c r="A847" s="2" t="str">
        <x:v>v0.111</x:v>
      </x:c>
      <x:c r="B847" s="2" t="str">
        <x:v>亡灵契约师</x:v>
      </x:c>
      <x:c r="C847" s="2" t="str">
        <x:v>佩尔</x:v>
      </x:c>
      <x:c r="D847" s="2" t="str">
        <x:v>佩尔之翼</x:v>
      </x:c>
      <x:c r="E847" s="16" t="n">
        <x:f>IF(G847=0,I847,IF(G847=1,H847,G847*H847+(1-G847)*I847))</x:f>
        <x:v>0.37456702</x:v>
      </x:c>
      <x:c r="F847" s="12" t="n">
        <x:v>1212</x:v>
      </x:c>
      <x:c r="G847" s="11" t="n">
        <x:v>0.2838</x:v>
      </x:c>
      <x:c r="H847" s="11" t="n">
        <x:v>0.2907</x:v>
      </x:c>
      <x:c r="I847" s="11" t="n">
        <x:v>0.4078</x:v>
      </x:c>
      <x:c r="J847" s="13" t="n">
        <x:f>IF(OR(G847=0,G847=1),"",(H847-I847)*100)</x:f>
        <x:v>-11.709999999999997</x:v>
      </x:c>
      <x:c r="K847" s="14" t="n">
        <x:v>3.04</x:v>
      </x:c>
      <x:c r="L847" s="15" t="n">
        <x:f>F847*G847</x:f>
        <x:v>343.9656</x:v>
      </x:c>
      <x:c r="M847" s="15" t="n">
        <x:f>F847-L847</x:f>
        <x:v>868.0344</x:v>
      </x:c>
      <x:c r="N847" s="17" t="str"/>
      <x:c r="O847" s="17" t="str">
        <x:v>https://sts2log.com/cards</x:v>
      </x:c>
      <x:c r="P847" s="17" t="str">
        <x:v>https://slaythespire2.net/ancient/pael</x:v>
      </x:c>
    </x:row>
    <x:row r="848" ht="25" customHeight="1">
      <x:c r="A848" s="2" t="str">
        <x:v>v0.111</x:v>
      </x:c>
      <x:c r="B848" s="2" t="str">
        <x:v>亡灵契约师</x:v>
      </x:c>
      <x:c r="C848" s="2" t="str">
        <x:v>特兹卡塔拉</x:v>
      </x:c>
      <x:c r="D848" s="2" t="str">
        <x:v>玩具盒</x:v>
      </x:c>
      <x:c r="E848" s="16" t="n">
        <x:f>IF(G848=0,I848,IF(G848=1,H848,G848*H848+(1-G848)*I848))</x:f>
        <x:v>0.42481249</x:v>
      </x:c>
      <x:c r="F848" s="12" t="n">
        <x:v>1038</x:v>
      </x:c>
      <x:c r="G848" s="11" t="n">
        <x:v>0.41229999999999994</x:v>
      </x:c>
      <x:c r="H848" s="11" t="n">
        <x:v>0.4579</x:v>
      </x:c>
      <x:c r="I848" s="11" t="n">
        <x:v>0.40159999999999996</x:v>
      </x:c>
      <x:c r="J848" s="13" t="n">
        <x:f>IF(OR(G848=0,G848=1),"",(H848-I848)*100)</x:f>
        <x:v>5.630000000000002</x:v>
      </x:c>
      <x:c r="K848" s="14" t="n">
        <x:v>19.76</x:v>
      </x:c>
      <x:c r="L848" s="15" t="n">
        <x:f>F848*G848</x:f>
        <x:v>427.96739999999994</x:v>
      </x:c>
      <x:c r="M848" s="15" t="n">
        <x:f>F848-L848</x:f>
        <x:v>610.0326</x:v>
      </x:c>
      <x:c r="N848" s="17" t="str"/>
      <x:c r="O848" s="17" t="str">
        <x:v>https://sts2log.com/cards</x:v>
      </x:c>
      <x:c r="P848" s="17" t="str">
        <x:v>https://slaythespire2.net/ancient/tezcatara</x:v>
      </x:c>
    </x:row>
    <x:row r="849" ht="25" customHeight="1">
      <x:c r="A849" s="2" t="str">
        <x:v>v0.111</x:v>
      </x:c>
      <x:c r="B849" s="2" t="str">
        <x:v>亡灵契约师</x:v>
      </x:c>
      <x:c r="C849" s="2" t="str">
        <x:v>特兹卡塔拉</x:v>
      </x:c>
      <x:c r="D849" s="2" t="str">
        <x:v>黄金印</x:v>
      </x:c>
      <x:c r="E849" s="16" t="n">
        <x:f>IF(G849=0,I849,IF(G849=1,H849,G849*H849+(1-G849)*I849))</x:f>
        <x:v>0.42354052000000003</x:v>
      </x:c>
      <x:c r="F849" s="12" t="n">
        <x:v>1098</x:v>
      </x:c>
      <x:c r="G849" s="11" t="n">
        <x:v>0.4362</x:v>
      </x:c>
      <x:c r="H849" s="11" t="n">
        <x:v>0.4656</x:v>
      </x:c>
      <x:c r="I849" s="11" t="n">
        <x:v>0.391</x:v>
      </x:c>
      <x:c r="J849" s="13" t="n">
        <x:f>IF(OR(G849=0,G849=1),"",(H849-I849)*100)</x:f>
        <x:v>7.46</x:v>
      </x:c>
      <x:c r="K849" s="14" t="n">
        <x:v>20.53</x:v>
      </x:c>
      <x:c r="L849" s="15" t="n">
        <x:f>F849*G849</x:f>
        <x:v>478.94759999999997</x:v>
      </x:c>
      <x:c r="M849" s="15" t="n">
        <x:f>F849-L849</x:f>
        <x:v>619.0524</x:v>
      </x:c>
      <x:c r="N849" s="17" t="str"/>
      <x:c r="O849" s="17" t="str">
        <x:v>https://sts2log.com/cards</x:v>
      </x:c>
      <x:c r="P849" s="17" t="str">
        <x:v>https://slaythespire2.net/ancient/tezcatara</x:v>
      </x:c>
    </x:row>
    <x:row r="850" ht="25" customHeight="1">
      <x:c r="A850" s="2" t="str">
        <x:v>v0.111</x:v>
      </x:c>
      <x:c r="B850" s="2" t="str">
        <x:v>亡灵契约师</x:v>
      </x:c>
      <x:c r="C850" s="2" t="str">
        <x:v>特兹卡塔拉</x:v>
      </x:c>
      <x:c r="D850" s="2" t="str">
        <x:v>美味饼干</x:v>
      </x:c>
      <x:c r="E850" s="16" t="n">
        <x:f>IF(G850=0,I850,IF(G850=1,H850,G850*H850+(1-G850)*I850))</x:f>
        <x:v>0.4198315</x:v>
      </x:c>
      <x:c r="F850" s="12" t="n">
        <x:v>1429</x:v>
      </x:c>
      <x:c r="G850" s="11" t="n">
        <x:v>0.4486</x:v>
      </x:c>
      <x:c r="H850" s="11" t="n">
        <x:v>0.3385</x:v>
      </x:c>
      <x:c r="I850" s="11" t="n">
        <x:v>0.486</x:v>
      </x:c>
      <x:c r="J850" s="13" t="n">
        <x:f>IF(OR(G850=0,G850=1),"",(H850-I850)*100)</x:f>
        <x:v>-14.749999999999996</x:v>
      </x:c>
      <x:c r="K850" s="14" t="n">
        <x:v>7.82</x:v>
      </x:c>
      <x:c r="L850" s="15" t="n">
        <x:f>F850*G850</x:f>
        <x:v>641.0494</x:v>
      </x:c>
      <x:c r="M850" s="15" t="n">
        <x:f>F850-L850</x:f>
        <x:v>787.9506</x:v>
      </x:c>
      <x:c r="N850" s="17" t="str"/>
      <x:c r="O850" s="17" t="str">
        <x:v>https://sts2log.com/cards</x:v>
      </x:c>
      <x:c r="P850" s="17" t="str">
        <x:v>https://slaythespire2.net/ancient/tezcatara</x:v>
      </x:c>
    </x:row>
    <x:row r="851" ht="25" customHeight="1">
      <x:c r="A851" s="2" t="str">
        <x:v>v0.111</x:v>
      </x:c>
      <x:c r="B851" s="2" t="str">
        <x:v>亡灵契约师</x:v>
      </x:c>
      <x:c r="C851" s="2" t="str">
        <x:v>特兹卡塔拉</x:v>
      </x:c>
      <x:c r="D851" s="2" t="str">
        <x:v>烘焙手套</x:v>
      </x:c>
      <x:c r="E851" s="16" t="n">
        <x:f>IF(G851=0,I851,IF(G851=1,H851,G851*H851+(1-G851)*I851))</x:f>
        <x:v>0.41824134</x:v>
      </x:c>
      <x:c r="F851" s="12" t="n">
        <x:v>1401</x:v>
      </x:c>
      <x:c r="G851" s="11" t="n">
        <x:v>0.2562</x:v>
      </x:c>
      <x:c r="H851" s="11" t="n">
        <x:v>0.42619999999999997</x:v>
      </x:c>
      <x:c r="I851" s="11" t="n">
        <x:v>0.4155</x:v>
      </x:c>
      <x:c r="J851" s="13" t="n">
        <x:f>IF(OR(G851=0,G851=1),"",(H851-I851)*100)</x:f>
        <x:v>1.0699999999999987</x:v>
      </x:c>
      <x:c r="K851" s="14" t="n">
        <x:v>16.59</x:v>
      </x:c>
      <x:c r="L851" s="15" t="n">
        <x:f>F851*G851</x:f>
        <x:v>358.9362</x:v>
      </x:c>
      <x:c r="M851" s="15" t="n">
        <x:f>F851-L851</x:f>
        <x:v>1042.0638</x:v>
      </x:c>
      <x:c r="N851" s="17" t="str"/>
      <x:c r="O851" s="17" t="str">
        <x:v>https://sts2log.com/cards</x:v>
      </x:c>
      <x:c r="P851" s="17" t="str">
        <x:v>https://slaythespire2.net/ancient/tezcatara</x:v>
      </x:c>
    </x:row>
    <x:row r="852" ht="25" customHeight="1">
      <x:c r="A852" s="2" t="str">
        <x:v>v0.111</x:v>
      </x:c>
      <x:c r="B852" s="2" t="str">
        <x:v>亡灵契约师</x:v>
      </x:c>
      <x:c r="C852" s="2" t="str">
        <x:v>特兹卡塔拉</x:v>
      </x:c>
      <x:c r="D852" s="2" t="str">
        <x:v>大～抱抱</x:v>
      </x:c>
      <x:c r="E852" s="16" t="n">
        <x:f>IF(G852=0,I852,IF(G852=1,H852,G852*H852+(1-G852)*I852))</x:f>
        <x:v>0.41504418</x:v>
      </x:c>
      <x:c r="F852" s="12" t="n">
        <x:v>1366</x:v>
      </x:c>
      <x:c r="G852" s="11" t="n">
        <x:v>0.2086</x:v>
      </x:c>
      <x:c r="H852" s="11" t="n">
        <x:v>0.4596</x:v>
      </x:c>
      <x:c r="I852" s="11" t="n">
        <x:v>0.4033</x:v>
      </x:c>
      <x:c r="J852" s="13" t="n">
        <x:f>IF(OR(G852=0,G852=1),"",(H852-I852)*100)</x:f>
        <x:v>5.630000000000002</x:v>
      </x:c>
      <x:c r="K852" s="14" t="n">
        <x:v>19.93</x:v>
      </x:c>
      <x:c r="L852" s="15" t="n">
        <x:f>F852*G852</x:f>
        <x:v>284.9476</x:v>
      </x:c>
      <x:c r="M852" s="15" t="n">
        <x:f>F852-L852</x:f>
        <x:v>1081.0524</x:v>
      </x:c>
      <x:c r="N852" s="17" t="str"/>
      <x:c r="O852" s="17" t="str">
        <x:v>https://sts2log.com/cards</x:v>
      </x:c>
      <x:c r="P852" s="17" t="str">
        <x:v>https://slaythespire2.net/ancient/tezcatara</x:v>
      </x:c>
    </x:row>
    <x:row r="853" ht="25" customHeight="1">
      <x:c r="A853" s="2" t="str">
        <x:v>v0.111</x:v>
      </x:c>
      <x:c r="B853" s="2" t="str">
        <x:v>亡灵契约师</x:v>
      </x:c>
      <x:c r="C853" s="2" t="str">
        <x:v>特兹卡塔拉</x:v>
      </x:c>
      <x:c r="D853" s="2" t="str">
        <x:v>烫嘴可可</x:v>
      </x:c>
      <x:c r="E853" s="16" t="n">
        <x:f>IF(G853=0,I853,IF(G853=1,H853,G853*H853+(1-G853)*I853))</x:f>
        <x:v>0.41143425000000006</x:v>
      </x:c>
      <x:c r="F853" s="12" t="n">
        <x:v>1422</x:v>
      </x:c>
      <x:c r="G853" s="11" t="n">
        <x:v>0.41350000000000003</x:v>
      </x:c>
      <x:c r="H853" s="11" t="n">
        <x:v>0.3912</x:v>
      </x:c>
      <x:c r="I853" s="11" t="n">
        <x:v>0.4257</x:v>
      </x:c>
      <x:c r="J853" s="13" t="n">
        <x:f>IF(OR(G853=0,G853=1),"",(H853-I853)*100)</x:f>
        <x:v>-3.450000000000003</x:v>
      </x:c>
      <x:c r="K853" s="14" t="n">
        <x:v>13.09</x:v>
      </x:c>
      <x:c r="L853" s="15" t="n">
        <x:f>F853*G853</x:f>
        <x:v>587.9970000000001</x:v>
      </x:c>
      <x:c r="M853" s="15" t="n">
        <x:f>F853-L853</x:f>
        <x:v>834.0029999999999</x:v>
      </x:c>
      <x:c r="N853" s="17" t="str"/>
      <x:c r="O853" s="17" t="str">
        <x:v>https://sts2log.com/cards</x:v>
      </x:c>
      <x:c r="P853" s="17" t="str">
        <x:v>https://slaythespire2.net/ancient/tezcatara</x:v>
      </x:c>
    </x:row>
    <x:row r="854" ht="25" customHeight="1">
      <x:c r="A854" s="2" t="str">
        <x:v>v0.111</x:v>
      </x:c>
      <x:c r="B854" s="2" t="str">
        <x:v>亡灵契约师</x:v>
      </x:c>
      <x:c r="C854" s="2" t="str">
        <x:v>特兹卡塔拉</x:v>
      </x:c>
      <x:c r="D854" s="2" t="str">
        <x:v>南瓜蜡烛</x:v>
      </x:c>
      <x:c r="E854" s="16" t="n">
        <x:f>IF(G854=0,I854,IF(G854=1,H854,G854*H854+(1-G854)*I854))</x:f>
        <x:v>0.40688492</x:v>
      </x:c>
      <x:c r="F854" s="12" t="n">
        <x:v>1069</x:v>
      </x:c>
      <x:c r="G854" s="11" t="n">
        <x:v>0.5023</x:v>
      </x:c>
      <x:c r="H854" s="11" t="n">
        <x:v>0.44689999999999996</x:v>
      </x:c>
      <x:c r="I854" s="11" t="n">
        <x:v>0.3665</x:v>
      </x:c>
      <x:c r="J854" s="13" t="n">
        <x:f>IF(OR(G854=0,G854=1),"",(H854-I854)*100)</x:f>
        <x:v>8.039999999999997</x:v>
      </x:c>
      <x:c r="K854" s="14" t="n">
        <x:v>18.66</x:v>
      </x:c>
      <x:c r="L854" s="15" t="n">
        <x:f>F854*G854</x:f>
        <x:v>536.9587</x:v>
      </x:c>
      <x:c r="M854" s="15" t="n">
        <x:f>F854-L854</x:f>
        <x:v>532.0413</x:v>
      </x:c>
      <x:c r="N854" s="17" t="str"/>
      <x:c r="O854" s="17" t="str">
        <x:v>https://sts2log.com/cards</x:v>
      </x:c>
      <x:c r="P854" s="17" t="str">
        <x:v>https://slaythespire2.net/ancient/tezcatara</x:v>
      </x:c>
    </x:row>
    <x:row r="855" ht="25" customHeight="1">
      <x:c r="A855" s="2" t="str">
        <x:v>v0.111</x:v>
      </x:c>
      <x:c r="B855" s="2" t="str">
        <x:v>亡灵契约师</x:v>
      </x:c>
      <x:c r="C855" s="2" t="str">
        <x:v>特兹卡塔拉</x:v>
      </x:c>
      <x:c r="D855" s="2" t="str">
        <x:v>营养汤</x:v>
      </x:c>
      <x:c r="E855" s="16" t="n">
        <x:f>IF(G855=0,I855,IF(G855=1,H855,G855*H855+(1-G855)*I855))</x:f>
        <x:v>0.40378282000000004</x:v>
      </x:c>
      <x:c r="F855" s="12" t="n">
        <x:v>1377</x:v>
      </x:c>
      <x:c r="G855" s="11" t="n">
        <x:v>0.1634</x:v>
      </x:c>
      <x:c r="H855" s="11" t="n">
        <x:v>0.2844</x:v>
      </x:c>
      <x:c r="I855" s="11" t="n">
        <x:v>0.42710000000000004</x:v>
      </x:c>
      <x:c r="J855" s="13" t="n">
        <x:f>IF(OR(G855=0,G855=1),"",(H855-I855)*100)</x:f>
        <x:v>-14.270000000000005</x:v>
      </x:c>
      <x:c r="K855" s="14" t="n">
        <x:v>2.41</x:v>
      </x:c>
      <x:c r="L855" s="15" t="n">
        <x:f>F855*G855</x:f>
        <x:v>225.00179999999997</x:v>
      </x:c>
      <x:c r="M855" s="15" t="n">
        <x:f>F855-L855</x:f>
        <x:v>1151.9982</x:v>
      </x:c>
      <x:c r="N855" s="17" t="str"/>
      <x:c r="O855" s="17" t="str">
        <x:v>https://sts2log.com/cards</x:v>
      </x:c>
      <x:c r="P855" s="17" t="str">
        <x:v>https://slaythespire2.net/ancient/tezcatara</x:v>
      </x:c>
    </x:row>
    <x:row r="856" ht="25" customHeight="1">
      <x:c r="A856" s="2" t="str">
        <x:v>v0.111</x:v>
      </x:c>
      <x:c r="B856" s="2" t="str">
        <x:v>亡灵契约师</x:v>
      </x:c>
      <x:c r="C856" s="2" t="str">
        <x:v>特兹卡塔拉</x:v>
      </x:c>
      <x:c r="D856" s="2" t="str">
        <x:v>故事书</x:v>
      </x:c>
      <x:c r="E856" s="16" t="n">
        <x:f>IF(G856=0,I856,IF(G856=1,H856,G856*H856+(1-G856)*I856))</x:f>
        <x:v>0.40205704999999997</x:v>
      </x:c>
      <x:c r="F856" s="12" t="n">
        <x:v>1460</x:v>
      </x:c>
      <x:c r="G856" s="11" t="n">
        <x:v>0.22949999999999998</x:v>
      </x:c>
      <x:c r="H856" s="11" t="n">
        <x:v>0.4328</x:v>
      </x:c>
      <x:c r="I856" s="11" t="n">
        <x:v>0.39289999999999997</x:v>
      </x:c>
      <x:c r="J856" s="13" t="n">
        <x:f>IF(OR(G856=0,G856=1),"",(H856-I856)*100)</x:f>
        <x:v>3.9900000000000047</x:v>
      </x:c>
      <x:c r="K856" s="14" t="n">
        <x:v>17.25</x:v>
      </x:c>
      <x:c r="L856" s="15" t="n">
        <x:f>F856*G856</x:f>
        <x:v>335.07</x:v>
      </x:c>
      <x:c r="M856" s="15" t="n">
        <x:f>F856-L856</x:f>
        <x:v>1124.93</x:v>
      </x:c>
      <x:c r="N856" s="17" t="str"/>
      <x:c r="O856" s="17" t="str">
        <x:v>https://sts2log.com/cards</x:v>
      </x:c>
      <x:c r="P856" s="17" t="str">
        <x:v>https://slaythespire2.net/ancient/tezcatara</x:v>
      </x:c>
    </x:row>
    <x:row r="857" ht="25" customHeight="1">
      <x:c r="A857" s="2" t="str">
        <x:v>v0.111</x:v>
      </x:c>
      <x:c r="B857" s="2" t="str">
        <x:v>亡灵契约师</x:v>
      </x:c>
      <x:c r="C857" s="2" t="str">
        <x:v>特兹卡塔拉</x:v>
      </x:c>
      <x:c r="D857" s="2" t="str">
        <x:v>黄金罗盘</x:v>
      </x:c>
      <x:c r="E857" s="16" t="n">
        <x:f>IF(G857=0,I857,IF(G857=1,H857,G857*H857+(1-G857)*I857))</x:f>
        <x:v>0.39296860999999994</x:v>
      </x:c>
      <x:c r="F857" s="12" t="n">
        <x:v>1028</x:v>
      </x:c>
      <x:c r="G857" s="11" t="n">
        <x:v>0.3337</x:v>
      </x:c>
      <x:c r="H857" s="11" t="n">
        <x:v>0.39649999999999996</x:v>
      </x:c>
      <x:c r="I857" s="11" t="n">
        <x:v>0.3912</x:v>
      </x:c>
      <x:c r="J857" s="13" t="n">
        <x:f>IF(OR(G857=0,G857=1),"",(H857-I857)*100)</x:f>
        <x:v>0.5299999999999971</x:v>
      </x:c>
      <x:c r="K857" s="14" t="n">
        <x:v>13.62</x:v>
      </x:c>
      <x:c r="L857" s="15" t="n">
        <x:f>F857*G857</x:f>
        <x:v>343.04359999999997</x:v>
      </x:c>
      <x:c r="M857" s="15" t="n">
        <x:f>F857-L857</x:f>
        <x:v>684.9564</x:v>
      </x:c>
      <x:c r="N857" s="17" t="str"/>
      <x:c r="O857" s="17" t="str">
        <x:v>https://sts2log.com/cards</x:v>
      </x:c>
      <x:c r="P857" s="17" t="str">
        <x:v>https://slaythespire2.net/ancient/tezcatara</x:v>
      </x:c>
    </x:row>
    <x:row r="858" ht="25" customHeight="1">
      <x:c r="A858" s="2" t="str">
        <x:v>v0.111</x:v>
      </x:c>
      <x:c r="B858" s="2" t="str">
        <x:v>亡灵契约师</x:v>
      </x:c>
      <x:c r="C858" s="2" t="str">
        <x:v>诺奴佩普</x:v>
      </x:c>
      <x:c r="D858" s="2" t="str">
        <x:v>钻石头冠</x:v>
      </x:c>
      <x:c r="E858" s="16" t="n">
        <x:f>IF(G858=0,I858,IF(G858=1,H858,G858*H858+(1-G858)*I858))</x:f>
        <x:v>0.6315175000000001</x:v>
      </x:c>
      <x:c r="F858" s="12" t="n">
        <x:v>844</x:v>
      </x:c>
      <x:c r="G858" s="11" t="n">
        <x:v>0.513</x:v>
      </x:c>
      <x:c r="H858" s="11" t="n">
        <x:v>0.679</x:v>
      </x:c>
      <x:c r="I858" s="11" t="n">
        <x:v>0.5815</x:v>
      </x:c>
      <x:c r="J858" s="13" t="n">
        <x:f>IF(OR(G858=0,G858=1),"",(H858-I858)*100)</x:f>
        <x:v>9.750000000000004</x:v>
      </x:c>
      <x:c r="K858" s="14" t="n">
        <x:v>41.87</x:v>
      </x:c>
      <x:c r="L858" s="15" t="n">
        <x:f>F858*G858</x:f>
        <x:v>432.97200000000004</x:v>
      </x:c>
      <x:c r="M858" s="15" t="n">
        <x:f>F858-L858</x:f>
        <x:v>411.02799999999996</x:v>
      </x:c>
      <x:c r="N858" s="17" t="str"/>
      <x:c r="O858" s="17" t="str">
        <x:v>https://sts2log.com/cards</x:v>
      </x:c>
      <x:c r="P858" s="17" t="str">
        <x:v>https://slaythespire2.net/ancient/nonupeipe</x:v>
      </x:c>
    </x:row>
    <x:row r="859" ht="25" customHeight="1">
      <x:c r="A859" s="2" t="str">
        <x:v>v0.111</x:v>
      </x:c>
      <x:c r="B859" s="2" t="str">
        <x:v>亡灵契约师</x:v>
      </x:c>
      <x:c r="C859" s="2" t="str">
        <x:v>诺奴佩普</x:v>
      </x:c>
      <x:c r="D859" s="2" t="str">
        <x:v>珠宝盒</x:v>
      </x:c>
      <x:c r="E859" s="16" t="n">
        <x:f>IF(G859=0,I859,IF(G859=1,H859,G859*H859+(1-G859)*I859))</x:f>
        <x:v>0.6287777999999999</x:v>
      </x:c>
      <x:c r="F859" s="12" t="n">
        <x:v>862</x:v>
      </x:c>
      <x:c r="G859" s="11" t="n">
        <x:v>0.23670000000000002</x:v>
      </x:c>
      <x:c r="H859" s="11" t="n">
        <x:v>0.5784</x:v>
      </x:c>
      <x:c r="I859" s="11" t="n">
        <x:v>0.6444</x:v>
      </x:c>
      <x:c r="J859" s="13" t="n">
        <x:f>IF(OR(G859=0,G859=1),"",(H859-I859)*100)</x:f>
        <x:v>-6.599999999999994</x:v>
      </x:c>
      <x:c r="K859" s="14" t="n">
        <x:v>31.81</x:v>
      </x:c>
      <x:c r="L859" s="15" t="n">
        <x:f>F859*G859</x:f>
        <x:v>204.0354</x:v>
      </x:c>
      <x:c r="M859" s="15" t="n">
        <x:f>F859-L859</x:f>
        <x:v>657.9646</x:v>
      </x:c>
      <x:c r="N859" s="17" t="str"/>
      <x:c r="O859" s="17" t="str">
        <x:v>https://sts2log.com/cards</x:v>
      </x:c>
      <x:c r="P859" s="17" t="str">
        <x:v>https://slaythespire2.net/ancient/nonupeipe</x:v>
      </x:c>
    </x:row>
    <x:row r="860" ht="25" customHeight="1">
      <x:c r="A860" s="2" t="str">
        <x:v>v0.111</x:v>
      </x:c>
      <x:c r="B860" s="2" t="str">
        <x:v>亡灵契约师</x:v>
      </x:c>
      <x:c r="C860" s="2" t="str">
        <x:v>诺奴佩普</x:v>
      </x:c>
      <x:c r="D860" s="2" t="str">
        <x:v>艳丽围巾</x:v>
      </x:c>
      <x:c r="E860" s="16" t="n">
        <x:f>IF(G860=0,I860,IF(G860=1,H860,G860*H860+(1-G860)*I860))</x:f>
        <x:v>0.6244542900000001</x:v>
      </x:c>
      <x:c r="F860" s="12" t="n">
        <x:v>860</x:v>
      </x:c>
      <x:c r="G860" s="11" t="n">
        <x:v>0.4349</x:v>
      </x:c>
      <x:c r="H860" s="11" t="n">
        <x:v>0.6765000000000001</x:v>
      </x:c>
      <x:c r="I860" s="11" t="n">
        <x:v>0.5844</x:v>
      </x:c>
      <x:c r="J860" s="13" t="n">
        <x:f>IF(OR(G860=0,G860=1),"",(H860-I860)*100)</x:f>
        <x:v>9.210000000000008</x:v>
      </x:c>
      <x:c r="K860" s="14" t="n">
        <x:v>41.62</x:v>
      </x:c>
      <x:c r="L860" s="15" t="n">
        <x:f>F860*G860</x:f>
        <x:v>374.014</x:v>
      </x:c>
      <x:c r="M860" s="15" t="n">
        <x:f>F860-L860</x:f>
        <x:v>485.986</x:v>
      </x:c>
      <x:c r="N860" s="17" t="str"/>
      <x:c r="O860" s="17" t="str">
        <x:v>https://sts2log.com/cards</x:v>
      </x:c>
      <x:c r="P860" s="17" t="str">
        <x:v>https://slaythespire2.net/ancient/nonupeipe</x:v>
      </x:c>
    </x:row>
    <x:row r="861" ht="25" customHeight="1">
      <x:c r="A861" s="2" t="str">
        <x:v>v0.111</x:v>
      </x:c>
      <x:c r="B861" s="2" t="str">
        <x:v>亡灵契约师</x:v>
      </x:c>
      <x:c r="C861" s="2" t="str">
        <x:v>诺奴佩普</x:v>
      </x:c>
      <x:c r="D861" s="2" t="str">
        <x:v>布质果实</x:v>
      </x:c>
      <x:c r="E861" s="16" t="n">
        <x:f>IF(G861=0,I861,IF(G861=1,H861,G861*H861+(1-G861)*I861))</x:f>
        <x:v>0.6179451800000001</x:v>
      </x:c>
      <x:c r="F861" s="12" t="n">
        <x:v>835</x:v>
      </x:c>
      <x:c r="G861" s="11" t="n">
        <x:v>0.3006</x:v>
      </x:c>
      <x:c r="H861" s="11" t="n">
        <x:v>0.5657</x:v>
      </x:c>
      <x:c r="I861" s="11" t="n">
        <x:v>0.6404000000000001</x:v>
      </x:c>
      <x:c r="J861" s="13" t="n">
        <x:f>IF(OR(G861=0,G861=1),"",(H861-I861)*100)</x:f>
        <x:v>-7.4700000000000095</x:v>
      </x:c>
      <x:c r="K861" s="14" t="n">
        <x:v>30.54</x:v>
      </x:c>
      <x:c r="L861" s="15" t="n">
        <x:f>F861*G861</x:f>
        <x:v>251.00099999999998</x:v>
      </x:c>
      <x:c r="M861" s="15" t="n">
        <x:f>F861-L861</x:f>
        <x:v>583.999</x:v>
      </x:c>
      <x:c r="N861" s="17" t="str"/>
      <x:c r="O861" s="17" t="str">
        <x:v>https://sts2log.com/cards</x:v>
      </x:c>
      <x:c r="P861" s="17" t="str">
        <x:v>https://slaythespire2.net/ancient/nonupeipe</x:v>
      </x:c>
    </x:row>
    <x:row r="862" ht="25" customHeight="1">
      <x:c r="A862" s="2" t="str">
        <x:v>v0.111</x:v>
      </x:c>
      <x:c r="B862" s="2" t="str">
        <x:v>亡灵契约师</x:v>
      </x:c>
      <x:c r="C862" s="2" t="str">
        <x:v>诺奴佩普</x:v>
      </x:c>
      <x:c r="D862" s="2" t="str">
        <x:v>亮片</x:v>
      </x:c>
      <x:c r="E862" s="16" t="n">
        <x:f>IF(G862=0,I862,IF(G862=1,H862,G862*H862+(1-G862)*I862))</x:f>
        <x:v>0.61128101</x:v>
      </x:c>
      <x:c r="F862" s="12" t="n">
        <x:v>813</x:v>
      </x:c>
      <x:c r="G862" s="11" t="n">
        <x:v>0.4207</x:v>
      </x:c>
      <x:c r="H862" s="11" t="n">
        <x:v>0.5906</x:v>
      </x:c>
      <x:c r="I862" s="11" t="n">
        <x:v>0.6263000000000001</x:v>
      </x:c>
      <x:c r="J862" s="13" t="n">
        <x:f>IF(OR(G862=0,G862=1),"",(H862-I862)*100)</x:f>
        <x:v>-3.5700000000000065</x:v>
      </x:c>
      <x:c r="K862" s="14" t="n">
        <x:v>33.03</x:v>
      </x:c>
      <x:c r="L862" s="15" t="n">
        <x:f>F862*G862</x:f>
        <x:v>342.0291</x:v>
      </x:c>
      <x:c r="M862" s="15" t="n">
        <x:f>F862-L862</x:f>
        <x:v>470.9709</x:v>
      </x:c>
      <x:c r="N862" s="17" t="str"/>
      <x:c r="O862" s="17" t="str">
        <x:v>https://sts2log.com/cards</x:v>
      </x:c>
      <x:c r="P862" s="17" t="str">
        <x:v>https://slaythespire2.net/ancient/nonupeipe</x:v>
      </x:c>
    </x:row>
    <x:row r="863" ht="25" customHeight="1">
      <x:c r="A863" s="2" t="str">
        <x:v>v0.111</x:v>
      </x:c>
      <x:c r="B863" s="2" t="str">
        <x:v>亡灵契约师</x:v>
      </x:c>
      <x:c r="C863" s="2" t="str">
        <x:v>诺奴佩普</x:v>
      </x:c>
      <x:c r="D863" s="2" t="str">
        <x:v>赐福鹿角</x:v>
      </x:c>
      <x:c r="E863" s="16" t="n">
        <x:f>IF(G863=0,I863,IF(G863=1,H863,G863*H863+(1-G863)*I863))</x:f>
        <x:v>0.6057807500000001</x:v>
      </x:c>
      <x:c r="F863" s="12" t="n">
        <x:v>870</x:v>
      </x:c>
      <x:c r="G863" s="11" t="n">
        <x:v>0.2425</x:v>
      </x:c>
      <x:c r="H863" s="11" t="n">
        <x:v>0.4739</x:v>
      </x:c>
      <x:c r="I863" s="11" t="n">
        <x:v>0.648</x:v>
      </x:c>
      <x:c r="J863" s="13" t="n">
        <x:f>IF(OR(G863=0,G863=1),"",(H863-I863)*100)</x:f>
        <x:v>-17.410000000000004</x:v>
      </x:c>
      <x:c r="K863" s="14" t="n">
        <x:v>21.36</x:v>
      </x:c>
      <x:c r="L863" s="15" t="n">
        <x:f>F863*G863</x:f>
        <x:v>210.975</x:v>
      </x:c>
      <x:c r="M863" s="15" t="n">
        <x:f>F863-L863</x:f>
        <x:v>659.025</x:v>
      </x:c>
      <x:c r="N863" s="17" t="str"/>
      <x:c r="O863" s="17" t="str">
        <x:v>https://sts2log.com/cards</x:v>
      </x:c>
      <x:c r="P863" s="17" t="str">
        <x:v>https://slaythespire2.net/ancient/nonupeipe</x:v>
      </x:c>
    </x:row>
    <x:row r="864" ht="25" customHeight="1">
      <x:c r="A864" s="2" t="str">
        <x:v>v0.111</x:v>
      </x:c>
      <x:c r="B864" s="2" t="str">
        <x:v>亡灵契约师</x:v>
      </x:c>
      <x:c r="C864" s="2" t="str">
        <x:v>诺奴佩普</x:v>
      </x:c>
      <x:c r="D864" s="2" t="str">
        <x:v>华美手镯</x:v>
      </x:c>
      <x:c r="E864" s="16" t="n">
        <x:f>IF(G864=0,I864,IF(G864=1,H864,G864*H864+(1-G864)*I864))</x:f>
        <x:v>0.6048171200000001</x:v>
      </x:c>
      <x:c r="F864" s="12" t="n">
        <x:v>873</x:v>
      </x:c>
      <x:c r="G864" s="11" t="n">
        <x:v>0.2566</x:v>
      </x:c>
      <x:c r="H864" s="11" t="n">
        <x:v>0.6518</x:v>
      </x:c>
      <x:c r="I864" s="11" t="n">
        <x:v>0.5886</x:v>
      </x:c>
      <x:c r="J864" s="13" t="n">
        <x:f>IF(OR(G864=0,G864=1),"",(H864-I864)*100)</x:f>
        <x:v>6.320000000000004</x:v>
      </x:c>
      <x:c r="K864" s="14" t="n">
        <x:v>39.15</x:v>
      </x:c>
      <x:c r="L864" s="15" t="n">
        <x:f>F864*G864</x:f>
        <x:v>224.0118</x:v>
      </x:c>
      <x:c r="M864" s="15" t="n">
        <x:f>F864-L864</x:f>
        <x:v>648.9882</x:v>
      </x:c>
      <x:c r="N864" s="17" t="str"/>
      <x:c r="O864" s="17" t="str">
        <x:v>https://sts2log.com/cards</x:v>
      </x:c>
      <x:c r="P864" s="17" t="str">
        <x:v>https://slaythespire2.net/ancient/nonupeipe</x:v>
      </x:c>
    </x:row>
    <x:row r="865" ht="25" customHeight="1">
      <x:c r="A865" s="2" t="str">
        <x:v>v0.111</x:v>
      </x:c>
      <x:c r="B865" s="2" t="str">
        <x:v>亡灵契约师</x:v>
      </x:c>
      <x:c r="C865" s="2" t="str">
        <x:v>诺奴佩普</x:v>
      </x:c>
      <x:c r="D865" s="2" t="str">
        <x:v>娇嫩蕨草</x:v>
      </x:c>
      <x:c r="E865" s="16" t="n">
        <x:f>IF(G865=0,I865,IF(G865=1,H865,G865*H865+(1-G865)*I865))</x:f>
        <x:v>0.60298568</x:v>
      </x:c>
      <x:c r="F865" s="12" t="n">
        <x:v>864</x:v>
      </x:c>
      <x:c r="G865" s="11" t="n">
        <x:v>0.1736</x:v>
      </x:c>
      <x:c r="H865" s="11" t="n">
        <x:v>0.6867</x:v>
      </x:c>
      <x:c r="I865" s="11" t="n">
        <x:v>0.5854</x:v>
      </x:c>
      <x:c r="J865" s="13" t="n">
        <x:f>IF(OR(G865=0,G865=1),"",(H865-I865)*100)</x:f>
        <x:v>10.129999999999995</x:v>
      </x:c>
      <x:c r="K865" s="14" t="n">
        <x:v>42.64</x:v>
      </x:c>
      <x:c r="L865" s="15" t="n">
        <x:f>F865*G865</x:f>
        <x:v>149.9904</x:v>
      </x:c>
      <x:c r="M865" s="15" t="n">
        <x:f>F865-L865</x:f>
        <x:v>714.0096</x:v>
      </x:c>
      <x:c r="N865" s="17" t="str"/>
      <x:c r="O865" s="17" t="str">
        <x:v>https://sts2log.com/cards</x:v>
      </x:c>
      <x:c r="P865" s="17" t="str">
        <x:v>https://slaythespire2.net/ancient/nonupeipe</x:v>
      </x:c>
    </x:row>
    <x:row r="866" ht="25" customHeight="1">
      <x:c r="A866" s="2" t="str">
        <x:v>v0.111</x:v>
      </x:c>
      <x:c r="B866" s="2" t="str">
        <x:v>亡灵契约师</x:v>
      </x:c>
      <x:c r="C866" s="2" t="str">
        <x:v>诺奴佩普</x:v>
      </x:c>
      <x:c r="D866" s="2" t="str">
        <x:v>图章戒指</x:v>
      </x:c>
      <x:c r="E866" s="16" t="n">
        <x:f>IF(G866=0,I866,IF(G866=1,H866,G866*H866+(1-G866)*I866))</x:f>
        <x:v>0.59802796</x:v>
      </x:c>
      <x:c r="F866" s="12" t="n">
        <x:v>811</x:v>
      </x:c>
      <x:c r="G866" s="11" t="n">
        <x:v>0.5068</x:v>
      </x:c>
      <x:c r="H866" s="11" t="n">
        <x:v>0.6472</x:v>
      </x:c>
      <x:c r="I866" s="11" t="n">
        <x:v>0.5475</x:v>
      </x:c>
      <x:c r="J866" s="13" t="n">
        <x:f>IF(OR(G866=0,G866=1),"",(H866-I866)*100)</x:f>
        <x:v>9.97</x:v>
      </x:c>
      <x:c r="K866" s="14" t="n">
        <x:v>38.69</x:v>
      </x:c>
      <x:c r="L866" s="15" t="n">
        <x:f>F866*G866</x:f>
        <x:v>411.01480000000004</x:v>
      </x:c>
      <x:c r="M866" s="15" t="n">
        <x:f>F866-L866</x:f>
        <x:v>399.98519999999996</x:v>
      </x:c>
      <x:c r="N866" s="17" t="str"/>
      <x:c r="O866" s="17" t="str">
        <x:v>https://sts2log.com/cards</x:v>
      </x:c>
      <x:c r="P866" s="17" t="str">
        <x:v>https://slaythespire2.net/ancient/nonupeipe</x:v>
      </x:c>
    </x:row>
    <x:row r="867" ht="25" customHeight="1">
      <x:c r="A867" s="2" t="str">
        <x:v>v0.111</x:v>
      </x:c>
      <x:c r="B867" s="2" t="str">
        <x:v>亡灵契约师</x:v>
      </x:c>
      <x:c r="C867" s="2" t="str">
        <x:v>诺奴佩普</x:v>
      </x:c>
      <x:c r="D867" s="2" t="str">
        <x:v>皮草大衣</x:v>
      </x:c>
      <x:c r="E867" s="16" t="n">
        <x:f>IF(G867=0,I867,IF(G867=1,H867,G867*H867+(1-G867)*I867))</x:f>
        <x:v>0.59241141</x:v>
      </x:c>
      <x:c r="F867" s="12" t="n">
        <x:v>795</x:v>
      </x:c>
      <x:c r="G867" s="11" t="n">
        <x:v>0.26289999999999997</x:v>
      </x:c>
      <x:c r="H867" s="11" t="n">
        <x:v>0.4545</x:v>
      </x:c>
      <x:c r="I867" s="11" t="n">
        <x:v>0.6416</x:v>
      </x:c>
      <x:c r="J867" s="13" t="n">
        <x:f>IF(OR(G867=0,G867=1),"",(H867-I867)*100)</x:f>
        <x:v>-18.709999999999994</x:v>
      </x:c>
      <x:c r="K867" s="14" t="n">
        <x:v>19.42</x:v>
      </x:c>
      <x:c r="L867" s="15" t="n">
        <x:f>F867*G867</x:f>
        <x:v>209.00549999999998</x:v>
      </x:c>
      <x:c r="M867" s="15" t="n">
        <x:f>F867-L867</x:f>
        <x:v>585.9945</x:v>
      </x:c>
      <x:c r="N867" s="17" t="str"/>
      <x:c r="O867" s="17" t="str">
        <x:v>https://sts2log.com/cards</x:v>
      </x:c>
      <x:c r="P867" s="17" t="str">
        <x:v>https://slaythespire2.net/ancient/nonupeipe</x:v>
      </x:c>
    </x:row>
    <x:row r="868" ht="25" customHeight="1">
      <x:c r="A868" s="2" t="str">
        <x:v>v0.111</x:v>
      </x:c>
      <x:c r="B868" s="2" t="str">
        <x:v>亡灵契约师</x:v>
      </x:c>
      <x:c r="C868" s="2" t="str">
        <x:v>坦克斯</x:v>
      </x:c>
      <x:c r="D868" s="2" t="str">
        <x:v>钗</x:v>
      </x:c>
      <x:c r="E868" s="16" t="n">
        <x:f>IF(G868=0,I868,IF(G868=1,H868,G868*H868+(1-G868)*I868))</x:f>
        <x:v>0.6903811900000001</x:v>
      </x:c>
      <x:c r="F868" s="12" t="n">
        <x:v>859</x:v>
      </x:c>
      <x:c r="G868" s="11" t="n">
        <x:v>0.5111</x:v>
      </x:c>
      <x:c r="H868" s="11" t="n">
        <x:v>0.7358</x:v>
      </x:c>
      <x:c r="I868" s="11" t="n">
        <x:v>0.6429</x:v>
      </x:c>
      <x:c r="J868" s="13" t="n">
        <x:f>IF(OR(G868=0,G868=1),"",(H868-I868)*100)</x:f>
        <x:v>9.29</x:v>
      </x:c>
      <x:c r="K868" s="14" t="n">
        <x:v>47.55</x:v>
      </x:c>
      <x:c r="L868" s="15" t="n">
        <x:f>F868*G868</x:f>
        <x:v>439.0349</x:v>
      </x:c>
      <x:c r="M868" s="15" t="n">
        <x:f>F868-L868</x:f>
        <x:v>419.9651</x:v>
      </x:c>
      <x:c r="N868" s="17" t="str"/>
      <x:c r="O868" s="17" t="str">
        <x:v>https://sts2log.com/cards</x:v>
      </x:c>
      <x:c r="P868" s="17" t="str">
        <x:v>https://slaythespire2.net/ancient/tanx</x:v>
      </x:c>
    </x:row>
    <x:row r="869" ht="25" customHeight="1">
      <x:c r="A869" s="2" t="str">
        <x:v>v0.111</x:v>
      </x:c>
      <x:c r="B869" s="2" t="str">
        <x:v>亡灵契约师</x:v>
      </x:c>
      <x:c r="C869" s="2" t="str">
        <x:v>坦克斯</x:v>
      </x:c>
      <x:c r="D869" s="2" t="str">
        <x:v>三刃回旋镖</x:v>
      </x:c>
      <x:c r="E869" s="16" t="n">
        <x:f>IF(G869=0,I869,IF(G869=1,H869,G869*H869+(1-G869)*I869))</x:f>
        <x:v>0.68351718</x:v>
      </x:c>
      <x:c r="F869" s="12" t="n">
        <x:v>752</x:v>
      </x:c>
      <x:c r="G869" s="11" t="n">
        <x:v>0.6236999999999999</x:v>
      </x:c>
      <x:c r="H869" s="11" t="n">
        <x:v>0.7292000000000001</x:v>
      </x:c>
      <x:c r="I869" s="11" t="n">
        <x:v>0.6078</x:v>
      </x:c>
      <x:c r="J869" s="13" t="n">
        <x:f>IF(OR(G869=0,G869=1),"",(H869-I869)*100)</x:f>
        <x:v>12.140000000000006</x:v>
      </x:c>
      <x:c r="K869" s="14" t="n">
        <x:v>46.89</x:v>
      </x:c>
      <x:c r="L869" s="15" t="n">
        <x:f>F869*G869</x:f>
        <x:v>469.02239999999995</x:v>
      </x:c>
      <x:c r="M869" s="15" t="n">
        <x:f>F869-L869</x:f>
        <x:v>282.97760000000005</x:v>
      </x:c>
      <x:c r="N869" s="17" t="str"/>
      <x:c r="O869" s="17" t="str">
        <x:v>https://sts2log.com/cards</x:v>
      </x:c>
      <x:c r="P869" s="17" t="str">
        <x:v>https://slaythespire2.net/ancient/tanx</x:v>
      </x:c>
    </x:row>
    <x:row r="870" ht="25" customHeight="1">
      <x:c r="A870" s="2" t="str">
        <x:v>v0.111</x:v>
      </x:c>
      <x:c r="B870" s="2" t="str">
        <x:v>亡灵契约师</x:v>
      </x:c>
      <x:c r="C870" s="2" t="str">
        <x:v>坦克斯</x:v>
      </x:c>
      <x:c r="D870" s="2" t="str">
        <x:v>铁棒</x:v>
      </x:c>
      <x:c r="E870" s="16" t="n">
        <x:f>IF(G870=0,I870,IF(G870=1,H870,G870*H870+(1-G870)*I870))</x:f>
        <x:v>0.6711236199999999</x:v>
      </x:c>
      <x:c r="F870" s="12" t="n">
        <x:v>821</x:v>
      </x:c>
      <x:c r="G870" s="11" t="n">
        <x:v>0.4129</x:v>
      </x:c>
      <x:c r="H870" s="11" t="n">
        <x:v>0.7168000000000001</x:v>
      </x:c>
      <x:c r="I870" s="11" t="n">
        <x:v>0.639</x:v>
      </x:c>
      <x:c r="J870" s="13" t="n">
        <x:f>IF(OR(G870=0,G870=1),"",(H870-I870)*100)</x:f>
        <x:v>7.780000000000009</x:v>
      </x:c>
      <x:c r="K870" s="14" t="n">
        <x:v>45.65</x:v>
      </x:c>
      <x:c r="L870" s="15" t="n">
        <x:f>F870*G870</x:f>
        <x:v>338.9909</x:v>
      </x:c>
      <x:c r="M870" s="15" t="n">
        <x:f>F870-L870</x:f>
        <x:v>482.0091</x:v>
      </x:c>
      <x:c r="N870" s="17" t="str"/>
      <x:c r="O870" s="17" t="str">
        <x:v>https://sts2log.com/cards</x:v>
      </x:c>
      <x:c r="P870" s="17" t="str">
        <x:v>https://slaythespire2.net/ancient/tanx</x:v>
      </x:c>
    </x:row>
    <x:row r="871" ht="25" customHeight="1">
      <x:c r="A871" s="2" t="str">
        <x:v>v0.111</x:v>
      </x:c>
      <x:c r="B871" s="2" t="str">
        <x:v>亡灵契约师</x:v>
      </x:c>
      <x:c r="C871" s="2" t="str">
        <x:v>坦克斯</x:v>
      </x:c>
      <x:c r="D871" s="2" t="str">
        <x:v>带刺手甲</x:v>
      </x:c>
      <x:c r="E871" s="16" t="n">
        <x:f>IF(G871=0,I871,IF(G871=1,H871,G871*H871+(1-G871)*I871))</x:f>
        <x:v>0.660498</x:v>
      </x:c>
      <x:c r="F871" s="12" t="n">
        <x:v>813</x:v>
      </x:c>
      <x:c r="G871" s="11" t="n">
        <x:v>0.24350000000000002</x:v>
      </x:c>
      <x:c r="H871" s="11" t="n">
        <x:v>0.5909</x:v>
      </x:c>
      <x:c r="I871" s="11" t="n">
        <x:v>0.6829000000000001</x:v>
      </x:c>
      <x:c r="J871" s="13" t="n">
        <x:f>IF(OR(G871=0,G871=1),"",(H871-I871)*100)</x:f>
        <x:v>-9.200000000000008</x:v>
      </x:c>
      <x:c r="K871" s="14" t="n">
        <x:v>33.06</x:v>
      </x:c>
      <x:c r="L871" s="15" t="n">
        <x:f>F871*G871</x:f>
        <x:v>197.96550000000002</x:v>
      </x:c>
      <x:c r="M871" s="15" t="n">
        <x:f>F871-L871</x:f>
        <x:v>615.0345</x:v>
      </x:c>
      <x:c r="N871" s="17" t="str"/>
      <x:c r="O871" s="17" t="str">
        <x:v>https://sts2log.com/cards</x:v>
      </x:c>
      <x:c r="P871" s="17" t="str">
        <x:v>https://slaythespire2.net/ancient/tanx</x:v>
      </x:c>
    </x:row>
    <x:row r="872" ht="25" customHeight="1">
      <x:c r="A872" s="2" t="str">
        <x:v>v0.111</x:v>
      </x:c>
      <x:c r="B872" s="2" t="str">
        <x:v>亡灵契约师</x:v>
      </x:c>
      <x:c r="C872" s="2" t="str">
        <x:v>坦克斯</x:v>
      </x:c>
      <x:c r="D872" s="2" t="str">
        <x:v>投斧</x:v>
      </x:c>
      <x:c r="E872" s="16" t="n">
        <x:f>IF(G872=0,I872,IF(G872=1,H872,G872*H872+(1-G872)*I872))</x:f>
        <x:v>0.6464417200000001</x:v>
      </x:c>
      <x:c r="F872" s="12" t="n">
        <x:v>840</x:v>
      </x:c>
      <x:c r="G872" s="11" t="n">
        <x:v>0.3917</x:v>
      </x:c>
      <x:c r="H872" s="11" t="n">
        <x:v>0.617</x:v>
      </x:c>
      <x:c r="I872" s="11" t="n">
        <x:v>0.6654000000000001</x:v>
      </x:c>
      <x:c r="J872" s="13" t="n">
        <x:f>IF(OR(G872=0,G872=1),"",(H872-I872)*100)</x:f>
        <x:v>-4.8400000000000105</x:v>
      </x:c>
      <x:c r="K872" s="14" t="n">
        <x:v>35.67</x:v>
      </x:c>
      <x:c r="L872" s="15" t="n">
        <x:f>F872*G872</x:f>
        <x:v>329.028</x:v>
      </x:c>
      <x:c r="M872" s="15" t="n">
        <x:f>F872-L872</x:f>
        <x:v>510.972</x:v>
      </x:c>
      <x:c r="N872" s="17" t="str"/>
      <x:c r="O872" s="17" t="str">
        <x:v>https://sts2log.com/cards</x:v>
      </x:c>
      <x:c r="P872" s="17" t="str">
        <x:v>https://slaythespire2.net/ancient/tanx</x:v>
      </x:c>
    </x:row>
    <x:row r="873" ht="25" customHeight="1">
      <x:c r="A873" s="2" t="str">
        <x:v>v0.111</x:v>
      </x:c>
      <x:c r="B873" s="2" t="str">
        <x:v>亡灵契约师</x:v>
      </x:c>
      <x:c r="C873" s="2" t="str">
        <x:v>坦克斯</x:v>
      </x:c>
      <x:c r="D873" s="2" t="str">
        <x:v>战锤</x:v>
      </x:c>
      <x:c r="E873" s="16" t="n">
        <x:f>IF(G873=0,I873,IF(G873=1,H873,G873*H873+(1-G873)*I873))</x:f>
        <x:v>0.6459963100000001</x:v>
      </x:c>
      <x:c r="F873" s="12" t="n">
        <x:v>805</x:v>
      </x:c>
      <x:c r="G873" s="11" t="n">
        <x:v>0.1677</x:v>
      </x:c>
      <x:c r="H873" s="11" t="n">
        <x:v>0.6296</x:v>
      </x:c>
      <x:c r="I873" s="11" t="n">
        <x:v>0.6493000000000001</x:v>
      </x:c>
      <x:c r="J873" s="13" t="n">
        <x:f>IF(OR(G873=0,G873=1),"",(H873-I873)*100)</x:f>
        <x:v>-1.970000000000005</x:v>
      </x:c>
      <x:c r="K873" s="14" t="n">
        <x:v>36.93</x:v>
      </x:c>
      <x:c r="L873" s="15" t="n">
        <x:f>F873*G873</x:f>
        <x:v>134.99849999999998</x:v>
      </x:c>
      <x:c r="M873" s="15" t="n">
        <x:f>F873-L873</x:f>
        <x:v>670.0015000000001</x:v>
      </x:c>
      <x:c r="N873" s="17" t="str"/>
      <x:c r="O873" s="17" t="str">
        <x:v>https://sts2log.com/cards</x:v>
      </x:c>
      <x:c r="P873" s="17" t="str">
        <x:v>https://slaythespire2.net/ancient/tanx</x:v>
      </x:c>
    </x:row>
    <x:row r="874" ht="25" customHeight="1">
      <x:c r="A874" s="2" t="str">
        <x:v>v0.111</x:v>
      </x:c>
      <x:c r="B874" s="2" t="str">
        <x:v>亡灵契约师</x:v>
      </x:c>
      <x:c r="C874" s="2" t="str">
        <x:v>坦克斯</x:v>
      </x:c>
      <x:c r="D874" s="2" t="str">
        <x:v>利爪</x:v>
      </x:c>
      <x:c r="E874" s="16" t="n">
        <x:f>IF(G874=0,I874,IF(G874=1,H874,G874*H874+(1-G874)*I874))</x:f>
        <x:v>0.6443846000000001</x:v>
      </x:c>
      <x:c r="F874" s="12" t="n">
        <x:v>824</x:v>
      </x:c>
      <x:c r="G874" s="11" t="n">
        <x:v>0.1092</x:v>
      </x:c>
      <x:c r="H874" s="11" t="n">
        <x:v>0.44439999999999996</x:v>
      </x:c>
      <x:c r="I874" s="11" t="n">
        <x:v>0.6689</x:v>
      </x:c>
      <x:c r="J874" s="13" t="n">
        <x:f>IF(OR(G874=0,G874=1),"",(H874-I874)*100)</x:f>
        <x:v>-22.45000000000001</x:v>
      </x:c>
      <x:c r="K874" s="14" t="n">
        <x:v>18.41</x:v>
      </x:c>
      <x:c r="L874" s="15" t="n">
        <x:f>F874*G874</x:f>
        <x:v>89.9808</x:v>
      </x:c>
      <x:c r="M874" s="15" t="n">
        <x:f>F874-L874</x:f>
        <x:v>734.0192</x:v>
      </x:c>
      <x:c r="N874" s="17" t="str"/>
      <x:c r="O874" s="17" t="str">
        <x:v>https://sts2log.com/cards</x:v>
      </x:c>
      <x:c r="P874" s="17" t="str">
        <x:v>https://slaythespire2.net/ancient/tanx</x:v>
      </x:c>
    </x:row>
    <x:row r="875" ht="25" customHeight="1">
      <x:c r="A875" s="2" t="str">
        <x:v>v0.111</x:v>
      </x:c>
      <x:c r="B875" s="2" t="str">
        <x:v>亡灵契约师</x:v>
      </x:c>
      <x:c r="C875" s="2" t="str">
        <x:v>坦克斯</x:v>
      </x:c>
      <x:c r="D875" s="2" t="str">
        <x:v>切肉刀</x:v>
      </x:c>
      <x:c r="E875" s="16" t="n">
        <x:f>IF(G875=0,I875,IF(G875=1,H875,G875*H875+(1-G875)*I875))</x:f>
        <x:v>0.6439131</x:v>
      </x:c>
      <x:c r="F875" s="12" t="n">
        <x:v>834</x:v>
      </x:c>
      <x:c r="G875" s="11" t="n">
        <x:v>0.4365</x:v>
      </x:c>
      <x:c r="H875" s="11" t="n">
        <x:v>0.6154</x:v>
      </x:c>
      <x:c r="I875" s="11" t="n">
        <x:v>0.6659999999999999</x:v>
      </x:c>
      <x:c r="J875" s="13" t="n">
        <x:f>IF(OR(G875=0,G875=1),"",(H875-I875)*100)</x:f>
        <x:v>-5.059999999999998</x:v>
      </x:c>
      <x:c r="K875" s="14" t="n">
        <x:v>35.51</x:v>
      </x:c>
      <x:c r="L875" s="15" t="n">
        <x:f>F875*G875</x:f>
        <x:v>364.041</x:v>
      </x:c>
      <x:c r="M875" s="15" t="n">
        <x:f>F875-L875</x:f>
        <x:v>469.959</x:v>
      </x:c>
      <x:c r="N875" s="17" t="str"/>
      <x:c r="O875" s="17" t="str">
        <x:v>https://sts2log.com/cards</x:v>
      </x:c>
      <x:c r="P875" s="17" t="str">
        <x:v>https://slaythespire2.net/ancient/tanx</x:v>
      </x:c>
    </x:row>
    <x:row r="876" ht="25" customHeight="1">
      <x:c r="A876" s="2" t="str">
        <x:v>v0.111</x:v>
      </x:c>
      <x:c r="B876" s="2" t="str">
        <x:v>亡灵契约师</x:v>
      </x:c>
      <x:c r="C876" s="2" t="str">
        <x:v>坦克斯</x:v>
      </x:c>
      <x:c r="D876" s="2" t="str">
        <x:v>十字弓</x:v>
      </x:c>
      <x:c r="E876" s="16" t="n">
        <x:f>IF(G876=0,I876,IF(G876=1,H876,G876*H876+(1-G876)*I876))</x:f>
        <x:v>0.64053008</x:v>
      </x:c>
      <x:c r="F876" s="12" t="n">
        <x:v>804</x:v>
      </x:c>
      <x:c r="G876" s="11" t="n">
        <x:v>0.16920000000000002</x:v>
      </x:c>
      <x:c r="H876" s="11" t="n">
        <x:v>0.6175999999999999</x:v>
      </x:c>
      <x:c r="I876" s="11" t="n">
        <x:v>0.6452</x:v>
      </x:c>
      <x:c r="J876" s="13" t="n">
        <x:f>IF(OR(G876=0,G876=1),"",(H876-I876)*100)</x:f>
        <x:v>-2.760000000000007</x:v>
      </x:c>
      <x:c r="K876" s="14" t="n">
        <x:v>35.73</x:v>
      </x:c>
      <x:c r="L876" s="15" t="n">
        <x:f>F876*G876</x:f>
        <x:v>136.03680000000003</x:v>
      </x:c>
      <x:c r="M876" s="15" t="n">
        <x:f>F876-L876</x:f>
        <x:v>667.9631999999999</x:v>
      </x:c>
      <x:c r="N876" s="17" t="str"/>
      <x:c r="O876" s="17" t="str">
        <x:v>https://sts2log.com/cards</x:v>
      </x:c>
      <x:c r="P876" s="17" t="str">
        <x:v>https://slaythespire2.net/ancient/tanx</x:v>
      </x:c>
    </x:row>
    <x:row r="877" ht="25" customHeight="1">
      <x:c r="A877" s="2" t="str">
        <x:v>v0.111</x:v>
      </x:c>
      <x:c r="B877" s="2" t="str">
        <x:v>亡灵契约师</x:v>
      </x:c>
      <x:c r="C877" s="2" t="str">
        <x:v>坦克斯</x:v>
      </x:c>
      <x:c r="D877" s="2" t="str">
        <x:v>坦克斯的哨子</x:v>
      </x:c>
      <x:c r="E877" s="16" t="n">
        <x:f>IF(G877=0,I877,IF(G877=1,H877,G877*H877+(1-G877)*I877))</x:f>
        <x:v>0.60579841</x:v>
      </x:c>
      <x:c r="F877" s="12" t="n">
        <x:v>822</x:v>
      </x:c>
      <x:c r="G877" s="11" t="n">
        <x:v>0.26890000000000003</x:v>
      </x:c>
      <x:c r="H877" s="11" t="n">
        <x:v>0.5158</x:v>
      </x:c>
      <x:c r="I877" s="11" t="n">
        <x:v>0.6389</x:v>
      </x:c>
      <x:c r="J877" s="13" t="n">
        <x:f>IF(OR(G877=0,G877=1),"",(H877-I877)*100)</x:f>
        <x:v>-12.309999999999999</x:v>
      </x:c>
      <x:c r="K877" s="14" t="n">
        <x:v>25.55</x:v>
      </x:c>
      <x:c r="L877" s="15" t="n">
        <x:f>F877*G877</x:f>
        <x:v>221.03580000000002</x:v>
      </x:c>
      <x:c r="M877" s="15" t="n">
        <x:f>F877-L877</x:f>
        <x:v>600.9642</x:v>
      </x:c>
      <x:c r="N877" s="17" t="str"/>
      <x:c r="O877" s="17" t="str">
        <x:v>https://sts2log.com/cards</x:v>
      </x:c>
      <x:c r="P877" s="17" t="str">
        <x:v>https://slaythespire2.net/ancient/tanx</x:v>
      </x:c>
    </x:row>
    <x:row r="878" ht="25" customHeight="1">
      <x:c r="A878" s="2" t="str">
        <x:v>v0.111</x:v>
      </x:c>
      <x:c r="B878" s="2" t="str">
        <x:v>亡灵契约师</x:v>
      </x:c>
      <x:c r="C878" s="2" t="str">
        <x:v>瓦库</x:v>
      </x:c>
      <x:c r="D878" s="2" t="str">
        <x:v>音乐盒</x:v>
      </x:c>
      <x:c r="E878" s="16" t="n">
        <x:f>IF(G878=0,I878,IF(G878=1,H878,G878*H878+(1-G878)*I878))</x:f>
        <x:v>0.6112725999999999</x:v>
      </x:c>
      <x:c r="F878" s="12" t="n">
        <x:v>710</x:v>
      </x:c>
      <x:c r="G878" s="11" t="n">
        <x:v>0.46759999999999996</x:v>
      </x:c>
      <x:c r="H878" s="11" t="n">
        <x:v>0.6717</x:v>
      </x:c>
      <x:c r="I878" s="11" t="n">
        <x:v>0.5582</x:v>
      </x:c>
      <x:c r="J878" s="13" t="n">
        <x:f>IF(OR(G878=0,G878=1),"",(H878-I878)*100)</x:f>
        <x:v>11.349999999999994</x:v>
      </x:c>
      <x:c r="K878" s="14" t="n">
        <x:v>41.14</x:v>
      </x:c>
      <x:c r="L878" s="15" t="n">
        <x:f>F878*G878</x:f>
        <x:v>331.996</x:v>
      </x:c>
      <x:c r="M878" s="15" t="n">
        <x:f>F878-L878</x:f>
        <x:v>378.004</x:v>
      </x:c>
      <x:c r="N878" s="17" t="str"/>
      <x:c r="O878" s="17" t="str">
        <x:v>https://sts2log.com/cards</x:v>
      </x:c>
      <x:c r="P878" s="17" t="str">
        <x:v>https://slaythespire2.net/ancient/vakuu</x:v>
      </x:c>
    </x:row>
    <x:row r="879" ht="25" customHeight="1">
      <x:c r="A879" s="2" t="str">
        <x:v>v0.111</x:v>
      </x:c>
      <x:c r="B879" s="2" t="str">
        <x:v>亡灵契约师</x:v>
      </x:c>
      <x:c r="C879" s="2" t="str">
        <x:v>瓦库</x:v>
      </x:c>
      <x:c r="D879" s="2" t="str">
        <x:v>选择悖论</x:v>
      </x:c>
      <x:c r="E879" s="16" t="n">
        <x:f>IF(G879=0,I879,IF(G879=1,H879,G879*H879+(1-G879)*I879))</x:f>
        <x:v>0.6009212800000001</x:v>
      </x:c>
      <x:c r="F879" s="12" t="n">
        <x:v>639</x:v>
      </x:c>
      <x:c r="G879" s="11" t="n">
        <x:v>0.44439999999999996</x:v>
      </x:c>
      <x:c r="H879" s="11" t="n">
        <x:v>0.6127</x:v>
      </x:c>
      <x:c r="I879" s="11" t="n">
        <x:v>0.5915</x:v>
      </x:c>
      <x:c r="J879" s="13" t="n">
        <x:f>IF(OR(G879=0,G879=1),"",(H879-I879)*100)</x:f>
        <x:v>2.1199999999999997</x:v>
      </x:c>
      <x:c r="K879" s="14" t="n">
        <x:v>35.24</x:v>
      </x:c>
      <x:c r="L879" s="15" t="n">
        <x:f>F879*G879</x:f>
        <x:v>283.97159999999997</x:v>
      </x:c>
      <x:c r="M879" s="15" t="n">
        <x:f>F879-L879</x:f>
        <x:v>355.02840000000003</x:v>
      </x:c>
      <x:c r="N879" s="17" t="str"/>
      <x:c r="O879" s="17" t="str">
        <x:v>https://sts2log.com/cards</x:v>
      </x:c>
      <x:c r="P879" s="17" t="str">
        <x:v>https://slaythespire2.net/ancient/vakuu</x:v>
      </x:c>
    </x:row>
    <x:row r="880" ht="25" customHeight="1">
      <x:c r="A880" s="2" t="str">
        <x:v>v0.111</x:v>
      </x:c>
      <x:c r="B880" s="2" t="str">
        <x:v>亡灵契约师</x:v>
      </x:c>
      <x:c r="C880" s="2" t="str">
        <x:v>瓦库</x:v>
      </x:c>
      <x:c r="D880" s="2" t="str">
        <x:v>小提琴</x:v>
      </x:c>
      <x:c r="E880" s="16" t="n">
        <x:f>IF(G880=0,I880,IF(G880=1,H880,G880*H880+(1-G880)*I880))</x:f>
        <x:v>0.59290248</x:v>
      </x:c>
      <x:c r="F880" s="12" t="n">
        <x:v>877</x:v>
      </x:c>
      <x:c r="G880" s="11" t="n">
        <x:v>0.21660000000000001</x:v>
      </x:c>
      <x:c r="H880" s="11" t="n">
        <x:v>0.6420999999999999</x:v>
      </x:c>
      <x:c r="I880" s="11" t="n">
        <x:v>0.5793</x:v>
      </x:c>
      <x:c r="J880" s="13" t="n">
        <x:f>IF(OR(G880=0,G880=1),"",(H880-I880)*100)</x:f>
        <x:v>6.279999999999985</x:v>
      </x:c>
      <x:c r="K880" s="14" t="n">
        <x:v>38.18</x:v>
      </x:c>
      <x:c r="L880" s="15" t="n">
        <x:f>F880*G880</x:f>
        <x:v>189.9582</x:v>
      </x:c>
      <x:c r="M880" s="15" t="n">
        <x:f>F880-L880</x:f>
        <x:v>687.0418</x:v>
      </x:c>
      <x:c r="N880" s="17" t="str"/>
      <x:c r="O880" s="17" t="str">
        <x:v>https://sts2log.com/cards</x:v>
      </x:c>
      <x:c r="P880" s="17" t="str">
        <x:v>https://slaythespire2.net/ancient/vakuu</x:v>
      </x:c>
    </x:row>
    <x:row r="881" ht="25" customHeight="1">
      <x:c r="A881" s="2" t="str">
        <x:v>v0.111</x:v>
      </x:c>
      <x:c r="B881" s="2" t="str">
        <x:v>亡灵契约师</x:v>
      </x:c>
      <x:c r="C881" s="2" t="str">
        <x:v>瓦库</x:v>
      </x:c>
      <x:c r="D881" s="2" t="str">
        <x:v>卓越斗篷</x:v>
      </x:c>
      <x:c r="E881" s="16" t="n">
        <x:f>IF(G881=0,I881,IF(G881=1,H881,G881*H881+(1-G881)*I881))</x:f>
        <x:v>0.58882002</x:v>
      </x:c>
      <x:c r="F881" s="12" t="n">
        <x:v>912</x:v>
      </x:c>
      <x:c r="G881" s="11" t="n">
        <x:v>0.2621</x:v>
      </x:c>
      <x:c r="H881" s="11" t="n">
        <x:v>0.5565</x:v>
      </x:c>
      <x:c r="I881" s="11" t="n">
        <x:v>0.6003000000000001</x:v>
      </x:c>
      <x:c r="J881" s="13" t="n">
        <x:f>IF(OR(G881=0,G881=1),"",(H881-I881)*100)</x:f>
        <x:v>-4.380000000000006</x:v>
      </x:c>
      <x:c r="K881" s="14" t="n">
        <x:v>29.62</x:v>
      </x:c>
      <x:c r="L881" s="15" t="n">
        <x:f>F881*G881</x:f>
        <x:v>239.0352</x:v>
      </x:c>
      <x:c r="M881" s="15" t="n">
        <x:f>F881-L881</x:f>
        <x:v>672.9648</x:v>
      </x:c>
      <x:c r="N881" s="17" t="str"/>
      <x:c r="O881" s="17" t="str">
        <x:v>https://sts2log.com/cards</x:v>
      </x:c>
      <x:c r="P881" s="17" t="str">
        <x:v>https://slaythespire2.net/ancient/vakuu</x:v>
      </x:c>
    </x:row>
    <x:row r="882" ht="25" customHeight="1">
      <x:c r="A882" s="2" t="str">
        <x:v>v0.111</x:v>
      </x:c>
      <x:c r="B882" s="2" t="str">
        <x:v>亡灵契约师</x:v>
      </x:c>
      <x:c r="C882" s="2" t="str">
        <x:v>瓦库</x:v>
      </x:c>
      <x:c r="D882" s="2" t="str">
        <x:v>低语耳环</x:v>
      </x:c>
      <x:c r="E882" s="16" t="n">
        <x:f>IF(G882=0,I882,IF(G882=1,H882,G882*H882+(1-G882)*I882))</x:f>
        <x:v>0.58574279</x:v>
      </x:c>
      <x:c r="F882" s="12" t="n">
        <x:v>898</x:v>
      </x:c>
      <x:c r="G882" s="11" t="n">
        <x:v>0.11470000000000001</x:v>
      </x:c>
      <x:c r="H882" s="11" t="n">
        <x:v>0.4757</x:v>
      </x:c>
      <x:c r="I882" s="11" t="n">
        <x:v>0.6</x:v>
      </x:c>
      <x:c r="J882" s="13" t="n">
        <x:f>IF(OR(G882=0,G882=1),"",(H882-I882)*100)</x:f>
        <x:v>-12.429999999999996</x:v>
      </x:c>
      <x:c r="K882" s="14" t="n">
        <x:v>21.54</x:v>
      </x:c>
      <x:c r="L882" s="15" t="n">
        <x:f>F882*G882</x:f>
        <x:v>103.0006</x:v>
      </x:c>
      <x:c r="M882" s="15" t="n">
        <x:f>F882-L882</x:f>
        <x:v>794.9994</x:v>
      </x:c>
      <x:c r="N882" s="17" t="str"/>
      <x:c r="O882" s="17" t="str">
        <x:v>https://sts2log.com/cards</x:v>
      </x:c>
      <x:c r="P882" s="17" t="str">
        <x:v>https://slaythespire2.net/ancient/vakuu</x:v>
      </x:c>
    </x:row>
    <x:row r="883" ht="25" customHeight="1">
      <x:c r="A883" s="2" t="str">
        <x:v>v0.111</x:v>
      </x:c>
      <x:c r="B883" s="2" t="str">
        <x:v>亡灵契约师</x:v>
      </x:c>
      <x:c r="C883" s="2" t="str">
        <x:v>瓦库</x:v>
      </x:c>
      <x:c r="D883" s="2" t="str">
        <x:v>原初之爪</x:v>
      </x:c>
      <x:c r="E883" s="16" t="n">
        <x:f>IF(G883=0,I883,IF(G883=1,H883,G883*H883+(1-G883)*I883))</x:f>
        <x:v>0.58184762</x:v>
      </x:c>
      <x:c r="F883" s="12" t="n">
        <x:v>935</x:v>
      </x:c>
      <x:c r="G883" s="11" t="n">
        <x:v>0.4021</x:v>
      </x:c>
      <x:c r="H883" s="11" t="n">
        <x:v>0.6011</x:v>
      </x:c>
      <x:c r="I883" s="11" t="n">
        <x:v>0.5689</x:v>
      </x:c>
      <x:c r="J883" s="13" t="n">
        <x:f>IF(OR(G883=0,G883=1),"",(H883-I883)*100)</x:f>
        <x:v>3.2200000000000006</x:v>
      </x:c>
      <x:c r="K883" s="14" t="n">
        <x:v>34.08</x:v>
      </x:c>
      <x:c r="L883" s="15" t="n">
        <x:f>F883*G883</x:f>
        <x:v>375.9635</x:v>
      </x:c>
      <x:c r="M883" s="15" t="n">
        <x:f>F883-L883</x:f>
        <x:v>559.0364999999999</x:v>
      </x:c>
      <x:c r="N883" s="17" t="str"/>
      <x:c r="O883" s="17" t="str">
        <x:v>https://sts2log.com/cards</x:v>
      </x:c>
      <x:c r="P883" s="17" t="str">
        <x:v>https://slaythespire2.net/ancient/vakuu</x:v>
      </x:c>
    </x:row>
    <x:row r="884" ht="25" customHeight="1">
      <x:c r="A884" s="2" t="str">
        <x:v>v0.111</x:v>
      </x:c>
      <x:c r="B884" s="2" t="str">
        <x:v>亡灵契约师</x:v>
      </x:c>
      <x:c r="C884" s="2" t="str">
        <x:v>瓦库</x:v>
      </x:c>
      <x:c r="D884" s="2" t="str">
        <x:v>领主阳伞</x:v>
      </x:c>
      <x:c r="E884" s="16" t="n">
        <x:f>IF(G884=0,I884,IF(G884=1,H884,G884*H884+(1-G884)*I884))</x:f>
        <x:v>0.56839944</x:v>
      </x:c>
      <x:c r="F884" s="12" t="n">
        <x:v>658</x:v>
      </x:c>
      <x:c r="G884" s="11" t="n">
        <x:v>0.09880000000000001</x:v>
      </x:c>
      <x:c r="H884" s="11" t="n">
        <x:v>0.5538000000000001</x:v>
      </x:c>
      <x:c r="I884" s="11" t="n">
        <x:v>0.57</x:v>
      </x:c>
      <x:c r="J884" s="13" t="n">
        <x:f>IF(OR(G884=0,G884=1),"",(H884-I884)*100)</x:f>
        <x:v>-1.6199999999999881</x:v>
      </x:c>
      <x:c r="K884" s="14" t="n">
        <x:v>29.35</x:v>
      </x:c>
      <x:c r="L884" s="15" t="n">
        <x:f>F884*G884</x:f>
        <x:v>65.0104</x:v>
      </x:c>
      <x:c r="M884" s="15" t="n">
        <x:f>F884-L884</x:f>
        <x:v>592.9896</x:v>
      </x:c>
      <x:c r="N884" s="17" t="str"/>
      <x:c r="O884" s="17" t="str">
        <x:v>https://sts2log.com/cards</x:v>
      </x:c>
      <x:c r="P884" s="17" t="str">
        <x:v>https://slaythespire2.net/ancient/vakuu</x:v>
      </x:c>
    </x:row>
    <x:row r="885" ht="25" customHeight="1">
      <x:c r="A885" s="2" t="str">
        <x:v>v0.111</x:v>
      </x:c>
      <x:c r="B885" s="2" t="str">
        <x:v>亡灵契约师</x:v>
      </x:c>
      <x:c r="C885" s="2" t="str">
        <x:v>瓦库</x:v>
      </x:c>
      <x:c r="D885" s="2" t="str">
        <x:v>腌制活雾</x:v>
      </x:c>
      <x:c r="E885" s="16" t="n">
        <x:f>IF(G885=0,I885,IF(G885=1,H885,G885*H885+(1-G885)*I885))</x:f>
        <x:v>0.56300218</x:v>
      </x:c>
      <x:c r="F885" s="12" t="n">
        <x:v>817</x:v>
      </x:c>
      <x:c r="G885" s="11" t="n">
        <x:v>0.5006</x:v>
      </x:c>
      <x:c r="H885" s="11" t="n">
        <x:v>0.5232</x:v>
      </x:c>
      <x:c r="I885" s="11" t="n">
        <x:v>0.6029</x:v>
      </x:c>
      <x:c r="J885" s="13" t="n">
        <x:f>IF(OR(G885=0,G885=1),"",(H885-I885)*100)</x:f>
        <x:v>-7.969999999999999</x:v>
      </x:c>
      <x:c r="K885" s="14" t="n">
        <x:v>26.29</x:v>
      </x:c>
      <x:c r="L885" s="15" t="n">
        <x:f>F885*G885</x:f>
        <x:v>408.9902</x:v>
      </x:c>
      <x:c r="M885" s="15" t="n">
        <x:f>F885-L885</x:f>
        <x:v>408.0098</x:v>
      </x:c>
      <x:c r="N885" s="17" t="str"/>
      <x:c r="O885" s="17" t="str">
        <x:v>https://sts2log.com/cards</x:v>
      </x:c>
      <x:c r="P885" s="17" t="str">
        <x:v>https://slaythespire2.net/ancient/vakuu</x:v>
      </x:c>
    </x:row>
    <x:row r="886" ht="25" customHeight="1">
      <x:c r="A886" s="2" t="str">
        <x:v>v0.111</x:v>
      </x:c>
      <x:c r="B886" s="2" t="str">
        <x:v>亡灵契约师</x:v>
      </x:c>
      <x:c r="C886" s="2" t="str">
        <x:v>瓦库</x:v>
      </x:c>
      <x:c r="D886" s="2" t="str">
        <x:v>血染玫瑰</x:v>
      </x:c>
      <x:c r="E886" s="16" t="n">
        <x:f>IF(G886=0,I886,IF(G886=1,H886,G886*H886+(1-G886)*I886))</x:f>
        <x:v>0.5578020899999999</x:v>
      </x:c>
      <x:c r="F886" s="12" t="n">
        <x:v>891</x:v>
      </x:c>
      <x:c r="G886" s="11" t="n">
        <x:v>0.2009</x:v>
      </x:c>
      <x:c r="H886" s="11" t="n">
        <x:v>0.5418999999999999</x:v>
      </x:c>
      <x:c r="I886" s="11" t="n">
        <x:v>0.5618</x:v>
      </x:c>
      <x:c r="J886" s="13" t="n">
        <x:f>IF(OR(G886=0,G886=1),"",(H886-I886)*100)</x:f>
        <x:v>-1.9900000000000029</x:v>
      </x:c>
      <x:c r="K886" s="14" t="n">
        <x:v>28.16</x:v>
      </x:c>
      <x:c r="L886" s="15" t="n">
        <x:f>F886*G886</x:f>
        <x:v>179.0019</x:v>
      </x:c>
      <x:c r="M886" s="15" t="n">
        <x:f>F886-L886</x:f>
        <x:v>711.9981</x:v>
      </x:c>
      <x:c r="N886" s="17" t="str"/>
      <x:c r="O886" s="17" t="str">
        <x:v>https://sts2log.com/cards</x:v>
      </x:c>
      <x:c r="P886" s="17" t="str">
        <x:v>https://slaythespire2.net/ancient/vakuu</x:v>
      </x:c>
    </x:row>
    <x:row r="887" ht="25" customHeight="1">
      <x:c r="A887" s="2" t="str">
        <x:v>v0.111</x:v>
      </x:c>
      <x:c r="B887" s="2" t="str">
        <x:v>亡灵契约师</x:v>
      </x:c>
      <x:c r="C887" s="2" t="str">
        <x:v>瓦库</x:v>
      </x:c>
      <x:c r="D887" s="2" t="str">
        <x:v>宝石面具</x:v>
      </x:c>
      <x:c r="E887" s="16" t="n">
        <x:f>IF(G887=0,I887,IF(G887=1,H887,G887*H887+(1-G887)*I887))</x:f>
        <x:v>0.53402255</x:v>
      </x:c>
      <x:c r="F887" s="12" t="n">
        <x:v>661</x:v>
      </x:c>
      <x:c r="G887" s="11" t="n">
        <x:v>0.7277</x:v>
      </x:c>
      <x:c r="H887" s="11" t="n">
        <x:v>0.5426</x:v>
      </x:c>
      <x:c r="I887" s="11" t="n">
        <x:v>0.5111</x:v>
      </x:c>
      <x:c r="J887" s="13" t="n">
        <x:f>IF(OR(G887=0,G887=1),"",(H887-I887)*100)</x:f>
        <x:v>3.1499999999999972</x:v>
      </x:c>
      <x:c r="K887" s="14" t="n">
        <x:v>28.23</x:v>
      </x:c>
      <x:c r="L887" s="15" t="n">
        <x:f>F887*G887</x:f>
        <x:v>481.0097</x:v>
      </x:c>
      <x:c r="M887" s="15" t="n">
        <x:f>F887-L887</x:f>
        <x:v>179.9903</x:v>
      </x:c>
      <x:c r="N887" s="17" t="str"/>
      <x:c r="O887" s="17" t="str">
        <x:v>https://sts2log.com/cards</x:v>
      </x:c>
      <x:c r="P887" s="17" t="str">
        <x:v>https://slaythespire2.net/ancient/vakuu</x:v>
      </x:c>
    </x:row>
    <x:row r="888" ht="42" customHeight="1">
      <x:c r="A888" s="2" t="str">
        <x:v>v0.111</x:v>
      </x:c>
      <x:c r="B888" s="2" t="str">
        <x:v>亡灵契约师</x:v>
      </x:c>
      <x:c r="C888" s="2" t="str">
        <x:v>达弗</x:v>
      </x:c>
      <x:c r="D888" s="2" t="str">
        <x:v>潘多拉魔盒</x:v>
      </x:c>
      <x:c r="E888" s="16" t="n">
        <x:f>IF(G888=0,I888,IF(G888=1,H888,G888*H888+(1-G888)*I888))</x:f>
        <x:v>0.51016095</x:v>
      </x:c>
      <x:c r="F888" s="12" t="n">
        <x:v>541</x:v>
      </x:c>
      <x:c r="G888" s="11" t="n">
        <x:v>0.4307</x:v>
      </x:c>
      <x:c r="H888" s="11" t="n">
        <x:v>0.515</x:v>
      </x:c>
      <x:c r="I888" s="11" t="n">
        <x:v>0.5065</x:v>
      </x:c>
      <x:c r="J888" s="13" t="n">
        <x:f>IF(OR(G888=0,G888=1),"",(H888-I888)*100)</x:f>
        <x:v>0.8500000000000063</x:v>
      </x:c>
      <x:c r="K888" s="14" t="n">
        <x:v>25.47</x:v>
      </x:c>
      <x:c r="L888" s="15" t="n">
        <x:f>F888*G888</x:f>
        <x:v>233.0087</x:v>
      </x:c>
      <x:c r="M888" s="15" t="n">
        <x:f>F888-L888</x:f>
        <x:v>307.9913</x:v>
      </x:c>
      <x:c r="N888" s="17" t="str">
        <x:v>不同幕混合，勿直接解释为纯强度</x:v>
      </x:c>
      <x:c r="O888" s="17" t="str">
        <x:v>https://sts2log.com/cards</x:v>
      </x:c>
      <x:c r="P888" s="17" t="str">
        <x:v>https://slaythespire2.net/ancient/darv</x:v>
      </x:c>
    </x:row>
    <x:row r="889" ht="42" customHeight="1">
      <x:c r="A889" s="2" t="str">
        <x:v>v0.111</x:v>
      </x:c>
      <x:c r="B889" s="2" t="str">
        <x:v>亡灵契约师</x:v>
      </x:c>
      <x:c r="C889" s="2" t="str">
        <x:v>达弗</x:v>
      </x:c>
      <x:c r="D889" s="2" t="str">
        <x:v>星盘</x:v>
      </x:c>
      <x:c r="E889" s="16" t="n">
        <x:f>IF(G889=0,I889,IF(G889=1,H889,G889*H889+(1-G889)*I889))</x:f>
        <x:v>0.50090806</x:v>
      </x:c>
      <x:c r="F889" s="12" t="n">
        <x:v>543</x:v>
      </x:c>
      <x:c r="G889" s="11" t="n">
        <x:v>0.5838</x:v>
      </x:c>
      <x:c r="H889" s="11" t="n">
        <x:v>0.4858</x:v>
      </x:c>
      <x:c r="I889" s="11" t="n">
        <x:v>0.5221</x:v>
      </x:c>
      <x:c r="J889" s="13" t="n">
        <x:f>IF(OR(G889=0,G889=1),"",(H889-I889)*100)</x:f>
        <x:v>-3.63</x:v>
      </x:c>
      <x:c r="K889" s="14" t="n">
        <x:v>22.55</x:v>
      </x:c>
      <x:c r="L889" s="15" t="n">
        <x:f>F889*G889</x:f>
        <x:v>317.0034</x:v>
      </x:c>
      <x:c r="M889" s="15" t="n">
        <x:f>F889-L889</x:f>
        <x:v>225.9966</x:v>
      </x:c>
      <x:c r="N889" s="17" t="str">
        <x:v>不同幕混合，勿直接解释为纯强度</x:v>
      </x:c>
      <x:c r="O889" s="17" t="str">
        <x:v>https://sts2log.com/cards</x:v>
      </x:c>
      <x:c r="P889" s="17" t="str">
        <x:v>https://slaythespire2.net/ancient/darv</x:v>
      </x:c>
    </x:row>
    <x:row r="890" ht="42" customHeight="1">
      <x:c r="A890" s="2" t="str">
        <x:v>v0.111</x:v>
      </x:c>
      <x:c r="B890" s="2" t="str">
        <x:v>亡灵契约师</x:v>
      </x:c>
      <x:c r="C890" s="2" t="str">
        <x:v>达弗</x:v>
      </x:c>
      <x:c r="D890" s="2" t="str">
        <x:v>符文金字塔</x:v>
      </x:c>
      <x:c r="E890" s="16" t="n">
        <x:f>IF(G890=0,I890,IF(G890=1,H890,G890*H890+(1-G890)*I890))</x:f>
        <x:v>0.49910562</x:v>
      </x:c>
      <x:c r="F890" s="12" t="n">
        <x:v>557</x:v>
      </x:c>
      <x:c r="G890" s="11" t="n">
        <x:v>0.4201</x:v>
      </x:c>
      <x:c r="H890" s="11" t="n">
        <x:v>0.5085000000000001</x:v>
      </x:c>
      <x:c r="I890" s="11" t="n">
        <x:v>0.49229999999999996</x:v>
      </x:c>
      <x:c r="J890" s="13" t="n">
        <x:f>IF(OR(G890=0,G890=1),"",(H890-I890)*100)</x:f>
        <x:v>1.6200000000000103</x:v>
      </x:c>
      <x:c r="K890" s="14" t="n">
        <x:v>24.82</x:v>
      </x:c>
      <x:c r="L890" s="15" t="n">
        <x:f>F890*G890</x:f>
        <x:v>233.9957</x:v>
      </x:c>
      <x:c r="M890" s="15" t="n">
        <x:f>F890-L890</x:f>
        <x:v>323.0043</x:v>
      </x:c>
      <x:c r="N890" s="17" t="str">
        <x:v>不同幕混合，勿直接解释为纯强度</x:v>
      </x:c>
      <x:c r="O890" s="17" t="str">
        <x:v>https://sts2log.com/cards</x:v>
      </x:c>
      <x:c r="P890" s="17" t="str">
        <x:v>https://slaythespire2.net/ancient/darv</x:v>
      </x:c>
    </x:row>
    <x:row r="891" ht="42" customHeight="1">
      <x:c r="A891" s="2" t="str">
        <x:v>v0.111</x:v>
      </x:c>
      <x:c r="B891" s="2" t="str">
        <x:v>亡灵契约师</x:v>
      </x:c>
      <x:c r="C891" s="2" t="str">
        <x:v>达弗</x:v>
      </x:c>
      <x:c r="D891" s="2" t="str">
        <x:v>异蛇之眼</x:v>
      </x:c>
      <x:c r="E891" s="16" t="n">
        <x:f>IF(G891=0,I891,IF(G891=1,H891,G891*H891+(1-G891)*I891))</x:f>
        <x:v>0.49674699</x:v>
      </x:c>
      <x:c r="F891" s="12" t="n">
        <x:v>610</x:v>
      </x:c>
      <x:c r="G891" s="11" t="n">
        <x:v>0.0639</x:v>
      </x:c>
      <x:c r="H891" s="11" t="n">
        <x:v>0.6409999999999999</x:v>
      </x:c>
      <x:c r="I891" s="11" t="n">
        <x:v>0.4869</x:v>
      </x:c>
      <x:c r="J891" s="13" t="n">
        <x:f>IF(OR(G891=0,G891=1),"",(H891-I891)*100)</x:f>
        <x:v>15.40999999999999</x:v>
      </x:c>
      <x:c r="K891" s="14" t="n">
        <x:v>38.07</x:v>
      </x:c>
      <x:c r="L891" s="15" t="n">
        <x:f>F891*G891</x:f>
        <x:v>38.979</x:v>
      </x:c>
      <x:c r="M891" s="15" t="n">
        <x:f>F891-L891</x:f>
        <x:v>571.021</x:v>
      </x:c>
      <x:c r="N891" s="17" t="str">
        <x:v>不同幕混合，勿直接解释为纯强度</x:v>
      </x:c>
      <x:c r="O891" s="17" t="str">
        <x:v>https://sts2log.com/cards</x:v>
      </x:c>
      <x:c r="P891" s="17" t="str">
        <x:v>https://slaythespire2.net/ancient/darv</x:v>
      </x:c>
    </x:row>
    <x:row r="892" ht="42" customHeight="1">
      <x:c r="A892" s="2" t="str">
        <x:v>v0.111</x:v>
      </x:c>
      <x:c r="B892" s="2" t="str">
        <x:v>亡灵契约师</x:v>
      </x:c>
      <x:c r="C892" s="2" t="str">
        <x:v>达弗</x:v>
      </x:c>
      <x:c r="D892" s="2" t="str">
        <x:v>贤者之石</x:v>
      </x:c>
      <x:c r="E892" s="16" t="n">
        <x:f>IF(G892=0,I892,IF(G892=1,H892,G892*H892+(1-G892)*I892))</x:f>
        <x:v>0.48842343999999993</x:v>
      </x:c>
      <x:c r="F892" s="12" t="n">
        <x:v>563</x:v>
      </x:c>
      <x:c r="G892" s="11" t="n">
        <x:v>0.3037</x:v>
      </x:c>
      <x:c r="H892" s="11" t="n">
        <x:v>0.5379999999999999</x:v>
      </x:c>
      <x:c r="I892" s="11" t="n">
        <x:v>0.4668</x:v>
      </x:c>
      <x:c r="J892" s="13" t="n">
        <x:f>IF(OR(G892=0,G892=1),"",(H892-I892)*100)</x:f>
        <x:v>7.119999999999993</x:v>
      </x:c>
      <x:c r="K892" s="14" t="n">
        <x:v>27.77</x:v>
      </x:c>
      <x:c r="L892" s="15" t="n">
        <x:f>F892*G892</x:f>
        <x:v>170.9831</x:v>
      </x:c>
      <x:c r="M892" s="15" t="n">
        <x:f>F892-L892</x:f>
        <x:v>392.01689999999996</x:v>
      </x:c>
      <x:c r="N892" s="17" t="str">
        <x:v>不同幕混合，勿直接解释为纯强度</x:v>
      </x:c>
      <x:c r="O892" s="17" t="str">
        <x:v>https://sts2log.com/cards</x:v>
      </x:c>
      <x:c r="P892" s="17" t="str">
        <x:v>https://op.gg/zh-cn/slay-the-spire2/events/Darv</x:v>
      </x:c>
    </x:row>
    <x:row r="893" ht="42" customHeight="1">
      <x:c r="A893" s="2" t="str">
        <x:v>v0.111</x:v>
      </x:c>
      <x:c r="B893" s="2" t="str">
        <x:v>亡灵契约师</x:v>
      </x:c>
      <x:c r="C893" s="2" t="str">
        <x:v>达弗</x:v>
      </x:c>
      <x:c r="D893" s="2" t="str">
        <x:v>黑星</x:v>
      </x:c>
      <x:c r="E893" s="16" t="n">
        <x:f>IF(G893=0,I893,IF(G893=1,H893,G893*H893+(1-G893)*I893))</x:f>
        <x:v>0.4813358</x:v>
      </x:c>
      <x:c r="F893" s="12" t="n">
        <x:v>536</x:v>
      </x:c>
      <x:c r="G893" s="11" t="n">
        <x:v>0.166</x:v>
      </x:c>
      <x:c r="H893" s="11" t="n">
        <x:v>0.4157</x:v>
      </x:c>
      <x:c r="I893" s="11" t="n">
        <x:v>0.49439999999999995</x:v>
      </x:c>
      <x:c r="J893" s="13" t="n">
        <x:f>IF(OR(G893=0,G893=1),"",(H893-I893)*100)</x:f>
        <x:v>-7.869999999999994</x:v>
      </x:c>
      <x:c r="K893" s="14" t="n">
        <x:v>15.54</x:v>
      </x:c>
      <x:c r="L893" s="15" t="n">
        <x:f>F893*G893</x:f>
        <x:v>88.976</x:v>
      </x:c>
      <x:c r="M893" s="15" t="n">
        <x:f>F893-L893</x:f>
        <x:v>447.024</x:v>
      </x:c>
      <x:c r="N893" s="17" t="str">
        <x:v>不同幕混合，勿直接解释为纯强度</x:v>
      </x:c>
      <x:c r="O893" s="17" t="str">
        <x:v>https://sts2log.com/cards</x:v>
      </x:c>
      <x:c r="P893" s="17" t="str">
        <x:v>https://slaythespire2.net/ancient/darv</x:v>
      </x:c>
    </x:row>
    <x:row r="894" ht="42" customHeight="1">
      <x:c r="A894" s="2" t="str">
        <x:v>v0.111</x:v>
      </x:c>
      <x:c r="B894" s="2" t="str">
        <x:v>亡灵契约师</x:v>
      </x:c>
      <x:c r="C894" s="2" t="str">
        <x:v>达弗</x:v>
      </x:c>
      <x:c r="D894" s="2" t="str">
        <x:v>尘封魔典</x:v>
      </x:c>
      <x:c r="E894" s="16" t="n">
        <x:f>IF(G894=0,I894,IF(G894=1,H894,G894*H894+(1-G894)*I894))</x:f>
        <x:v>0.47514</x:v>
      </x:c>
      <x:c r="F894" s="12" t="n">
        <x:v>1208</x:v>
      </x:c>
      <x:c r="G894" s="11" t="n">
        <x:v>0.6912</x:v>
      </x:c>
      <x:c r="H894" s="11" t="n">
        <x:v>0.479</x:v>
      </x:c>
      <x:c r="I894" s="11" t="n">
        <x:v>0.46649999999999997</x:v>
      </x:c>
      <x:c r="J894" s="13" t="n">
        <x:f>IF(OR(G894=0,G894=1),"",(H894-I894)*100)</x:f>
        <x:v>1.250000000000001</x:v>
      </x:c>
      <x:c r="K894" s="14" t="n">
        <x:v>21.87</x:v>
      </x:c>
      <x:c r="L894" s="15" t="n">
        <x:f>F894*G894</x:f>
        <x:v>834.9696</x:v>
      </x:c>
      <x:c r="M894" s="15" t="n">
        <x:f>F894-L894</x:f>
        <x:v>373.0304</x:v>
      </x:c>
      <x:c r="N894" s="17" t="str">
        <x:v>不同幕混合，勿直接解释为纯强度</x:v>
      </x:c>
      <x:c r="O894" s="17" t="str">
        <x:v>https://sts2log.com/cards</x:v>
      </x:c>
      <x:c r="P894" s="17" t="str">
        <x:v>https://slaythespire2.net/ancient/darv</x:v>
      </x:c>
    </x:row>
    <x:row r="895" ht="42" customHeight="1">
      <x:c r="A895" s="2" t="str">
        <x:v>v0.111</x:v>
      </x:c>
      <x:c r="B895" s="2" t="str">
        <x:v>亡灵契约师</x:v>
      </x:c>
      <x:c r="C895" s="2" t="str">
        <x:v>达弗</x:v>
      </x:c>
      <x:c r="D895" s="2" t="str">
        <x:v>召唤铃铛</x:v>
      </x:c>
      <x:c r="E895" s="16" t="n">
        <x:f>IF(G895=0,I895,IF(G895=1,H895,G895*H895+(1-G895)*I895))</x:f>
        <x:v>0.46740478</x:v>
      </x:c>
      <x:c r="F895" s="12" t="n">
        <x:v>537</x:v>
      </x:c>
      <x:c r="G895" s="11" t="n">
        <x:v>0.2402</x:v>
      </x:c>
      <x:c r="H895" s="11" t="n">
        <x:v>0.3488</x:v>
      </x:c>
      <x:c r="I895" s="11" t="n">
        <x:v>0.5049</x:v>
      </x:c>
      <x:c r="J895" s="13" t="n">
        <x:f>IF(OR(G895=0,G895=1),"",(H895-I895)*100)</x:f>
        <x:v>-15.610000000000001</x:v>
      </x:c>
      <x:c r="K895" s="14" t="n">
        <x:v>8.85</x:v>
      </x:c>
      <x:c r="L895" s="15" t="n">
        <x:f>F895*G895</x:f>
        <x:v>128.9874</x:v>
      </x:c>
      <x:c r="M895" s="15" t="n">
        <x:f>F895-L895</x:f>
        <x:v>408.0126</x:v>
      </x:c>
      <x:c r="N895" s="17" t="str">
        <x:v>不同幕混合，勿直接解释为纯强度</x:v>
      </x:c>
      <x:c r="O895" s="17" t="str">
        <x:v>https://sts2log.com/cards</x:v>
      </x:c>
      <x:c r="P895" s="17" t="str">
        <x:v>https://slaythespire2.net/ancient/darv</x:v>
      </x:c>
    </x:row>
    <x:row r="896" ht="42" customHeight="1">
      <x:c r="A896" s="2" t="str">
        <x:v>v0.111</x:v>
      </x:c>
      <x:c r="B896" s="2" t="str">
        <x:v>亡灵契约师</x:v>
      </x:c>
      <x:c r="C896" s="2" t="str">
        <x:v>达弗</x:v>
      </x:c>
      <x:c r="D896" s="2" t="str">
        <x:v>添水</x:v>
      </x:c>
      <x:c r="E896" s="16" t="n">
        <x:f>IF(G896=0,I896,IF(G896=1,H896,G896*H896+(1-G896)*I896))</x:f>
        <x:v>0.46550404</x:v>
      </x:c>
      <x:c r="F896" s="12" t="n">
        <x:v>406</x:v>
      </x:c>
      <x:c r="G896" s="11" t="n">
        <x:v>0.1108</x:v>
      </x:c>
      <x:c r="H896" s="11" t="n">
        <x:v>0.42219999999999996</x:v>
      </x:c>
      <x:c r="I896" s="11" t="n">
        <x:v>0.47090000000000004</x:v>
      </x:c>
      <x:c r="J896" s="13" t="n">
        <x:f>IF(OR(G896=0,G896=1),"",(H896-I896)*100)</x:f>
        <x:v>-4.870000000000008</x:v>
      </x:c>
      <x:c r="K896" s="14" t="n">
        <x:v>16.19</x:v>
      </x:c>
      <x:c r="L896" s="15" t="n">
        <x:f>F896*G896</x:f>
        <x:v>44.9848</x:v>
      </x:c>
      <x:c r="M896" s="15" t="n">
        <x:f>F896-L896</x:f>
        <x:v>361.0152</x:v>
      </x:c>
      <x:c r="N896" s="17" t="str">
        <x:v>不同幕混合，勿直接解释为纯强度</x:v>
      </x:c>
      <x:c r="O896" s="17" t="str">
        <x:v>https://sts2log.com/cards</x:v>
      </x:c>
      <x:c r="P896" s="17" t="str">
        <x:v>https://op.gg/zh-cn/slay-the-spire2/events/Darv</x:v>
      </x:c>
    </x:row>
    <x:row r="897" ht="42" customHeight="1">
      <x:c r="A897" s="2" t="str">
        <x:v>v0.111</x:v>
      </x:c>
      <x:c r="B897" s="2" t="str">
        <x:v>亡灵契约师</x:v>
      </x:c>
      <x:c r="C897" s="2" t="str">
        <x:v>达弗</x:v>
      </x:c>
      <x:c r="D897" s="2" t="str">
        <x:v>空鸟笼</x:v>
      </x:c>
      <x:c r="E897" s="16" t="n">
        <x:f>IF(G897=0,I897,IF(G897=1,H897,G897*H897+(1-G897)*I897))</x:f>
        <x:v>0.44729992</x:v>
      </x:c>
      <x:c r="F897" s="12" t="n">
        <x:v>579</x:v>
      </x:c>
      <x:c r="G897" s="11" t="n">
        <x:v>0.3368</x:v>
      </x:c>
      <x:c r="H897" s="11" t="n">
        <x:v>0.4154</x:v>
      </x:c>
      <x:c r="I897" s="11" t="n">
        <x:v>0.4635</x:v>
      </x:c>
      <x:c r="J897" s="13" t="n">
        <x:f>IF(OR(G897=0,G897=1),"",(H897-I897)*100)</x:f>
        <x:v>-4.810000000000003</x:v>
      </x:c>
      <x:c r="K897" s="14" t="n">
        <x:v>15.51</x:v>
      </x:c>
      <x:c r="L897" s="15" t="n">
        <x:f>F897*G897</x:f>
        <x:v>195.00719999999998</x:v>
      </x:c>
      <x:c r="M897" s="15" t="n">
        <x:f>F897-L897</x:f>
        <x:v>383.9928</x:v>
      </x:c>
      <x:c r="N897" s="17" t="str">
        <x:v>不同幕混合，勿直接解释为纯强度</x:v>
      </x:c>
      <x:c r="O897" s="17" t="str">
        <x:v>https://sts2log.com/cards</x:v>
      </x:c>
      <x:c r="P897" s="17" t="str">
        <x:v>https://slaythespire2.net/ancient/darv</x:v>
      </x:c>
    </x:row>
    <x:row r="898" ht="42" customHeight="1">
      <x:c r="A898" s="2" t="str">
        <x:v>v0.111</x:v>
      </x:c>
      <x:c r="B898" s="2" t="str">
        <x:v>亡灵契约师</x:v>
      </x:c>
      <x:c r="C898" s="2" t="str">
        <x:v>达弗</x:v>
      </x:c>
      <x:c r="D898" s="2" t="str">
        <x:v>天鹅绒颈圈</x:v>
      </x:c>
      <x:c r="E898" s="16" t="n">
        <x:f>IF(G898=0,I898,IF(G898=1,H898,G898*H898+(1-G898)*I898))</x:f>
        <x:v>0.44260489999999997</x:v>
      </x:c>
      <x:c r="F898" s="12" t="n">
        <x:v>549</x:v>
      </x:c>
      <x:c r="G898" s="11" t="n">
        <x:v>0.051</x:v>
      </x:c>
      <x:c r="H898" s="11" t="n">
        <x:v>0.35710000000000003</x:v>
      </x:c>
      <x:c r="I898" s="11" t="n">
        <x:v>0.4472</x:v>
      </x:c>
      <x:c r="J898" s="13" t="n">
        <x:f>IF(OR(G898=0,G898=1),"",(H898-I898)*100)</x:f>
        <x:v>-9.009999999999996</x:v>
      </x:c>
      <x:c r="K898" s="14" t="n">
        <x:v>9.68</x:v>
      </x:c>
      <x:c r="L898" s="15" t="n">
        <x:f>F898*G898</x:f>
        <x:v>27.999</x:v>
      </x:c>
      <x:c r="M898" s="15" t="n">
        <x:f>F898-L898</x:f>
        <x:v>521.001</x:v>
      </x:c>
      <x:c r="N898" s="17" t="str">
        <x:v>不同幕混合，勿直接解释为纯强度</x:v>
      </x:c>
      <x:c r="O898" s="17" t="str">
        <x:v>https://sts2log.com/cards</x:v>
      </x:c>
      <x:c r="P898" s="17" t="str">
        <x:v>https://op.gg/zh-cn/slay-the-spire2/events/Darv</x:v>
      </x:c>
    </x:row>
    <x:row r="899" ht="42" customHeight="1">
      <x:c r="A899" s="2" t="str">
        <x:v>v0.111</x:v>
      </x:c>
      <x:c r="B899" s="2" t="str">
        <x:v>亡灵契约师</x:v>
      </x:c>
      <x:c r="C899" s="2" t="str">
        <x:v>达弗</x:v>
      </x:c>
      <x:c r="D899" s="2" t="str">
        <x:v>灵体外质</x:v>
      </x:c>
      <x:c r="E899" s="16" t="n">
        <x:f>IF(G899=0,I899,IF(G899=1,H899,G899*H899+(1-G899)*I899))</x:f>
        <x:v>0.4112873</x:v>
      </x:c>
      <x:c r="F899" s="12" t="n">
        <x:v>406</x:v>
      </x:c>
      <x:c r="G899" s="11" t="n">
        <x:v>0.0665</x:v>
      </x:c>
      <x:c r="H899" s="11" t="n">
        <x:v>0.3704</x:v>
      </x:c>
      <x:c r="I899" s="11" t="n">
        <x:v>0.4142</x:v>
      </x:c>
      <x:c r="J899" s="13" t="n">
        <x:f>IF(OR(G899=0,G899=1),"",(H899-I899)*100)</x:f>
        <x:v>-4.380000000000001</x:v>
      </x:c>
      <x:c r="K899" s="14" t="n">
        <x:v>11.01</x:v>
      </x:c>
      <x:c r="L899" s="15" t="n">
        <x:f>F899*G899</x:f>
        <x:v>26.999000000000002</x:v>
      </x:c>
      <x:c r="M899" s="15" t="n">
        <x:f>F899-L899</x:f>
        <x:v>379.001</x:v>
      </x:c>
      <x:c r="N899" s="17" t="str">
        <x:v>不同幕混合，勿直接解释为纯强度</x:v>
      </x:c>
      <x:c r="O899" s="17" t="str">
        <x:v>https://sts2log.com/cards</x:v>
      </x:c>
      <x:c r="P899" s="17" t="str">
        <x:v>https://op.gg/zh-cn/slay-the-spire2/events/Darv</x:v>
      </x:c>
    </x:row>
    <x:row r="900" ht="25" customHeight="1">
      <x:c r="A900" s="2" t="str">
        <x:v>v0.111</x:v>
      </x:c>
      <x:c r="B900" s="2" t="str">
        <x:v>储君</x:v>
      </x:c>
      <x:c r="C900" s="2" t="str">
        <x:v>涅奥</x:v>
      </x:c>
      <x:c r="D900" s="2" t="str">
        <x:v>巨大扭蛋</x:v>
      </x:c>
      <x:c r="E900" s="16" t="n">
        <x:f>IF(G900=0,I900,IF(G900=1,H900,G900*H900+(1-G900)*I900))</x:f>
        <x:v>0.31977365</x:v>
      </x:c>
      <x:c r="F900" s="12" t="n">
        <x:v>2452</x:v>
      </x:c>
      <x:c r="G900" s="11" t="n">
        <x:v>0.2957</x:v>
      </x:c>
      <x:c r="H900" s="11" t="n">
        <x:v>0.3159</x:v>
      </x:c>
      <x:c r="I900" s="11" t="n">
        <x:v>0.3214</x:v>
      </x:c>
      <x:c r="J900" s="13" t="n">
        <x:f>IF(OR(G900=0,G900=1),"",(H900-I900)*100)</x:f>
        <x:v>-0.5500000000000005</x:v>
      </x:c>
      <x:c r="K900" s="14" t="n">
        <x:v>2.73</x:v>
      </x:c>
      <x:c r="L900" s="15" t="n">
        <x:f>F900*G900</x:f>
        <x:v>725.0564</x:v>
      </x:c>
      <x:c r="M900" s="15" t="n">
        <x:f>F900-L900</x:f>
        <x:v>1726.9436</x:v>
      </x:c>
      <x:c r="N900" s="17" t="str"/>
      <x:c r="O900" s="17" t="str">
        <x:v>https://sts2log.com/cards</x:v>
      </x:c>
      <x:c r="P900" s="17" t="str">
        <x:v>https://slaythespire2.net/ancient/neow</x:v>
      </x:c>
    </x:row>
    <x:row r="901" ht="25" customHeight="1">
      <x:c r="A901" s="2" t="str">
        <x:v>v0.111</x:v>
      </x:c>
      <x:c r="B901" s="2" t="str">
        <x:v>储君</x:v>
      </x:c>
      <x:c r="C901" s="2" t="str">
        <x:v>涅奥</x:v>
      </x:c>
      <x:c r="D901" s="2" t="str">
        <x:v>小型扭蛋</x:v>
      </x:c>
      <x:c r="E901" s="16" t="n">
        <x:f>IF(G901=0,I901,IF(G901=1,H901,G901*H901+(1-G901)*I901))</x:f>
        <x:v>0.30723988</x:v>
      </x:c>
      <x:c r="F901" s="12" t="n">
        <x:v>1611</x:v>
      </x:c>
      <x:c r="G901" s="11" t="n">
        <x:v>0.2849</x:v>
      </x:c>
      <x:c r="H901" s="11" t="n">
        <x:v>0.3224</x:v>
      </x:c>
      <x:c r="I901" s="11" t="n">
        <x:v>0.3012</x:v>
      </x:c>
      <x:c r="J901" s="13" t="n">
        <x:f>IF(OR(G901=0,G901=1),"",(H901-I901)*100)</x:f>
        <x:v>2.1199999999999997</x:v>
      </x:c>
      <x:c r="K901" s="14" t="n">
        <x:v>3.38</x:v>
      </x:c>
      <x:c r="L901" s="15" t="n">
        <x:f>F901*G901</x:f>
        <x:v>458.97389999999996</x:v>
      </x:c>
      <x:c r="M901" s="15" t="n">
        <x:f>F901-L901</x:f>
        <x:v>1152.0261</x:v>
      </x:c>
      <x:c r="N901" s="17" t="str"/>
      <x:c r="O901" s="17" t="str">
        <x:v>https://sts2log.com/cards</x:v>
      </x:c>
      <x:c r="P901" s="17" t="str">
        <x:v>https://slaythespire2.net/ancient/neow</x:v>
      </x:c>
    </x:row>
    <x:row r="902" ht="25" customHeight="1">
      <x:c r="A902" s="2" t="str">
        <x:v>v0.111</x:v>
      </x:c>
      <x:c r="B902" s="2" t="str">
        <x:v>储君</x:v>
      </x:c>
      <x:c r="C902" s="2" t="str">
        <x:v>涅奥</x:v>
      </x:c>
      <x:c r="D902" s="2" t="str">
        <x:v>营养牡蛎</x:v>
      </x:c>
      <x:c r="E902" s="16" t="n">
        <x:f>IF(G902=0,I902,IF(G902=1,H902,G902*H902+(1-G902)*I902))</x:f>
        <x:v>0.30436379999999996</x:v>
      </x:c>
      <x:c r="F902" s="12" t="n">
        <x:v>1682</x:v>
      </x:c>
      <x:c r="G902" s="11" t="n">
        <x:v>0.0874</x:v>
      </x:c>
      <x:c r="H902" s="11" t="n">
        <x:v>0.2925</x:v>
      </x:c>
      <x:c r="I902" s="11" t="n">
        <x:v>0.3055</x:v>
      </x:c>
      <x:c r="J902" s="13" t="n">
        <x:f>IF(OR(G902=0,G902=1),"",(H902-I902)*100)</x:f>
        <x:v>-1.3000000000000012</x:v>
      </x:c>
      <x:c r="K902" s="14" t="n">
        <x:v>0.39</x:v>
      </x:c>
      <x:c r="L902" s="15" t="n">
        <x:f>F902*G902</x:f>
        <x:v>147.0068</x:v>
      </x:c>
      <x:c r="M902" s="15" t="n">
        <x:f>F902-L902</x:f>
        <x:v>1534.9932</x:v>
      </x:c>
      <x:c r="N902" s="17" t="str"/>
      <x:c r="O902" s="17" t="str">
        <x:v>https://sts2log.com/cards</x:v>
      </x:c>
      <x:c r="P902" s="17" t="str">
        <x:v>https://slaythespire2.net/ancient/neow</x:v>
      </x:c>
    </x:row>
    <x:row r="903" ht="25" customHeight="1">
      <x:c r="A903" s="2" t="str">
        <x:v>v0.111</x:v>
      </x:c>
      <x:c r="B903" s="2" t="str">
        <x:v>储君</x:v>
      </x:c>
      <x:c r="C903" s="2" t="str">
        <x:v>涅奥</x:v>
      </x:c>
      <x:c r="D903" s="2" t="str">
        <x:v>松动羊毛剪</x:v>
      </x:c>
      <x:c r="E903" s="16" t="n">
        <x:f>IF(G903=0,I903,IF(G903=1,H903,G903*H903+(1-G903)*I903))</x:f>
        <x:v>0.29981631</x:v>
      </x:c>
      <x:c r="F903" s="12" t="n">
        <x:v>2495</x:v>
      </x:c>
      <x:c r="G903" s="11" t="n">
        <x:v>0.3567</x:v>
      </x:c>
      <x:c r="H903" s="11" t="n">
        <x:v>0.2865</x:v>
      </x:c>
      <x:c r="I903" s="11" t="n">
        <x:v>0.3072</x:v>
      </x:c>
      <x:c r="J903" s="13" t="n">
        <x:f>IF(OR(G903=0,G903=1),"",(H903-I903)*100)</x:f>
        <x:v>-2.0699999999999994</x:v>
      </x:c>
      <x:c r="K903" s="14" t="n">
        <x:v>-0.21</x:v>
      </x:c>
      <x:c r="L903" s="15" t="n">
        <x:f>F903*G903</x:f>
        <x:v>889.9665</x:v>
      </x:c>
      <x:c r="M903" s="15" t="n">
        <x:f>F903-L903</x:f>
        <x:v>1605.0335</x:v>
      </x:c>
      <x:c r="N903" s="17" t="str"/>
      <x:c r="O903" s="17" t="str">
        <x:v>https://sts2log.com/cards</x:v>
      </x:c>
      <x:c r="P903" s="17" t="str">
        <x:v>https://slaythespire2.net/ancient/neow</x:v>
      </x:c>
    </x:row>
    <x:row r="904" ht="25" customHeight="1">
      <x:c r="A904" s="2" t="str">
        <x:v>v0.111</x:v>
      </x:c>
      <x:c r="B904" s="2" t="str">
        <x:v>储君</x:v>
      </x:c>
      <x:c r="C904" s="2" t="str">
        <x:v>涅奥</x:v>
      </x:c>
      <x:c r="D904" s="2" t="str">
        <x:v>钓鱼竿</x:v>
      </x:c>
      <x:c r="E904" s="16" t="n">
        <x:f>IF(G904=0,I904,IF(G904=1,H904,G904*H904+(1-G904)*I904))</x:f>
        <x:v>0.29951927999999994</x:v>
      </x:c>
      <x:c r="F904" s="12" t="n">
        <x:v>3415</x:v>
      </x:c>
      <x:c r="G904" s="11" t="n">
        <x:v>0.1602</x:v>
      </x:c>
      <x:c r="H904" s="11" t="n">
        <x:v>0.2797</x:v>
      </x:c>
      <x:c r="I904" s="11" t="n">
        <x:v>0.30329999999999996</x:v>
      </x:c>
      <x:c r="J904" s="13" t="n">
        <x:f>IF(OR(G904=0,G904=1),"",(H904-I904)*100)</x:f>
        <x:v>-2.3599999999999954</x:v>
      </x:c>
      <x:c r="K904" s="14" t="n">
        <x:v>-0.89</x:v>
      </x:c>
      <x:c r="L904" s="15" t="n">
        <x:f>F904*G904</x:f>
        <x:v>547.0830000000001</x:v>
      </x:c>
      <x:c r="M904" s="15" t="n">
        <x:f>F904-L904</x:f>
        <x:v>2867.917</x:v>
      </x:c>
      <x:c r="N904" s="17" t="str"/>
      <x:c r="O904" s="17" t="str">
        <x:v>https://sts2log.com/cards</x:v>
      </x:c>
      <x:c r="P904" s="17" t="str">
        <x:v>https://slaythespire2.net/ancient/neow</x:v>
      </x:c>
    </x:row>
    <x:row r="905" ht="25" customHeight="1">
      <x:c r="A905" s="2" t="str">
        <x:v>v0.111</x:v>
      </x:c>
      <x:c r="B905" s="2" t="str">
        <x:v>储君</x:v>
      </x:c>
      <x:c r="C905" s="2" t="str">
        <x:v>涅奥</x:v>
      </x:c>
      <x:c r="D905" s="2" t="str">
        <x:v>涅奥的牺牲</x:v>
      </x:c>
      <x:c r="E905" s="16" t="n">
        <x:f>IF(G905=0,I905,IF(G905=1,H905,G905*H905+(1-G905)*I905))</x:f>
        <x:v>0.29787208</x:v>
      </x:c>
      <x:c r="F905" s="12" t="n">
        <x:v>2343</x:v>
      </x:c>
      <x:c r="G905" s="11" t="n">
        <x:v>0.1592</x:v>
      </x:c>
      <x:c r="H905" s="11" t="n">
        <x:v>0.4155</x:v>
      </x:c>
      <x:c r="I905" s="11" t="n">
        <x:v>0.2756</x:v>
      </x:c>
      <x:c r="J905" s="13" t="n">
        <x:f>IF(OR(G905=0,G905=1),"",(H905-I905)*100)</x:f>
        <x:v>13.989999999999997</x:v>
      </x:c>
      <x:c r="K905" s="14" t="n">
        <x:v>12.69</x:v>
      </x:c>
      <x:c r="L905" s="15" t="n">
        <x:f>F905*G905</x:f>
        <x:v>373.0056</x:v>
      </x:c>
      <x:c r="M905" s="15" t="n">
        <x:f>F905-L905</x:f>
        <x:v>1969.9944</x:v>
      </x:c>
      <x:c r="N905" s="17" t="str"/>
      <x:c r="O905" s="17" t="str">
        <x:v>https://sts2log.com/cards</x:v>
      </x:c>
      <x:c r="P905" s="17" t="str">
        <x:v>https://op.gg/zh-cn/slay-the-spire2/events/Neow</x:v>
      </x:c>
    </x:row>
    <x:row r="906" ht="25" customHeight="1">
      <x:c r="A906" s="2" t="str">
        <x:v>v0.111</x:v>
      </x:c>
      <x:c r="B906" s="2" t="str">
        <x:v>储君</x:v>
      </x:c>
      <x:c r="C906" s="2" t="str">
        <x:v>涅奥</x:v>
      </x:c>
      <x:c r="D906" s="2" t="str">
        <x:v>新叶</x:v>
      </x:c>
      <x:c r="E906" s="16" t="n">
        <x:f>IF(G906=0,I906,IF(G906=1,H906,G906*H906+(1-G906)*I906))</x:f>
        <x:v>0.29746676</x:v>
      </x:c>
      <x:c r="F906" s="12" t="n">
        <x:v>3076</x:v>
      </x:c>
      <x:c r="G906" s="11" t="n">
        <x:v>0.4174</x:v>
      </x:c>
      <x:c r="H906" s="11" t="n">
        <x:v>0.2843</x:v>
      </x:c>
      <x:c r="I906" s="11" t="n">
        <x:v>0.3069</x:v>
      </x:c>
      <x:c r="J906" s="13" t="n">
        <x:f>IF(OR(G906=0,G906=1),"",(H906-I906)*100)</x:f>
        <x:v>-2.2600000000000007</x:v>
      </x:c>
      <x:c r="K906" s="14" t="n">
        <x:v>-0.43</x:v>
      </x:c>
      <x:c r="L906" s="15" t="n">
        <x:f>F906*G906</x:f>
        <x:v>1283.9224</x:v>
      </x:c>
      <x:c r="M906" s="15" t="n">
        <x:f>F906-L906</x:f>
        <x:v>1792.0776</x:v>
      </x:c>
      <x:c r="N906" s="17" t="str"/>
      <x:c r="O906" s="17" t="str">
        <x:v>https://sts2log.com/cards</x:v>
      </x:c>
      <x:c r="P906" s="17" t="str">
        <x:v>https://slaythespire2.net/ancient/neow</x:v>
      </x:c>
    </x:row>
    <x:row r="907" ht="25" customHeight="1">
      <x:c r="A907" s="2" t="str">
        <x:v>v0.111</x:v>
      </x:c>
      <x:c r="B907" s="2" t="str">
        <x:v>储君</x:v>
      </x:c>
      <x:c r="C907" s="2" t="str">
        <x:v>涅奥</x:v>
      </x:c>
      <x:c r="D907" s="2" t="str">
        <x:v>轰鸣海螺</x:v>
      </x:c>
      <x:c r="E907" s="16" t="n">
        <x:f>IF(G907=0,I907,IF(G907=1,H907,G907*H907+(1-G907)*I907))</x:f>
        <x:v>0.29657004</x:v>
      </x:c>
      <x:c r="F907" s="12" t="n">
        <x:v>3308</x:v>
      </x:c>
      <x:c r="G907" s="11" t="n">
        <x:v>0.19140000000000001</x:v>
      </x:c>
      <x:c r="H907" s="11" t="n">
        <x:v>0.4329</x:v>
      </x:c>
      <x:c r="I907" s="11" t="n">
        <x:v>0.2643</x:v>
      </x:c>
      <x:c r="J907" s="13" t="n">
        <x:f>IF(OR(G907=0,G907=1),"",(H907-I907)*100)</x:f>
        <x:v>16.860000000000003</x:v>
      </x:c>
      <x:c r="K907" s="14" t="n">
        <x:v>14.43</x:v>
      </x:c>
      <x:c r="L907" s="15" t="n">
        <x:f>F907*G907</x:f>
        <x:v>633.1512</x:v>
      </x:c>
      <x:c r="M907" s="15" t="n">
        <x:f>F907-L907</x:f>
        <x:v>2674.8487999999998</x:v>
      </x:c>
      <x:c r="N907" s="17" t="str"/>
      <x:c r="O907" s="17" t="str">
        <x:v>https://sts2log.com/cards</x:v>
      </x:c>
      <x:c r="P907" s="17" t="str">
        <x:v>https://slaythespire2.net/ancient/neow</x:v>
      </x:c>
    </x:row>
    <x:row r="908" ht="25" customHeight="1">
      <x:c r="A908" s="2" t="str">
        <x:v>v0.111</x:v>
      </x:c>
      <x:c r="B908" s="2" t="str">
        <x:v>储君</x:v>
      </x:c>
      <x:c r="C908" s="2" t="str">
        <x:v>涅奥</x:v>
      </x:c>
      <x:c r="D908" s="2" t="str">
        <x:v>涅奥的苦痛</x:v>
      </x:c>
      <x:c r="E908" s="16" t="n">
        <x:f>IF(G908=0,I908,IF(G908=1,H908,G908*H908+(1-G908)*I908))</x:f>
        <x:v>0.29552274999999995</x:v>
      </x:c>
      <x:c r="F908" s="12" t="n">
        <x:v>3275</x:v>
      </x:c>
      <x:c r="G908" s="11" t="n">
        <x:v>0.1285</x:v>
      </x:c>
      <x:c r="H908" s="11" t="n">
        <x:v>0.4537</x:v>
      </x:c>
      <x:c r="I908" s="11" t="n">
        <x:v>0.2722</x:v>
      </x:c>
      <x:c r="J908" s="13" t="n">
        <x:f>IF(OR(G908=0,G908=1),"",(H908-I908)*100)</x:f>
        <x:v>18.15</x:v>
      </x:c>
      <x:c r="K908" s="14" t="n">
        <x:v>16.51</x:v>
      </x:c>
      <x:c r="L908" s="15" t="n">
        <x:f>F908*G908</x:f>
        <x:v>420.83750000000003</x:v>
      </x:c>
      <x:c r="M908" s="15" t="n">
        <x:f>F908-L908</x:f>
        <x:v>2854.1625</x:v>
      </x:c>
      <x:c r="N908" s="17" t="str"/>
      <x:c r="O908" s="17" t="str">
        <x:v>https://sts2log.com/cards</x:v>
      </x:c>
      <x:c r="P908" s="17" t="str">
        <x:v>https://slaythespire2.net/ancient/neow</x:v>
      </x:c>
    </x:row>
    <x:row r="909" ht="25" customHeight="1">
      <x:c r="A909" s="2" t="str">
        <x:v>v0.111</x:v>
      </x:c>
      <x:c r="B909" s="2" t="str">
        <x:v>储君</x:v>
      </x:c>
      <x:c r="C909" s="2" t="str">
        <x:v>涅奥</x:v>
      </x:c>
      <x:c r="D909" s="2" t="str">
        <x:v>万花筒</x:v>
      </x:c>
      <x:c r="E909" s="16" t="n">
        <x:f>IF(G909=0,I909,IF(G909=1,H909,G909*H909+(1-G909)*I909))</x:f>
        <x:v>0.29389508999999997</x:v>
      </x:c>
      <x:c r="F909" s="12" t="n">
        <x:v>3284</x:v>
      </x:c>
      <x:c r="G909" s="11" t="n">
        <x:v>0.3139</x:v>
      </x:c>
      <x:c r="H909" s="11" t="n">
        <x:v>0.2823</x:v>
      </x:c>
      <x:c r="I909" s="11" t="n">
        <x:v>0.2992</x:v>
      </x:c>
      <x:c r="J909" s="13" t="n">
        <x:f>IF(OR(G909=0,G909=1),"",(H909-I909)*100)</x:f>
        <x:v>-1.6900000000000026</x:v>
      </x:c>
      <x:c r="K909" s="14" t="n">
        <x:v>-0.63</x:v>
      </x:c>
      <x:c r="L909" s="15" t="n">
        <x:f>F909*G909</x:f>
        <x:v>1030.8476</x:v>
      </x:c>
      <x:c r="M909" s="15" t="n">
        <x:f>F909-L909</x:f>
        <x:v>2253.1524</x:v>
      </x:c>
      <x:c r="N909" s="17" t="str"/>
      <x:c r="O909" s="17" t="str">
        <x:v>https://sts2log.com/cards</x:v>
      </x:c>
      <x:c r="P909" s="17" t="str">
        <x:v>https://slaythespire2.net/ancient/neow</x:v>
      </x:c>
    </x:row>
    <x:row r="910" ht="25" customHeight="1">
      <x:c r="A910" s="2" t="str">
        <x:v>v0.111</x:v>
      </x:c>
      <x:c r="B910" s="2" t="str">
        <x:v>储君</x:v>
      </x:c>
      <x:c r="C910" s="2" t="str">
        <x:v>涅奥</x:v>
      </x:c>
      <x:c r="D910" s="2" t="str">
        <x:v>寻龙尺</x:v>
      </x:c>
      <x:c r="E910" s="16" t="n">
        <x:f>IF(G910=0,I910,IF(G910=1,H910,G910*H910+(1-G910)*I910))</x:f>
        <x:v>0.29268326</x:v>
      </x:c>
      <x:c r="F910" s="12" t="n">
        <x:v>2682</x:v>
      </x:c>
      <x:c r="G910" s="11" t="n">
        <x:v>0.44179999999999997</x:v>
      </x:c>
      <x:c r="H910" s="11" t="n">
        <x:v>0.254</x:v>
      </x:c>
      <x:c r="I910" s="11" t="n">
        <x:v>0.3233</x:v>
      </x:c>
      <x:c r="J910" s="13" t="n">
        <x:f>IF(OR(G910=0,G910=1),"",(H910-I910)*100)</x:f>
        <x:v>-6.929999999999997</x:v>
      </x:c>
      <x:c r="K910" s="14" t="n">
        <x:v>-3.46</x:v>
      </x:c>
      <x:c r="L910" s="15" t="n">
        <x:f>F910*G910</x:f>
        <x:v>1184.9076</x:v>
      </x:c>
      <x:c r="M910" s="15" t="n">
        <x:f>F910-L910</x:f>
        <x:v>1497.0924</x:v>
      </x:c>
      <x:c r="N910" s="17" t="str"/>
      <x:c r="O910" s="17" t="str">
        <x:v>https://sts2log.com/cards</x:v>
      </x:c>
      <x:c r="P910" s="17" t="str">
        <x:v>https://op.gg/zh-cn/slay-the-spire2/events/Neow</x:v>
      </x:c>
    </x:row>
    <x:row r="911" ht="25" customHeight="1">
      <x:c r="A911" s="2" t="str">
        <x:v>v0.111</x:v>
      </x:c>
      <x:c r="B911" s="2" t="str">
        <x:v>储君</x:v>
      </x:c>
      <x:c r="C911" s="2" t="str">
        <x:v>涅奥</x:v>
      </x:c>
      <x:c r="D911" s="2" t="str">
        <x:v>奥术卷轴</x:v>
      </x:c>
      <x:c r="E911" s="16" t="n">
        <x:f>IF(G911=0,I911,IF(G911=1,H911,G911*H911+(1-G911)*I911))</x:f>
        <x:v>0.29200095</x:v>
      </x:c>
      <x:c r="F911" s="12" t="n">
        <x:v>3106</x:v>
      </x:c>
      <x:c r="G911" s="11" t="n">
        <x:v>0.4907</x:v>
      </x:c>
      <x:c r="H911" s="11" t="n">
        <x:v>0.24539999999999998</x:v>
      </x:c>
      <x:c r="I911" s="11" t="n">
        <x:v>0.3369</x:v>
      </x:c>
      <x:c r="J911" s="13" t="n">
        <x:f>IF(OR(G911=0,G911=1),"",(H911-I911)*100)</x:f>
        <x:v>-9.15</x:v>
      </x:c>
      <x:c r="K911" s="14" t="n">
        <x:v>-4.32</x:v>
      </x:c>
      <x:c r="L911" s="15" t="n">
        <x:f>F911*G911</x:f>
        <x:v>1524.1142</x:v>
      </x:c>
      <x:c r="M911" s="15" t="n">
        <x:f>F911-L911</x:f>
        <x:v>1581.8858</x:v>
      </x:c>
      <x:c r="N911" s="17" t="str"/>
      <x:c r="O911" s="17" t="str">
        <x:v>https://sts2log.com/cards</x:v>
      </x:c>
      <x:c r="P911" s="17" t="str">
        <x:v>https://slaythespire2.net/ancient/neow</x:v>
      </x:c>
    </x:row>
    <x:row r="912" ht="25" customHeight="1">
      <x:c r="A912" s="2" t="str">
        <x:v>v0.111</x:v>
      </x:c>
      <x:c r="B912" s="2" t="str">
        <x:v>储君</x:v>
      </x:c>
      <x:c r="C912" s="2" t="str">
        <x:v>涅奥</x:v>
      </x:c>
      <x:c r="D912" s="2" t="str">
        <x:v>羽翼之靴</x:v>
      </x:c>
      <x:c r="E912" s="16" t="n">
        <x:f>IF(G912=0,I912,IF(G912=1,H912,G912*H912+(1-G912)*I912))</x:f>
        <x:v>0.29111606</x:v>
      </x:c>
      <x:c r="F912" s="12" t="n">
        <x:v>3356</x:v>
      </x:c>
      <x:c r="G912" s="11" t="n">
        <x:v>0.2726</x:v>
      </x:c>
      <x:c r="H912" s="11" t="n">
        <x:v>0.3552</x:v>
      </x:c>
      <x:c r="I912" s="11" t="n">
        <x:v>0.2671</x:v>
      </x:c>
      <x:c r="J912" s="13" t="n">
        <x:f>IF(OR(G912=0,G912=1),"",(H912-I912)*100)</x:f>
        <x:v>8.81</x:v>
      </x:c>
      <x:c r="K912" s="14" t="n">
        <x:v>6.66</x:v>
      </x:c>
      <x:c r="L912" s="15" t="n">
        <x:f>F912*G912</x:f>
        <x:v>914.8456</x:v>
      </x:c>
      <x:c r="M912" s="15" t="n">
        <x:f>F912-L912</x:f>
        <x:v>2441.1544</x:v>
      </x:c>
      <x:c r="N912" s="17" t="str"/>
      <x:c r="O912" s="17" t="str">
        <x:v>https://sts2log.com/cards</x:v>
      </x:c>
      <x:c r="P912" s="17" t="str">
        <x:v>https://slaythespire2.net/ancient/neow</x:v>
      </x:c>
    </x:row>
    <x:row r="913" ht="25" customHeight="1">
      <x:c r="A913" s="2" t="str">
        <x:v>v0.111</x:v>
      </x:c>
      <x:c r="B913" s="2" t="str">
        <x:v>储君</x:v>
      </x:c>
      <x:c r="C913" s="2" t="str">
        <x:v>涅奥</x:v>
      </x:c>
      <x:c r="D913" s="2" t="str">
        <x:v>华美发束</x:v>
      </x:c>
      <x:c r="E913" s="16" t="n">
        <x:f>IF(G913=0,I913,IF(G913=1,H913,G913*H913+(1-G913)*I913))</x:f>
        <x:v>0.2904055</x:v>
      </x:c>
      <x:c r="F913" s="12" t="n">
        <x:v>2879</x:v>
      </x:c>
      <x:c r="G913" s="11" t="n">
        <x:v>0.7506</x:v>
      </x:c>
      <x:c r="H913" s="11" t="n">
        <x:v>0.2823</x:v>
      </x:c>
      <x:c r="I913" s="11" t="n">
        <x:v>0.3148</x:v>
      </x:c>
      <x:c r="J913" s="13" t="n">
        <x:f>IF(OR(G913=0,G913=1),"",(H913-I913)*100)</x:f>
        <x:v>-3.2500000000000027</x:v>
      </x:c>
      <x:c r="K913" s="14" t="n">
        <x:v>-0.63</x:v>
      </x:c>
      <x:c r="L913" s="15" t="n">
        <x:f>F913*G913</x:f>
        <x:v>2160.9774</x:v>
      </x:c>
      <x:c r="M913" s="15" t="n">
        <x:f>F913-L913</x:f>
        <x:v>718.0225999999998</x:v>
      </x:c>
      <x:c r="N913" s="17" t="str"/>
      <x:c r="O913" s="17" t="str">
        <x:v>https://sts2log.com/cards</x:v>
      </x:c>
      <x:c r="P913" s="17" t="str">
        <x:v>https://slaythespire2.net/ancient/neow</x:v>
      </x:c>
    </x:row>
    <x:row r="914" ht="25" customHeight="1">
      <x:c r="A914" s="2" t="str">
        <x:v>v0.111</x:v>
      </x:c>
      <x:c r="B914" s="2" t="str">
        <x:v>储君</x:v>
      </x:c>
      <x:c r="C914" s="2" t="str">
        <x:v>涅奥</x:v>
      </x:c>
      <x:c r="D914" s="2" t="str">
        <x:v>涅奥的护符</x:v>
      </x:c>
      <x:c r="E914" s="16" t="n">
        <x:f>IF(G914=0,I914,IF(G914=1,H914,G914*H914+(1-G914)*I914))</x:f>
        <x:v>0.28963167999999995</x:v>
      </x:c>
      <x:c r="F914" s="12" t="n">
        <x:v>1692</x:v>
      </x:c>
      <x:c r="G914" s="11" t="n">
        <x:v>0.1152</x:v>
      </x:c>
      <x:c r="H914" s="11" t="n">
        <x:v>0.359</x:v>
      </x:c>
      <x:c r="I914" s="11" t="n">
        <x:v>0.28059999999999996</x:v>
      </x:c>
      <x:c r="J914" s="13" t="n">
        <x:f>IF(OR(G914=0,G914=1),"",(H914-I914)*100)</x:f>
        <x:v>7.8400000000000025</x:v>
      </x:c>
      <x:c r="K914" s="14" t="n">
        <x:v>7.04</x:v>
      </x:c>
      <x:c r="L914" s="15" t="n">
        <x:f>F914*G914</x:f>
        <x:v>194.9184</x:v>
      </x:c>
      <x:c r="M914" s="15" t="n">
        <x:f>F914-L914</x:f>
        <x:v>1497.0816</x:v>
      </x:c>
      <x:c r="N914" s="17" t="str"/>
      <x:c r="O914" s="17" t="str">
        <x:v>https://sts2log.com/cards</x:v>
      </x:c>
      <x:c r="P914" s="17" t="str">
        <x:v>https://slaythespire2.net/ancient/neow</x:v>
      </x:c>
    </x:row>
    <x:row r="915" ht="25" customHeight="1">
      <x:c r="A915" s="2" t="str">
        <x:v>v0.111</x:v>
      </x:c>
      <x:c r="B915" s="2" t="str">
        <x:v>储君</x:v>
      </x:c>
      <x:c r="C915" s="2" t="str">
        <x:v>涅奥</x:v>
      </x:c>
      <x:c r="D915" s="2" t="str">
        <x:v>诅咒珍珠</x:v>
      </x:c>
      <x:c r="E915" s="16" t="n">
        <x:f>IF(G915=0,I915,IF(G915=1,H915,G915*H915+(1-G915)*I915))</x:f>
        <x:v>0.2895559999999999</x:v>
      </x:c>
      <x:c r="F915" s="12" t="n">
        <x:v>2642</x:v>
      </x:c>
      <x:c r="G915" s="11" t="n">
        <x:v>0.522</x:v>
      </x:c>
      <x:c r="H915" s="11" t="n">
        <x:v>0.28859999999999997</x:v>
      </x:c>
      <x:c r="I915" s="11" t="n">
        <x:v>0.29059999999999997</x:v>
      </x:c>
      <x:c r="J915" s="13" t="n">
        <x:f>IF(OR(G915=0,G915=1),"",(H915-I915)*100)</x:f>
        <x:v>-0.20000000000000018</x:v>
      </x:c>
      <x:c r="K915" s="14" t="n">
        <x:v>0</x:v>
      </x:c>
      <x:c r="L915" s="15" t="n">
        <x:f>F915*G915</x:f>
        <x:v>1379.124</x:v>
      </x:c>
      <x:c r="M915" s="15" t="n">
        <x:f>F915-L915</x:f>
        <x:v>1262.876</x:v>
      </x:c>
      <x:c r="N915" s="17" t="str"/>
      <x:c r="O915" s="17" t="str">
        <x:v>https://sts2log.com/cards</x:v>
      </x:c>
      <x:c r="P915" s="17" t="str">
        <x:v>https://slaythespire2.net/ancient/neow</x:v>
      </x:c>
    </x:row>
    <x:row r="916" ht="25" customHeight="1">
      <x:c r="A916" s="2" t="str">
        <x:v>v0.111</x:v>
      </x:c>
      <x:c r="B916" s="2" t="str">
        <x:v>储君</x:v>
      </x:c>
      <x:c r="C916" s="2" t="str">
        <x:v>涅奥</x:v>
      </x:c>
      <x:c r="D916" s="2" t="str">
        <x:v>石炉加湿器</x:v>
      </x:c>
      <x:c r="E916" s="16" t="n">
        <x:f>IF(G916=0,I916,IF(G916=1,H916,G916*H916+(1-G916)*I916))</x:f>
        <x:v>0.28810330000000006</x:v>
      </x:c>
      <x:c r="F916" s="12" t="n">
        <x:v>1645</x:v>
      </x:c>
      <x:c r="G916" s="11" t="n">
        <x:v>0.1094</x:v>
      </x:c>
      <x:c r="H916" s="11" t="n">
        <x:v>0.35</x:v>
      </x:c>
      <x:c r="I916" s="11" t="n">
        <x:v>0.2805</x:v>
      </x:c>
      <x:c r="J916" s="13" t="n">
        <x:f>IF(OR(G916=0,G916=1),"",(H916-I916)*100)</x:f>
        <x:v>6.949999999999995</x:v>
      </x:c>
      <x:c r="K916" s="14" t="n">
        <x:v>6.14</x:v>
      </x:c>
      <x:c r="L916" s="15" t="n">
        <x:f>F916*G916</x:f>
        <x:v>179.963</x:v>
      </x:c>
      <x:c r="M916" s="15" t="n">
        <x:f>F916-L916</x:f>
        <x:v>1465.037</x:v>
      </x:c>
      <x:c r="N916" s="17" t="str"/>
      <x:c r="O916" s="17" t="str">
        <x:v>https://sts2log.com/cards</x:v>
      </x:c>
      <x:c r="P916" s="17" t="str">
        <x:v>https://slaythespire2.net/ancient/neow</x:v>
      </x:c>
    </x:row>
    <x:row r="917" ht="25" customHeight="1">
      <x:c r="A917" s="2" t="str">
        <x:v>v0.111</x:v>
      </x:c>
      <x:c r="B917" s="2" t="str">
        <x:v>储君</x:v>
      </x:c>
      <x:c r="C917" s="2" t="str">
        <x:v>涅奥</x:v>
      </x:c>
      <x:c r="D917" s="2" t="str">
        <x:v>树叶药膏</x:v>
      </x:c>
      <x:c r="E917" s="16" t="n">
        <x:f>IF(G917=0,I917,IF(G917=1,H917,G917*H917+(1-G917)*I917))</x:f>
        <x:v>0.28597686</x:v>
      </x:c>
      <x:c r="F917" s="12" t="n">
        <x:v>2511</x:v>
      </x:c>
      <x:c r="G917" s="11" t="n">
        <x:v>0.5938</x:v>
      </x:c>
      <x:c r="H917" s="11" t="n">
        <x:v>0.2757</x:v>
      </x:c>
      <x:c r="I917" s="11" t="n">
        <x:v>0.301</x:v>
      </x:c>
      <x:c r="J917" s="13" t="n">
        <x:f>IF(OR(G917=0,G917=1),"",(H917-I917)*100)</x:f>
        <x:v>-2.529999999999999</x:v>
      </x:c>
      <x:c r="K917" s="14" t="n">
        <x:v>-1.29</x:v>
      </x:c>
      <x:c r="L917" s="15" t="n">
        <x:f>F917*G917</x:f>
        <x:v>1491.0318</x:v>
      </x:c>
      <x:c r="M917" s="15" t="n">
        <x:f>F917-L917</x:f>
        <x:v>1019.9682</x:v>
      </x:c>
      <x:c r="N917" s="17" t="str"/>
      <x:c r="O917" s="17" t="str">
        <x:v>https://sts2log.com/cards</x:v>
      </x:c>
      <x:c r="P917" s="17" t="str">
        <x:v>https://slaythespire2.net/ancient/neow</x:v>
      </x:c>
    </x:row>
    <x:row r="918" ht="25" customHeight="1">
      <x:c r="A918" s="2" t="str">
        <x:v>v0.111</x:v>
      </x:c>
      <x:c r="B918" s="2" t="str">
        <x:v>储君</x:v>
      </x:c>
      <x:c r="C918" s="2" t="str">
        <x:v>涅奥</x:v>
      </x:c>
      <x:c r="D918" s="2" t="str">
        <x:v>药瓶皮套</x:v>
      </x:c>
      <x:c r="E918" s="16" t="n">
        <x:f>IF(G918=0,I918,IF(G918=1,H918,G918*H918+(1-G918)*I918))</x:f>
        <x:v>0.28585559</x:v>
      </x:c>
      <x:c r="F918" s="12" t="n">
        <x:v>3033</x:v>
      </x:c>
      <x:c r="G918" s="11" t="n">
        <x:v>0.2371</x:v>
      </x:c>
      <x:c r="H918" s="11" t="n">
        <x:v>0.34909999999999997</x:v>
      </x:c>
      <x:c r="I918" s="11" t="n">
        <x:v>0.2662</x:v>
      </x:c>
      <x:c r="J918" s="13" t="n">
        <x:f>IF(OR(G918=0,G918=1),"",(H918-I918)*100)</x:f>
        <x:v>8.289999999999997</x:v>
      </x:c>
      <x:c r="K918" s="14" t="n">
        <x:v>6.05</x:v>
      </x:c>
      <x:c r="L918" s="15" t="n">
        <x:f>F918*G918</x:f>
        <x:v>719.1243000000001</x:v>
      </x:c>
      <x:c r="M918" s="15" t="n">
        <x:f>F918-L918</x:f>
        <x:v>2313.8757</x:v>
      </x:c>
      <x:c r="N918" s="17" t="str"/>
      <x:c r="O918" s="17" t="str">
        <x:v>https://sts2log.com/cards</x:v>
      </x:c>
      <x:c r="P918" s="17" t="str">
        <x:v>https://slaythespire2.net/ancient/neow</x:v>
      </x:c>
    </x:row>
    <x:row r="919" ht="25" customHeight="1">
      <x:c r="A919" s="2" t="str">
        <x:v>v0.111</x:v>
      </x:c>
      <x:c r="B919" s="2" t="str">
        <x:v>储君</x:v>
      </x:c>
      <x:c r="C919" s="2" t="str">
        <x:v>涅奥</x:v>
      </x:c>
      <x:c r="D919" s="2" t="str">
        <x:v>橙型香盒</x:v>
      </x:c>
      <x:c r="E919" s="16" t="n">
        <x:f>IF(G919=0,I919,IF(G919=1,H919,G919*H919+(1-G919)*I919))</x:f>
        <x:v>0.28149444</x:v>
      </x:c>
      <x:c r="F919" s="12" t="n">
        <x:v>1737</x:v>
      </x:c>
      <x:c r="G919" s="11" t="n">
        <x:v>0.1186</x:v>
      </x:c>
      <x:c r="H919" s="11" t="n">
        <x:v>0.1893</x:v>
      </x:c>
      <x:c r="I919" s="11" t="n">
        <x:v>0.2939</x:v>
      </x:c>
      <x:c r="J919" s="13" t="n">
        <x:f>IF(OR(G919=0,G919=1),"",(H919-I919)*100)</x:f>
        <x:v>-10.459999999999999</x:v>
      </x:c>
      <x:c r="K919" s="14" t="n">
        <x:v>-9.93</x:v>
      </x:c>
      <x:c r="L919" s="15" t="n">
        <x:f>F919*G919</x:f>
        <x:v>206.0082</x:v>
      </x:c>
      <x:c r="M919" s="15" t="n">
        <x:f>F919-L919</x:f>
        <x:v>1530.9918</x:v>
      </x:c>
      <x:c r="N919" s="17" t="str"/>
      <x:c r="O919" s="17" t="str">
        <x:v>https://sts2log.com/cards</x:v>
      </x:c>
      <x:c r="P919" s="17" t="str">
        <x:v>https://slaythespire2.net/ancient/neow</x:v>
      </x:c>
    </x:row>
    <x:row r="920" ht="25" customHeight="1">
      <x:c r="A920" s="2" t="str">
        <x:v>v0.111</x:v>
      </x:c>
      <x:c r="B920" s="2" t="str">
        <x:v>储君</x:v>
      </x:c>
      <x:c r="C920" s="2" t="str">
        <x:v>涅奥</x:v>
      </x:c>
      <x:c r="D920" s="2" t="str">
        <x:v>精准剪刀</x:v>
      </x:c>
      <x:c r="E920" s="16" t="n">
        <x:f>IF(G920=0,I920,IF(G920=1,H920,G920*H920+(1-G920)*I920))</x:f>
        <x:v>0.281264</x:v>
      </x:c>
      <x:c r="F920" s="12" t="n">
        <x:v>3029</x:v>
      </x:c>
      <x:c r="G920" s="11" t="n">
        <x:v>0.1509</x:v>
      </x:c>
      <x:c r="H920" s="11" t="n">
        <x:v>0.2473</x:v>
      </x:c>
      <x:c r="I920" s="11" t="n">
        <x:v>0.2873</x:v>
      </x:c>
      <x:c r="J920" s="13" t="n">
        <x:f>IF(OR(G920=0,G920=1),"",(H920-I920)*100)</x:f>
        <x:v>-4.000000000000001</x:v>
      </x:c>
      <x:c r="K920" s="14" t="n">
        <x:v>-4.13</x:v>
      </x:c>
      <x:c r="L920" s="15" t="n">
        <x:f>F920*G920</x:f>
        <x:v>457.0761</x:v>
      </x:c>
      <x:c r="M920" s="15" t="n">
        <x:f>F920-L920</x:f>
        <x:v>2571.9239</x:v>
      </x:c>
      <x:c r="N920" s="17" t="str"/>
      <x:c r="O920" s="17" t="str">
        <x:v>https://sts2log.com/cards</x:v>
      </x:c>
      <x:c r="P920" s="17" t="str">
        <x:v>https://slaythespire2.net/ancient/neow</x:v>
      </x:c>
    </x:row>
    <x:row r="921" ht="25" customHeight="1">
      <x:c r="A921" s="2" t="str">
        <x:v>v0.111</x:v>
      </x:c>
      <x:c r="B921" s="2" t="str">
        <x:v>储君</x:v>
      </x:c>
      <x:c r="C921" s="2" t="str">
        <x:v>涅奥</x:v>
      </x:c>
      <x:c r="D921" s="2" t="str">
        <x:v>白银熔炉</x:v>
      </x:c>
      <x:c r="E921" s="16" t="n">
        <x:f>IF(G921=0,I921,IF(G921=1,H921,G921*H921+(1-G921)*I921))</x:f>
        <x:v>0.28060734</x:v>
      </x:c>
      <x:c r="F921" s="12" t="n">
        <x:v>2812</x:v>
      </x:c>
      <x:c r="G921" s="11" t="n">
        <x:v>0.6938</x:v>
      </x:c>
      <x:c r="H921" s="11" t="n">
        <x:v>0.2758</x:v>
      </x:c>
      <x:c r="I921" s="11" t="n">
        <x:v>0.2915</x:v>
      </x:c>
      <x:c r="J921" s="13" t="n">
        <x:f>IF(OR(G921=0,G921=1),"",(H921-I921)*100)</x:f>
        <x:v>-1.5699999999999992</x:v>
      </x:c>
      <x:c r="K921" s="14" t="n">
        <x:v>-1.28</x:v>
      </x:c>
      <x:c r="L921" s="15" t="n">
        <x:f>F921*G921</x:f>
        <x:v>1950.9656</x:v>
      </x:c>
      <x:c r="M921" s="15" t="n">
        <x:f>F921-L921</x:f>
        <x:v>861.0344</x:v>
      </x:c>
      <x:c r="N921" s="17" t="str"/>
      <x:c r="O921" s="17" t="str">
        <x:v>https://sts2log.com/cards</x:v>
      </x:c>
      <x:c r="P921" s="17" t="str">
        <x:v>https://slaythespire2.net/ancient/neow</x:v>
      </x:c>
    </x:row>
    <x:row r="922" ht="25" customHeight="1">
      <x:c r="A922" s="2" t="str">
        <x:v>v0.111</x:v>
      </x:c>
      <x:c r="B922" s="2" t="str">
        <x:v>储君</x:v>
      </x:c>
      <x:c r="C922" s="2" t="str">
        <x:v>涅奥</x:v>
      </x:c>
      <x:c r="D922" s="2" t="str">
        <x:v>铅制镇纸</x:v>
      </x:c>
      <x:c r="E922" s="16" t="n">
        <x:f>IF(G922=0,I922,IF(G922=1,H922,G922*H922+(1-G922)*I922))</x:f>
        <x:v>0.28015506</x:v>
      </x:c>
      <x:c r="F922" s="12" t="n">
        <x:v>3452</x:v>
      </x:c>
      <x:c r="G922" s="11" t="n">
        <x:v>0.3271</x:v>
      </x:c>
      <x:c r="H922" s="11" t="n">
        <x:v>0.2994</x:v>
      </x:c>
      <x:c r="I922" s="11" t="n">
        <x:v>0.2708</x:v>
      </x:c>
      <x:c r="J922" s="13" t="n">
        <x:f>IF(OR(G922=0,G922=1),"",(H922-I922)*100)</x:f>
        <x:v>2.860000000000001</x:v>
      </x:c>
      <x:c r="K922" s="14" t="n">
        <x:v>1.08</x:v>
      </x:c>
      <x:c r="L922" s="15" t="n">
        <x:f>F922*G922</x:f>
        <x:v>1129.1492</x:v>
      </x:c>
      <x:c r="M922" s="15" t="n">
        <x:f>F922-L922</x:f>
        <x:v>2322.8508</x:v>
      </x:c>
      <x:c r="N922" s="17" t="str"/>
      <x:c r="O922" s="17" t="str">
        <x:v>https://sts2log.com/cards</x:v>
      </x:c>
      <x:c r="P922" s="17" t="str">
        <x:v>https://slaythespire2.net/ancient/neow</x:v>
      </x:c>
    </x:row>
    <x:row r="923" ht="25" customHeight="1">
      <x:c r="A923" s="2" t="str">
        <x:v>v0.111</x:v>
      </x:c>
      <x:c r="B923" s="2" t="str">
        <x:v>储君</x:v>
      </x:c>
      <x:c r="C923" s="2" t="str">
        <x:v>涅奥</x:v>
      </x:c>
      <x:c r="D923" s="2" t="str">
        <x:v>卷轴箱</x:v>
      </x:c>
      <x:c r="E923" s="16" t="n">
        <x:f>IF(G923=0,I923,IF(G923=1,H923,G923*H923+(1-G923)*I923))</x:f>
        <x:v>0.28000695999999997</x:v>
      </x:c>
      <x:c r="F923" s="12" t="n">
        <x:v>3336</x:v>
      </x:c>
      <x:c r="G923" s="11" t="n">
        <x:v>0.3336</x:v>
      </x:c>
      <x:c r="H923" s="11" t="n">
        <x:v>0.2974</x:v>
      </x:c>
      <x:c r="I923" s="11" t="n">
        <x:v>0.2713</x:v>
      </x:c>
      <x:c r="J923" s="13" t="n">
        <x:f>IF(OR(G923=0,G923=1),"",(H923-I923)*100)</x:f>
        <x:v>2.610000000000001</x:v>
      </x:c>
      <x:c r="K923" s="14" t="n">
        <x:v>0.88</x:v>
      </x:c>
      <x:c r="L923" s="15" t="n">
        <x:f>F923*G923</x:f>
        <x:v>1112.8896</x:v>
      </x:c>
      <x:c r="M923" s="15" t="n">
        <x:f>F923-L923</x:f>
        <x:v>2223.1104</x:v>
      </x:c>
      <x:c r="N923" s="17" t="str"/>
      <x:c r="O923" s="17" t="str">
        <x:v>https://sts2log.com/cards</x:v>
      </x:c>
      <x:c r="P923" s="17" t="str">
        <x:v>https://slaythespire2.net/ancient/neow</x:v>
      </x:c>
    </x:row>
    <x:row r="924" ht="25" customHeight="1">
      <x:c r="A924" s="2" t="str">
        <x:v>v0.111</x:v>
      </x:c>
      <x:c r="B924" s="2" t="str">
        <x:v>储君</x:v>
      </x:c>
      <x:c r="C924" s="2" t="str">
        <x:v>涅奥</x:v>
      </x:c>
      <x:c r="D924" s="2" t="str">
        <x:v>金色珍珠</x:v>
      </x:c>
      <x:c r="E924" s="16" t="n">
        <x:f>IF(G924=0,I924,IF(G924=1,H924,G924*H924+(1-G924)*I924))</x:f>
        <x:v>0.2796596</x:v>
      </x:c>
      <x:c r="F924" s="12" t="n">
        <x:v>3161</x:v>
      </x:c>
      <x:c r="G924" s="11" t="n">
        <x:v>0.4211</x:v>
      </x:c>
      <x:c r="H924" s="11" t="n">
        <x:v>0.3005</x:v>
      </x:c>
      <x:c r="I924" s="11" t="n">
        <x:v>0.2645</x:v>
      </x:c>
      <x:c r="J924" s="13" t="n">
        <x:f>IF(OR(G924=0,G924=1),"",(H924-I924)*100)</x:f>
        <x:v>3.599999999999998</x:v>
      </x:c>
      <x:c r="K924" s="14" t="n">
        <x:v>1.19</x:v>
      </x:c>
      <x:c r="L924" s="15" t="n">
        <x:f>F924*G924</x:f>
        <x:v>1331.0971</x:v>
      </x:c>
      <x:c r="M924" s="15" t="n">
        <x:f>F924-L924</x:f>
        <x:v>1829.9029</x:v>
      </x:c>
      <x:c r="N924" s="17" t="str"/>
      <x:c r="O924" s="17" t="str">
        <x:v>https://sts2log.com/cards</x:v>
      </x:c>
      <x:c r="P924" s="17" t="str">
        <x:v>https://slaythespire2.net/ancient/neow</x:v>
      </x:c>
    </x:row>
    <x:row r="925" ht="25" customHeight="1">
      <x:c r="A925" s="2" t="str">
        <x:v>v0.111</x:v>
      </x:c>
      <x:c r="B925" s="2" t="str">
        <x:v>储君</x:v>
      </x:c>
      <x:c r="C925" s="2" t="str">
        <x:v>涅奥</x:v>
      </x:c>
      <x:c r="D925" s="2" t="str">
        <x:v>熔岩石</x:v>
      </x:c>
      <x:c r="E925" s="16" t="n">
        <x:f>IF(G925=0,I925,IF(G925=1,H925,G925*H925+(1-G925)*I925))</x:f>
        <x:v>0.27878928</x:v>
      </x:c>
      <x:c r="F925" s="12" t="n">
        <x:v>1582</x:v>
      </x:c>
      <x:c r="G925" s="11" t="n">
        <x:v>0.1308</x:v>
      </x:c>
      <x:c r="H925" s="11" t="n">
        <x:v>0.3671</x:v>
      </x:c>
      <x:c r="I925" s="11" t="n">
        <x:v>0.2655</x:v>
      </x:c>
      <x:c r="J925" s="13" t="n">
        <x:f>IF(OR(G925=0,G925=1),"",(H925-I925)*100)</x:f>
        <x:v>10.159999999999997</x:v>
      </x:c>
      <x:c r="K925" s="14" t="n">
        <x:v>7.85</x:v>
      </x:c>
      <x:c r="L925" s="15" t="n">
        <x:f>F925*G925</x:f>
        <x:v>206.9256</x:v>
      </x:c>
      <x:c r="M925" s="15" t="n">
        <x:f>F925-L925</x:f>
        <x:v>1375.0744</x:v>
      </x:c>
      <x:c r="N925" s="17" t="str"/>
      <x:c r="O925" s="17" t="str">
        <x:v>https://sts2log.com/cards</x:v>
      </x:c>
      <x:c r="P925" s="17" t="str">
        <x:v>https://slaythespire2.net/ancient/neow</x:v>
      </x:c>
    </x:row>
    <x:row r="926" ht="25" customHeight="1">
      <x:c r="A926" s="2" t="str">
        <x:v>v0.111</x:v>
      </x:c>
      <x:c r="B926" s="2" t="str">
        <x:v>储君</x:v>
      </x:c>
      <x:c r="C926" s="2" t="str">
        <x:v>涅奥</x:v>
      </x:c>
      <x:c r="D926" s="2" t="str">
        <x:v>失物盒</x:v>
      </x:c>
      <x:c r="E926" s="16" t="n">
        <x:f>IF(G926=0,I926,IF(G926=1,H926,G926*H926+(1-G926)*I926))</x:f>
        <x:v>0.27706951999999996</x:v>
      </x:c>
      <x:c r="F926" s="12" t="n">
        <x:v>3035</x:v>
      </x:c>
      <x:c r="G926" s="11" t="n">
        <x:v>0.2257</x:v>
      </x:c>
      <x:c r="H926" s="11" t="n">
        <x:v>0.2876</x:v>
      </x:c>
      <x:c r="I926" s="11" t="n">
        <x:v>0.27399999999999997</x:v>
      </x:c>
      <x:c r="J926" s="13" t="n">
        <x:f>IF(OR(G926=0,G926=1),"",(H926-I926)*100)</x:f>
        <x:v>1.3600000000000056</x:v>
      </x:c>
      <x:c r="K926" s="14" t="n">
        <x:v>-0.1</x:v>
      </x:c>
      <x:c r="L926" s="15" t="n">
        <x:f>F926*G926</x:f>
        <x:v>684.9995</x:v>
      </x:c>
      <x:c r="M926" s="15" t="n">
        <x:f>F926-L926</x:f>
        <x:v>2350.0005</x:v>
      </x:c>
      <x:c r="N926" s="17" t="str"/>
      <x:c r="O926" s="17" t="str">
        <x:v>https://sts2log.com/cards</x:v>
      </x:c>
      <x:c r="P926" s="17" t="str">
        <x:v>https://slaythespire2.net/ancient/neow</x:v>
      </x:c>
    </x:row>
    <x:row r="927" ht="25" customHeight="1">
      <x:c r="A927" s="2" t="str">
        <x:v>v0.111</x:v>
      </x:c>
      <x:c r="B927" s="2" t="str">
        <x:v>储君</x:v>
      </x:c>
      <x:c r="C927" s="2" t="str">
        <x:v>涅奥</x:v>
      </x:c>
      <x:c r="D927" s="2" t="str">
        <x:v>涅奥骨骰</x:v>
      </x:c>
      <x:c r="E927" s="16" t="n">
        <x:f>IF(G927=0,I927,IF(G927=1,H927,G927*H927+(1-G927)*I927))</x:f>
        <x:v>0.2708534</x:v>
      </x:c>
      <x:c r="F927" s="12" t="n">
        <x:v>2577</x:v>
      </x:c>
      <x:c r="G927" s="11" t="n">
        <x:v>0.48200000000000004</x:v>
      </x:c>
      <x:c r="H927" s="11" t="n">
        <x:v>0.2391</x:v>
      </x:c>
      <x:c r="I927" s="11" t="n">
        <x:v>0.3004</x:v>
      </x:c>
      <x:c r="J927" s="13" t="n">
        <x:f>IF(OR(G927=0,G927=1),"",(H927-I927)*100)</x:f>
        <x:v>-6.129999999999999</x:v>
      </x:c>
      <x:c r="K927" s="14" t="n">
        <x:v>-4.95</x:v>
      </x:c>
      <x:c r="L927" s="15" t="n">
        <x:f>F927*G927</x:f>
        <x:v>1242.114</x:v>
      </x:c>
      <x:c r="M927" s="15" t="n">
        <x:f>F927-L927</x:f>
        <x:v>1334.886</x:v>
      </x:c>
      <x:c r="N927" s="17" t="str"/>
      <x:c r="O927" s="17" t="str">
        <x:v>https://sts2log.com/cards</x:v>
      </x:c>
      <x:c r="P927" s="17" t="str">
        <x:v>https://slaythespire2.net/ancient/neow</x:v>
      </x:c>
    </x:row>
    <x:row r="928" ht="25" customHeight="1">
      <x:c r="A928" s="2" t="str">
        <x:v>v0.111</x:v>
      </x:c>
      <x:c r="B928" s="2" t="str">
        <x:v>储君</x:v>
      </x:c>
      <x:c r="C928" s="2" t="str">
        <x:v>涅奥</x:v>
      </x:c>
      <x:c r="D928" s="2" t="str">
        <x:v>沉重石板</x:v>
      </x:c>
      <x:c r="E928" s="16" t="n">
        <x:f>IF(G928=0,I928,IF(G928=1,H928,G928*H928+(1-G928)*I928))</x:f>
        <x:v>0.26657128</x:v>
      </x:c>
      <x:c r="F928" s="12" t="n">
        <x:v>2521</x:v>
      </x:c>
      <x:c r="G928" s="11" t="n">
        <x:v>0.4804</x:v>
      </x:c>
      <x:c r="H928" s="11" t="n">
        <x:v>0.1825</x:v>
      </x:c>
      <x:c r="I928" s="11" t="n">
        <x:v>0.3443</x:v>
      </x:c>
      <x:c r="J928" s="13" t="n">
        <x:f>IF(OR(G928=0,G928=1),"",(H928-I928)*100)</x:f>
        <x:v>-16.18</x:v>
      </x:c>
      <x:c r="K928" s="14" t="n">
        <x:v>-10.61</x:v>
      </x:c>
      <x:c r="L928" s="15" t="n">
        <x:f>F928*G928</x:f>
        <x:v>1211.0884</x:v>
      </x:c>
      <x:c r="M928" s="15" t="n">
        <x:f>F928-L928</x:f>
        <x:v>1309.9116</x:v>
      </x:c>
      <x:c r="N928" s="17" t="str"/>
      <x:c r="O928" s="17" t="str">
        <x:v>https://sts2log.com/cards</x:v>
      </x:c>
      <x:c r="P928" s="17" t="str">
        <x:v>https://slaythespire2.net/ancient/neow</x:v>
      </x:c>
    </x:row>
    <x:row r="929" ht="25" customHeight="1">
      <x:c r="A929" s="2" t="str">
        <x:v>v0.111</x:v>
      </x:c>
      <x:c r="B929" s="2" t="str">
        <x:v>储君</x:v>
      </x:c>
      <x:c r="C929" s="2" t="str">
        <x:v>欧洛巴斯</x:v>
      </x:c>
      <x:c r="D929" s="2" t="str">
        <x:v>棱彩宝石</x:v>
      </x:c>
      <x:c r="E929" s="16" t="n">
        <x:f>IF(G929=0,I929,IF(G929=1,H929,G929*H929+(1-G929)*I929))</x:f>
        <x:v>0.44201438000000004</x:v>
      </x:c>
      <x:c r="F929" s="12" t="n">
        <x:v>638</x:v>
      </x:c>
      <x:c r="G929" s="11" t="n">
        <x:v>0.3934</x:v>
      </x:c>
      <x:c r="H929" s="11" t="n">
        <x:v>0.494</x:v>
      </x:c>
      <x:c r="I929" s="11" t="n">
        <x:v>0.4083</x:v>
      </x:c>
      <x:c r="J929" s="13" t="n">
        <x:f>IF(OR(G929=0,G929=1),"",(H929-I929)*100)</x:f>
        <x:v>8.57</x:v>
      </x:c>
      <x:c r="K929" s="14" t="n">
        <x:v>20.54</x:v>
      </x:c>
      <x:c r="L929" s="15" t="n">
        <x:f>F929*G929</x:f>
        <x:v>250.9892</x:v>
      </x:c>
      <x:c r="M929" s="15" t="n">
        <x:f>F929-L929</x:f>
        <x:v>387.0108</x:v>
      </x:c>
      <x:c r="N929" s="17" t="str"/>
      <x:c r="O929" s="17" t="str">
        <x:v>https://sts2log.com/cards</x:v>
      </x:c>
      <x:c r="P929" s="17" t="str">
        <x:v>https://slaythespire2.net/ancient/orobas</x:v>
      </x:c>
    </x:row>
    <x:row r="930" ht="25" customHeight="1">
      <x:c r="A930" s="2" t="str">
        <x:v>v0.111</x:v>
      </x:c>
      <x:c r="B930" s="2" t="str">
        <x:v>储君</x:v>
      </x:c>
      <x:c r="C930" s="2" t="str">
        <x:v>欧洛巴斯</x:v>
      </x:c>
      <x:c r="D930" s="2" t="str">
        <x:v>放电异虾</x:v>
      </x:c>
      <x:c r="E930" s="16" t="n">
        <x:f>IF(G930=0,I930,IF(G930=1,H930,G930*H930+(1-G930)*I930))</x:f>
        <x:v>0.4298832</x:v>
      </x:c>
      <x:c r="F930" s="12" t="n">
        <x:v>1775</x:v>
      </x:c>
      <x:c r="G930" s="11" t="n">
        <x:v>0.42200000000000004</x:v>
      </x:c>
      <x:c r="H930" s="11" t="n">
        <x:v>0.49670000000000003</x:v>
      </x:c>
      <x:c r="I930" s="11" t="n">
        <x:v>0.3811</x:v>
      </x:c>
      <x:c r="J930" s="13" t="n">
        <x:f>IF(OR(G930=0,G930=1),"",(H930-I930)*100)</x:f>
        <x:v>11.560000000000004</x:v>
      </x:c>
      <x:c r="K930" s="14" t="n">
        <x:v>20.81</x:v>
      </x:c>
      <x:c r="L930" s="15" t="n">
        <x:f>F930*G930</x:f>
        <x:v>749.0500000000001</x:v>
      </x:c>
      <x:c r="M930" s="15" t="n">
        <x:f>F930-L930</x:f>
        <x:v>1025.9499999999998</x:v>
      </x:c>
      <x:c r="N930" s="17" t="str"/>
      <x:c r="O930" s="17" t="str">
        <x:v>https://sts2log.com/cards</x:v>
      </x:c>
      <x:c r="P930" s="17" t="str">
        <x:v>https://slaythespire2.net/ancient/orobas</x:v>
      </x:c>
    </x:row>
    <x:row r="931" ht="25" customHeight="1">
      <x:c r="A931" s="2" t="str">
        <x:v>v0.111</x:v>
      </x:c>
      <x:c r="B931" s="2" t="str">
        <x:v>储君</x:v>
      </x:c>
      <x:c r="C931" s="2" t="str">
        <x:v>欧洛巴斯</x:v>
      </x:c>
      <x:c r="D931" s="2" t="str">
        <x:v>发光珍珠</x:v>
      </x:c>
      <x:c r="E931" s="16" t="n">
        <x:f>IF(G931=0,I931,IF(G931=1,H931,G931*H931+(1-G931)*I931))</x:f>
        <x:v>0.41964358</x:v>
      </x:c>
      <x:c r="F931" s="12" t="n">
        <x:v>1027</x:v>
      </x:c>
      <x:c r="G931" s="11" t="n">
        <x:v>0.2483</x:v>
      </x:c>
      <x:c r="H931" s="11" t="n">
        <x:v>0.4667</x:v>
      </x:c>
      <x:c r="I931" s="11" t="n">
        <x:v>0.40409999999999996</x:v>
      </x:c>
      <x:c r="J931" s="13" t="n">
        <x:f>IF(OR(G931=0,G931=1),"",(H931-I931)*100)</x:f>
        <x:v>6.260000000000004</x:v>
      </x:c>
      <x:c r="K931" s="14" t="n">
        <x:v>17.81</x:v>
      </x:c>
      <x:c r="L931" s="15" t="n">
        <x:f>F931*G931</x:f>
        <x:v>255.0041</x:v>
      </x:c>
      <x:c r="M931" s="15" t="n">
        <x:f>F931-L931</x:f>
        <x:v>771.9959</x:v>
      </x:c>
      <x:c r="N931" s="17" t="str"/>
      <x:c r="O931" s="17" t="str">
        <x:v>https://sts2log.com/cards</x:v>
      </x:c>
      <x:c r="P931" s="17" t="str">
        <x:v>https://slaythespire2.net/ancient/orobas</x:v>
      </x:c>
    </x:row>
    <x:row r="932" ht="25" customHeight="1">
      <x:c r="A932" s="2" t="str">
        <x:v>v0.111</x:v>
      </x:c>
      <x:c r="B932" s="2" t="str">
        <x:v>储君</x:v>
      </x:c>
      <x:c r="C932" s="2" t="str">
        <x:v>欧洛巴斯</x:v>
      </x:c>
      <x:c r="D932" s="2" t="str">
        <x:v>炼金箱</x:v>
      </x:c>
      <x:c r="E932" s="16" t="n">
        <x:f>IF(G932=0,I932,IF(G932=1,H932,G932*H932+(1-G932)*I932))</x:f>
        <x:v>0.41823112</x:v>
      </x:c>
      <x:c r="F932" s="12" t="n">
        <x:v>1052</x:v>
      </x:c>
      <x:c r="G932" s="11" t="n">
        <x:v>0.16440000000000002</x:v>
      </x:c>
      <x:c r="H932" s="11" t="n">
        <x:v>0.4682</x:v>
      </x:c>
      <x:c r="I932" s="11" t="n">
        <x:v>0.40840000000000004</x:v>
      </x:c>
      <x:c r="J932" s="13" t="n">
        <x:f>IF(OR(G932=0,G932=1),"",(H932-I932)*100)</x:f>
        <x:v>5.979999999999997</x:v>
      </x:c>
      <x:c r="K932" s="14" t="n">
        <x:v>17.96</x:v>
      </x:c>
      <x:c r="L932" s="15" t="n">
        <x:f>F932*G932</x:f>
        <x:v>172.9488</x:v>
      </x:c>
      <x:c r="M932" s="15" t="n">
        <x:f>F932-L932</x:f>
        <x:v>879.0512</x:v>
      </x:c>
      <x:c r="N932" s="17" t="str"/>
      <x:c r="O932" s="17" t="str">
        <x:v>https://sts2log.com/cards</x:v>
      </x:c>
      <x:c r="P932" s="17" t="str">
        <x:v>https://slaythespire2.net/ancient/orobas</x:v>
      </x:c>
    </x:row>
    <x:row r="933" ht="25" customHeight="1">
      <x:c r="A933" s="2" t="str">
        <x:v>v0.111</x:v>
      </x:c>
      <x:c r="B933" s="2" t="str">
        <x:v>储君</x:v>
      </x:c>
      <x:c r="C933" s="2" t="str">
        <x:v>欧洛巴斯</x:v>
      </x:c>
      <x:c r="D933" s="2" t="str">
        <x:v>古老牙齿</x:v>
      </x:c>
      <x:c r="E933" s="16" t="n">
        <x:f>IF(G933=0,I933,IF(G933=1,H933,G933*H933+(1-G933)*I933))</x:f>
        <x:v>0.41478194999999995</x:v>
      </x:c>
      <x:c r="F933" s="12" t="n">
        <x:v>2172</x:v>
      </x:c>
      <x:c r="G933" s="11" t="n">
        <x:v>0.5599000000000001</x:v>
      </x:c>
      <x:c r="H933" s="11" t="n">
        <x:v>0.40619999999999995</x:v>
      </x:c>
      <x:c r="I933" s="11" t="n">
        <x:v>0.4257</x:v>
      </x:c>
      <x:c r="J933" s="13" t="n">
        <x:f>IF(OR(G933=0,G933=1),"",(H933-I933)*100)</x:f>
        <x:v>-1.9500000000000073</x:v>
      </x:c>
      <x:c r="K933" s="14" t="n">
        <x:v>11.77</x:v>
      </x:c>
      <x:c r="L933" s="15" t="n">
        <x:f>F933*G933</x:f>
        <x:v>1216.1028000000001</x:v>
      </x:c>
      <x:c r="M933" s="15" t="n">
        <x:f>F933-L933</x:f>
        <x:v>955.8971999999999</x:v>
      </x:c>
      <x:c r="N933" s="17" t="str"/>
      <x:c r="O933" s="17" t="str">
        <x:v>https://sts2log.com/cards</x:v>
      </x:c>
      <x:c r="P933" s="17" t="str">
        <x:v>https://slaythespire2.net/ancient/orobas</x:v>
      </x:c>
    </x:row>
    <x:row r="934" ht="25" customHeight="1">
      <x:c r="A934" s="2" t="str">
        <x:v>v0.111</x:v>
      </x:c>
      <x:c r="B934" s="2" t="str">
        <x:v>储君</x:v>
      </x:c>
      <x:c r="C934" s="2" t="str">
        <x:v>欧洛巴斯</x:v>
      </x:c>
      <x:c r="D934" s="2" t="str">
        <x:v>沙堡</x:v>
      </x:c>
      <x:c r="E934" s="16" t="n">
        <x:f>IF(G934=0,I934,IF(G934=1,H934,G934*H934+(1-G934)*I934))</x:f>
        <x:v>0.40405794</x:v>
      </x:c>
      <x:c r="F934" s="12" t="n">
        <x:v>1089</x:v>
      </x:c>
      <x:c r="G934" s="11" t="n">
        <x:v>0.1451</x:v>
      </x:c>
      <x:c r="H934" s="11" t="n">
        <x:v>0.3608</x:v>
      </x:c>
      <x:c r="I934" s="11" t="n">
        <x:v>0.4114</x:v>
      </x:c>
      <x:c r="J934" s="13" t="n">
        <x:f>IF(OR(G934=0,G934=1),"",(H934-I934)*100)</x:f>
        <x:v>-5.059999999999998</x:v>
      </x:c>
      <x:c r="K934" s="14" t="n">
        <x:v>7.22</x:v>
      </x:c>
      <x:c r="L934" s="15" t="n">
        <x:f>F934*G934</x:f>
        <x:v>158.0139</x:v>
      </x:c>
      <x:c r="M934" s="15" t="n">
        <x:f>F934-L934</x:f>
        <x:v>930.9861</x:v>
      </x:c>
      <x:c r="N934" s="17" t="str"/>
      <x:c r="O934" s="17" t="str">
        <x:v>https://sts2log.com/cards</x:v>
      </x:c>
      <x:c r="P934" s="17" t="str">
        <x:v>https://slaythespire2.net/ancient/orobas</x:v>
      </x:c>
    </x:row>
    <x:row r="935" ht="25" customHeight="1">
      <x:c r="A935" s="2" t="str">
        <x:v>v0.111</x:v>
      </x:c>
      <x:c r="B935" s="2" t="str">
        <x:v>储君</x:v>
      </x:c>
      <x:c r="C935" s="2" t="str">
        <x:v>欧洛巴斯</x:v>
      </x:c>
      <x:c r="D935" s="2" t="str">
        <x:v>欧洛巴斯之触</x:v>
      </x:c>
      <x:c r="E935" s="16" t="n">
        <x:f>IF(G935=0,I935,IF(G935=1,H935,G935*H935+(1-G935)*I935))</x:f>
        <x:v>0.39895846999999995</x:v>
      </x:c>
      <x:c r="F935" s="12" t="n">
        <x:v>2118</x:v>
      </x:c>
      <x:c r="G935" s="11" t="n">
        <x:v>0.29510000000000003</x:v>
      </x:c>
      <x:c r="H935" s="11" t="n">
        <x:v>0.3776</x:v>
      </x:c>
      <x:c r="I935" s="11" t="n">
        <x:v>0.4079</x:v>
      </x:c>
      <x:c r="J935" s="13" t="n">
        <x:f>IF(OR(G935=0,G935=1),"",(H935-I935)*100)</x:f>
        <x:v>-3.0299999999999994</x:v>
      </x:c>
      <x:c r="K935" s="14" t="n">
        <x:v>8.9</x:v>
      </x:c>
      <x:c r="L935" s="15" t="n">
        <x:f>F935*G935</x:f>
        <x:v>625.0218000000001</x:v>
      </x:c>
      <x:c r="M935" s="15" t="n">
        <x:f>F935-L935</x:f>
        <x:v>1492.9782</x:v>
      </x:c>
      <x:c r="N935" s="17" t="str"/>
      <x:c r="O935" s="17" t="str">
        <x:v>https://sts2log.com/cards</x:v>
      </x:c>
      <x:c r="P935" s="17" t="str">
        <x:v>https://slaythespire2.net/ancient/orobas</x:v>
      </x:c>
    </x:row>
    <x:row r="936" ht="25" customHeight="1">
      <x:c r="A936" s="2" t="str">
        <x:v>v0.111</x:v>
      </x:c>
      <x:c r="B936" s="2" t="str">
        <x:v>储君</x:v>
      </x:c>
      <x:c r="C936" s="2" t="str">
        <x:v>欧洛巴斯</x:v>
      </x:c>
      <x:c r="D936" s="2" t="str">
        <x:v>浮木</x:v>
      </x:c>
      <x:c r="E936" s="16" t="n">
        <x:f>IF(G936=0,I936,IF(G936=1,H936,G936*H936+(1-G936)*I936))</x:f>
        <x:v>0.38724447999999995</x:v>
      </x:c>
      <x:c r="F936" s="12" t="n">
        <x:v>1126</x:v>
      </x:c>
      <x:c r="G936" s="11" t="n">
        <x:v>0.1288</x:v>
      </x:c>
      <x:c r="H936" s="11" t="n">
        <x:v>0.3172</x:v>
      </x:c>
      <x:c r="I936" s="11" t="n">
        <x:v>0.39759999999999995</x:v>
      </x:c>
      <x:c r="J936" s="13" t="n">
        <x:f>IF(OR(G936=0,G936=1),"",(H936-I936)*100)</x:f>
        <x:v>-8.039999999999997</x:v>
      </x:c>
      <x:c r="K936" s="14" t="n">
        <x:v>2.86</x:v>
      </x:c>
      <x:c r="L936" s="15" t="n">
        <x:f>F936*G936</x:f>
        <x:v>145.0288</x:v>
      </x:c>
      <x:c r="M936" s="15" t="n">
        <x:f>F936-L936</x:f>
        <x:v>980.9712</x:v>
      </x:c>
      <x:c r="N936" s="17" t="str"/>
      <x:c r="O936" s="17" t="str">
        <x:v>https://sts2log.com/cards</x:v>
      </x:c>
      <x:c r="P936" s="17" t="str">
        <x:v>https://slaythespire2.net/ancient/orobas</x:v>
      </x:c>
    </x:row>
    <x:row r="937" ht="25" customHeight="1">
      <x:c r="A937" s="2" t="str">
        <x:v>v0.111</x:v>
      </x:c>
      <x:c r="B937" s="2" t="str">
        <x:v>储君</x:v>
      </x:c>
      <x:c r="C937" s="2" t="str">
        <x:v>欧洛巴斯</x:v>
      </x:c>
      <x:c r="D937" s="2" t="str">
        <x:v>玻璃眼珠</x:v>
      </x:c>
      <x:c r="E937" s="16" t="n">
        <x:f>IF(G937=0,I937,IF(G937=1,H937,G937*H937+(1-G937)*I937))</x:f>
        <x:v>0.3747372</x:v>
      </x:c>
      <x:c r="F937" s="12" t="n">
        <x:v>1876</x:v>
      </x:c>
      <x:c r="G937" s="11" t="n">
        <x:v>0.3833</x:v>
      </x:c>
      <x:c r="H937" s="11" t="n">
        <x:v>0.3032</x:v>
      </x:c>
      <x:c r="I937" s="11" t="n">
        <x:v>0.4192</x:v>
      </x:c>
      <x:c r="J937" s="13" t="n">
        <x:f>IF(OR(G937=0,G937=1),"",(H937-I937)*100)</x:f>
        <x:v>-11.6</x:v>
      </x:c>
      <x:c r="K937" s="14" t="n">
        <x:v>1.46</x:v>
      </x:c>
      <x:c r="L937" s="15" t="n">
        <x:f>F937*G937</x:f>
        <x:v>719.0708</x:v>
      </x:c>
      <x:c r="M937" s="15" t="n">
        <x:f>F937-L937</x:f>
        <x:v>1156.9292</x:v>
      </x:c>
      <x:c r="N937" s="17" t="str"/>
      <x:c r="O937" s="17" t="str">
        <x:v>https://sts2log.com/cards</x:v>
      </x:c>
      <x:c r="P937" s="17" t="str">
        <x:v>https://slaythespire2.net/ancient/orobas</x:v>
      </x:c>
    </x:row>
    <x:row r="938" ht="25" customHeight="1">
      <x:c r="A938" s="2" t="str">
        <x:v>v0.111</x:v>
      </x:c>
      <x:c r="B938" s="2" t="str">
        <x:v>储君</x:v>
      </x:c>
      <x:c r="C938" s="2" t="str">
        <x:v>佩尔</x:v>
      </x:c>
      <x:c r="D938" s="2" t="str">
        <x:v>佩尔之牙</x:v>
      </x:c>
      <x:c r="E938" s="16" t="n">
        <x:f>IF(G938=0,I938,IF(G938=1,H938,G938*H938+(1-G938)*I938))</x:f>
        <x:v>0.44826794000000003</x:v>
      </x:c>
      <x:c r="F938" s="12" t="n">
        <x:v>1642</x:v>
      </x:c>
      <x:c r="G938" s="11" t="n">
        <x:v>0.0987</x:v>
      </x:c>
      <x:c r="H938" s="11" t="n">
        <x:v>0.3457</x:v>
      </x:c>
      <x:c r="I938" s="11" t="n">
        <x:v>0.4595</x:v>
      </x:c>
      <x:c r="J938" s="13" t="n">
        <x:f>IF(OR(G938=0,G938=1),"",(H938-I938)*100)</x:f>
        <x:v>-11.38</x:v>
      </x:c>
      <x:c r="K938" s="14" t="n">
        <x:v>5.71</x:v>
      </x:c>
      <x:c r="L938" s="15" t="n">
        <x:f>F938*G938</x:f>
        <x:v>162.06539999999998</x:v>
      </x:c>
      <x:c r="M938" s="15" t="n">
        <x:f>F938-L938</x:f>
        <x:v>1479.9346</x:v>
      </x:c>
      <x:c r="N938" s="17" t="str"/>
      <x:c r="O938" s="17" t="str">
        <x:v>https://sts2log.com/cards</x:v>
      </x:c>
      <x:c r="P938" s="17" t="str">
        <x:v>https://slaythespire2.net/ancient/pael</x:v>
      </x:c>
    </x:row>
    <x:row r="939" ht="25" customHeight="1">
      <x:c r="A939" s="2" t="str">
        <x:v>v0.111</x:v>
      </x:c>
      <x:c r="B939" s="2" t="str">
        <x:v>储君</x:v>
      </x:c>
      <x:c r="C939" s="2" t="str">
        <x:v>佩尔</x:v>
      </x:c>
      <x:c r="D939" s="2" t="str">
        <x:v>佩尔的增生组织</x:v>
      </x:c>
      <x:c r="E939" s="16" t="n">
        <x:f>IF(G939=0,I939,IF(G939=1,H939,G939*H939+(1-G939)*I939))</x:f>
        <x:v>0.44716114999999995</x:v>
      </x:c>
      <x:c r="F939" s="12" t="n">
        <x:v>729</x:v>
      </x:c>
      <x:c r="G939" s="11" t="n">
        <x:v>0.2757</x:v>
      </x:c>
      <x:c r="H939" s="11" t="n">
        <x:v>0.4975</x:v>
      </x:c>
      <x:c r="I939" s="11" t="n">
        <x:v>0.428</x:v>
      </x:c>
      <x:c r="J939" s="13" t="n">
        <x:f>IF(OR(G939=0,G939=1),"",(H939-I939)*100)</x:f>
        <x:v>6.950000000000001</x:v>
      </x:c>
      <x:c r="K939" s="14" t="n">
        <x:v>20.89</x:v>
      </x:c>
      <x:c r="L939" s="15" t="n">
        <x:f>F939*G939</x:f>
        <x:v>200.9853</x:v>
      </x:c>
      <x:c r="M939" s="15" t="n">
        <x:f>F939-L939</x:f>
        <x:v>528.0147</x:v>
      </x:c>
      <x:c r="N939" s="17" t="str"/>
      <x:c r="O939" s="17" t="str">
        <x:v>https://sts2log.com/cards</x:v>
      </x:c>
      <x:c r="P939" s="17" t="str">
        <x:v>https://slaythespire2.net/ancient/pael</x:v>
      </x:c>
    </x:row>
    <x:row r="940" ht="25" customHeight="1">
      <x:c r="A940" s="2" t="str">
        <x:v>v0.111</x:v>
      </x:c>
      <x:c r="B940" s="2" t="str">
        <x:v>储君</x:v>
      </x:c>
      <x:c r="C940" s="2" t="str">
        <x:v>佩尔</x:v>
      </x:c>
      <x:c r="D940" s="2" t="str">
        <x:v>佩尔之血</x:v>
      </x:c>
      <x:c r="E940" s="16" t="n">
        <x:f>IF(G940=0,I940,IF(G940=1,H940,G940*H940+(1-G940)*I940))</x:f>
        <x:v>0.4447152</x:v>
      </x:c>
      <x:c r="F940" s="12" t="n">
        <x:v>1772</x:v>
      </x:c>
      <x:c r="G940" s="11" t="n">
        <x:v>0.5604</x:v>
      </x:c>
      <x:c r="H940" s="11" t="n">
        <x:v>0.48340000000000005</x:v>
      </x:c>
      <x:c r="I940" s="11" t="n">
        <x:v>0.3954</x:v>
      </x:c>
      <x:c r="J940" s="13" t="n">
        <x:f>IF(OR(G940=0,G940=1),"",(H940-I940)*100)</x:f>
        <x:v>8.800000000000008</x:v>
      </x:c>
      <x:c r="K940" s="14" t="n">
        <x:v>19.48</x:v>
      </x:c>
      <x:c r="L940" s="15" t="n">
        <x:f>F940*G940</x:f>
        <x:v>993.0288</x:v>
      </x:c>
      <x:c r="M940" s="15" t="n">
        <x:f>F940-L940</x:f>
        <x:v>778.9712</x:v>
      </x:c>
      <x:c r="N940" s="17" t="str"/>
      <x:c r="O940" s="17" t="str">
        <x:v>https://sts2log.com/cards</x:v>
      </x:c>
      <x:c r="P940" s="17" t="str">
        <x:v>https://slaythespire2.net/ancient/pael</x:v>
      </x:c>
    </x:row>
    <x:row r="941" ht="25" customHeight="1">
      <x:c r="A941" s="2" t="str">
        <x:v>v0.111</x:v>
      </x:c>
      <x:c r="B941" s="2" t="str">
        <x:v>储君</x:v>
      </x:c>
      <x:c r="C941" s="2" t="str">
        <x:v>佩尔</x:v>
      </x:c>
      <x:c r="D941" s="2" t="str">
        <x:v>佩尔之肉</x:v>
      </x:c>
      <x:c r="E941" s="16" t="n">
        <x:f>IF(G941=0,I941,IF(G941=1,H941,G941*H941+(1-G941)*I941))</x:f>
        <x:v>0.44297492</x:v>
      </x:c>
      <x:c r="F941" s="12" t="n">
        <x:v>1815</x:v>
      </x:c>
      <x:c r="G941" s="11" t="n">
        <x:v>0.4551</x:v>
      </x:c>
      <x:c r="H941" s="11" t="n">
        <x:v>0.3826</x:v>
      </x:c>
      <x:c r="I941" s="11" t="n">
        <x:v>0.49340000000000006</x:v>
      </x:c>
      <x:c r="J941" s="13" t="n">
        <x:f>IF(OR(G941=0,G941=1),"",(H941-I941)*100)</x:f>
        <x:v>-11.080000000000007</x:v>
      </x:c>
      <x:c r="K941" s="14" t="n">
        <x:v>9.4</x:v>
      </x:c>
      <x:c r="L941" s="15" t="n">
        <x:f>F941*G941</x:f>
        <x:v>826.0065</x:v>
      </x:c>
      <x:c r="M941" s="15" t="n">
        <x:f>F941-L941</x:f>
        <x:v>988.9935</x:v>
      </x:c>
      <x:c r="N941" s="17" t="str"/>
      <x:c r="O941" s="17" t="str">
        <x:v>https://sts2log.com/cards</x:v>
      </x:c>
      <x:c r="P941" s="17" t="str">
        <x:v>https://slaythespire2.net/ancient/pael</x:v>
      </x:c>
    </x:row>
    <x:row r="942" ht="25" customHeight="1">
      <x:c r="A942" s="2" t="str">
        <x:v>v0.111</x:v>
      </x:c>
      <x:c r="B942" s="2" t="str">
        <x:v>储君</x:v>
      </x:c>
      <x:c r="C942" s="2" t="str">
        <x:v>佩尔</x:v>
      </x:c>
      <x:c r="D942" s="2" t="str">
        <x:v>佩尔的士兵</x:v>
      </x:c>
      <x:c r="E942" s="16" t="n">
        <x:f>IF(G942=0,I942,IF(G942=1,H942,G942*H942+(1-G942)*I942))</x:f>
        <x:v>0.43698278</x:v>
      </x:c>
      <x:c r="F942" s="12" t="n">
        <x:v>1849</x:v>
      </x:c>
      <x:c r="G942" s="11" t="n">
        <x:v>0.5019</x:v>
      </x:c>
      <x:c r="H942" s="11" t="n">
        <x:v>0.4849</x:v>
      </x:c>
      <x:c r="I942" s="11" t="n">
        <x:v>0.3887</x:v>
      </x:c>
      <x:c r="J942" s="13" t="n">
        <x:f>IF(OR(G942=0,G942=1),"",(H942-I942)*100)</x:f>
        <x:v>9.620000000000001</x:v>
      </x:c>
      <x:c r="K942" s="14" t="n">
        <x:v>19.63</x:v>
      </x:c>
      <x:c r="L942" s="15" t="n">
        <x:f>F942*G942</x:f>
        <x:v>928.0131</x:v>
      </x:c>
      <x:c r="M942" s="15" t="n">
        <x:f>F942-L942</x:f>
        <x:v>920.9869</x:v>
      </x:c>
      <x:c r="N942" s="17" t="str"/>
      <x:c r="O942" s="17" t="str">
        <x:v>https://sts2log.com/cards</x:v>
      </x:c>
      <x:c r="P942" s="17" t="str">
        <x:v>https://slaythespire2.net/ancient/pael</x:v>
      </x:c>
    </x:row>
    <x:row r="943" ht="25" customHeight="1">
      <x:c r="A943" s="2" t="str">
        <x:v>v0.111</x:v>
      </x:c>
      <x:c r="B943" s="2" t="str">
        <x:v>储君</x:v>
      </x:c>
      <x:c r="C943" s="2" t="str">
        <x:v>佩尔</x:v>
      </x:c>
      <x:c r="D943" s="2" t="str">
        <x:v>佩尔之泪</x:v>
      </x:c>
      <x:c r="E943" s="16" t="n">
        <x:f>IF(G943=0,I943,IF(G943=1,H943,G943*H943+(1-G943)*I943))</x:f>
        <x:v>0.42989448</x:v>
      </x:c>
      <x:c r="F943" s="12" t="n">
        <x:v>1826</x:v>
      </x:c>
      <x:c r="G943" s="11" t="n">
        <x:v>0.4644</x:v>
      </x:c>
      <x:c r="H943" s="11" t="n">
        <x:v>0.4375</x:v>
      </x:c>
      <x:c r="I943" s="11" t="n">
        <x:v>0.4233</x:v>
      </x:c>
      <x:c r="J943" s="13" t="n">
        <x:f>IF(OR(G943=0,G943=1),"",(H943-I943)*100)</x:f>
        <x:v>1.419999999999999</x:v>
      </x:c>
      <x:c r="K943" s="14" t="n">
        <x:v>14.89</x:v>
      </x:c>
      <x:c r="L943" s="15" t="n">
        <x:f>F943*G943</x:f>
        <x:v>847.9943999999999</x:v>
      </x:c>
      <x:c r="M943" s="15" t="n">
        <x:f>F943-L943</x:f>
        <x:v>978.0056000000001</x:v>
      </x:c>
      <x:c r="N943" s="17" t="str"/>
      <x:c r="O943" s="17" t="str">
        <x:v>https://sts2log.com/cards</x:v>
      </x:c>
      <x:c r="P943" s="17" t="str">
        <x:v>https://slaythespire2.net/ancient/pael</x:v>
      </x:c>
    </x:row>
    <x:row r="944" ht="25" customHeight="1">
      <x:c r="A944" s="2" t="str">
        <x:v>v0.111</x:v>
      </x:c>
      <x:c r="B944" s="2" t="str">
        <x:v>储君</x:v>
      </x:c>
      <x:c r="C944" s="2" t="str">
        <x:v>佩尔</x:v>
      </x:c>
      <x:c r="D944" s="2" t="str">
        <x:v>佩尔之爪</x:v>
      </x:c>
      <x:c r="E944" s="16" t="n">
        <x:f>IF(G944=0,I944,IF(G944=1,H944,G944*H944+(1-G944)*I944))</x:f>
        <x:v>0.42476980000000003</x:v>
      </x:c>
      <x:c r="F944" s="12" t="n">
        <x:v>1495</x:v>
      </x:c>
      <x:c r="G944" s="11" t="n">
        <x:v>0.20199999999999999</x:v>
      </x:c>
      <x:c r="H944" s="11" t="n">
        <x:v>0.38079999999999997</x:v>
      </x:c>
      <x:c r="I944" s="11" t="n">
        <x:v>0.4359</x:v>
      </x:c>
      <x:c r="J944" s="13" t="n">
        <x:f>IF(OR(G944=0,G944=1),"",(H944-I944)*100)</x:f>
        <x:v>-5.510000000000003</x:v>
      </x:c>
      <x:c r="K944" s="14" t="n">
        <x:v>9.22</x:v>
      </x:c>
      <x:c r="L944" s="15" t="n">
        <x:f>F944*G944</x:f>
        <x:v>301.98999999999995</x:v>
      </x:c>
      <x:c r="M944" s="15" t="n">
        <x:f>F944-L944</x:f>
        <x:v>1193.01</x:v>
      </x:c>
      <x:c r="N944" s="17" t="str"/>
      <x:c r="O944" s="17" t="str">
        <x:v>https://sts2log.com/cards</x:v>
      </x:c>
      <x:c r="P944" s="17" t="str">
        <x:v>https://slaythespire2.net/ancient/pael</x:v>
      </x:c>
    </x:row>
    <x:row r="945" ht="25" customHeight="1">
      <x:c r="A945" s="2" t="str">
        <x:v>v0.111</x:v>
      </x:c>
      <x:c r="B945" s="2" t="str">
        <x:v>储君</x:v>
      </x:c>
      <x:c r="C945" s="2" t="str">
        <x:v>佩尔</x:v>
      </x:c>
      <x:c r="D945" s="2" t="str">
        <x:v>佩尔之角</x:v>
      </x:c>
      <x:c r="E945" s="16" t="n">
        <x:f>IF(G945=0,I945,IF(G945=1,H945,G945*H945+(1-G945)*I945))</x:f>
        <x:v>0.41028718000000003</x:v>
      </x:c>
      <x:c r="F945" s="12" t="n">
        <x:v>1867</x:v>
      </x:c>
      <x:c r="G945" s="11" t="n">
        <x:v>0.2073</x:v>
      </x:c>
      <x:c r="H945" s="11" t="n">
        <x:v>0.4393</x:v>
      </x:c>
      <x:c r="I945" s="11" t="n">
        <x:v>0.40270000000000006</x:v>
      </x:c>
      <x:c r="J945" s="13" t="n">
        <x:f>IF(OR(G945=0,G945=1),"",(H945-I945)*100)</x:f>
        <x:v>3.6599999999999966</x:v>
      </x:c>
      <x:c r="K945" s="14" t="n">
        <x:v>15.07</x:v>
      </x:c>
      <x:c r="L945" s="15" t="n">
        <x:f>F945*G945</x:f>
        <x:v>387.0291</x:v>
      </x:c>
      <x:c r="M945" s="15" t="n">
        <x:f>F945-L945</x:f>
        <x:v>1479.9709</x:v>
      </x:c>
      <x:c r="N945" s="17" t="str"/>
      <x:c r="O945" s="17" t="str">
        <x:v>https://sts2log.com/cards</x:v>
      </x:c>
      <x:c r="P945" s="17" t="str">
        <x:v>https://slaythespire2.net/ancient/pael</x:v>
      </x:c>
    </x:row>
    <x:row r="946" ht="25" customHeight="1">
      <x:c r="A946" s="2" t="str">
        <x:v>v0.111</x:v>
      </x:c>
      <x:c r="B946" s="2" t="str">
        <x:v>储君</x:v>
      </x:c>
      <x:c r="C946" s="2" t="str">
        <x:v>佩尔</x:v>
      </x:c>
      <x:c r="D946" s="2" t="str">
        <x:v>佩尔之眼</x:v>
      </x:c>
      <x:c r="E946" s="16" t="n">
        <x:f>IF(G946=0,I946,IF(G946=1,H946,G946*H946+(1-G946)*I946))</x:f>
        <x:v>0.40224706</x:v>
      </x:c>
      <x:c r="F946" s="12" t="n">
        <x:v>1887</x:v>
      </x:c>
      <x:c r="G946" s="11" t="n">
        <x:v>0.1998</x:v>
      </x:c>
      <x:c r="H946" s="11" t="n">
        <x:v>0.374</x:v>
      </x:c>
      <x:c r="I946" s="11" t="n">
        <x:v>0.4093</x:v>
      </x:c>
      <x:c r="J946" s="13" t="n">
        <x:f>IF(OR(G946=0,G946=1),"",(H946-I946)*100)</x:f>
        <x:v>-3.53</x:v>
      </x:c>
      <x:c r="K946" s="14" t="n">
        <x:v>8.54</x:v>
      </x:c>
      <x:c r="L946" s="15" t="n">
        <x:f>F946*G946</x:f>
        <x:v>377.0226</x:v>
      </x:c>
      <x:c r="M946" s="15" t="n">
        <x:f>F946-L946</x:f>
        <x:v>1509.9774</x:v>
      </x:c>
      <x:c r="N946" s="17" t="str"/>
      <x:c r="O946" s="17" t="str">
        <x:v>https://sts2log.com/cards</x:v>
      </x:c>
      <x:c r="P946" s="17" t="str">
        <x:v>https://slaythespire2.net/ancient/pael</x:v>
      </x:c>
    </x:row>
    <x:row r="947" ht="25" customHeight="1">
      <x:c r="A947" s="2" t="str">
        <x:v>v0.111</x:v>
      </x:c>
      <x:c r="B947" s="2" t="str">
        <x:v>储君</x:v>
      </x:c>
      <x:c r="C947" s="2" t="str">
        <x:v>佩尔</x:v>
      </x:c>
      <x:c r="D947" s="2" t="str">
        <x:v>佩尔之翼</x:v>
      </x:c>
      <x:c r="E947" s="16" t="n">
        <x:f>IF(G947=0,I947,IF(G947=1,H947,G947*H947+(1-G947)*I947))</x:f>
        <x:v>0.40080399999999994</x:v>
      </x:c>
      <x:c r="F947" s="12" t="n">
        <x:v>1644</x:v>
      </x:c>
      <x:c r="G947" s="11" t="n">
        <x:v>0.292</x:v>
      </x:c>
      <x:c r="H947" s="11" t="n">
        <x:v>0.3208</x:v>
      </x:c>
      <x:c r="I947" s="11" t="n">
        <x:v>0.4338</x:v>
      </x:c>
      <x:c r="J947" s="13" t="n">
        <x:f>IF(OR(G947=0,G947=1),"",(H947-I947)*100)</x:f>
        <x:v>-11.300000000000004</x:v>
      </x:c>
      <x:c r="K947" s="14" t="n">
        <x:v>3.22</x:v>
      </x:c>
      <x:c r="L947" s="15" t="n">
        <x:f>F947*G947</x:f>
        <x:v>480.04799999999994</x:v>
      </x:c>
      <x:c r="M947" s="15" t="n">
        <x:f>F947-L947</x:f>
        <x:v>1163.952</x:v>
      </x:c>
      <x:c r="N947" s="17" t="str"/>
      <x:c r="O947" s="17" t="str">
        <x:v>https://sts2log.com/cards</x:v>
      </x:c>
      <x:c r="P947" s="17" t="str">
        <x:v>https://slaythespire2.net/ancient/pael</x:v>
      </x:c>
    </x:row>
    <x:row r="948" ht="25" customHeight="1">
      <x:c r="A948" s="2" t="str">
        <x:v>v0.111</x:v>
      </x:c>
      <x:c r="B948" s="2" t="str">
        <x:v>储君</x:v>
      </x:c>
      <x:c r="C948" s="2" t="str">
        <x:v>特兹卡塔拉</x:v>
      </x:c>
      <x:c r="D948" s="2" t="str">
        <x:v>南瓜蜡烛</x:v>
      </x:c>
      <x:c r="E948" s="16" t="n">
        <x:f>IF(G948=0,I948,IF(G948=1,H948,G948*H948+(1-G948)*I948))</x:f>
        <x:v>0.43573898</x:v>
      </x:c>
      <x:c r="F948" s="12" t="n">
        <x:v>1354</x:v>
      </x:c>
      <x:c r="G948" s="11" t="n">
        <x:v>0.4719</x:v>
      </x:c>
      <x:c r="H948" s="11" t="n">
        <x:v>0.45380000000000004</x:v>
      </x:c>
      <x:c r="I948" s="11" t="n">
        <x:v>0.41960000000000003</x:v>
      </x:c>
      <x:c r="J948" s="13" t="n">
        <x:f>IF(OR(G948=0,G948=1),"",(H948-I948)*100)</x:f>
        <x:v>3.420000000000001</x:v>
      </x:c>
      <x:c r="K948" s="14" t="n">
        <x:v>16.52</x:v>
      </x:c>
      <x:c r="L948" s="15" t="n">
        <x:f>F948*G948</x:f>
        <x:v>638.9526</x:v>
      </x:c>
      <x:c r="M948" s="15" t="n">
        <x:f>F948-L948</x:f>
        <x:v>715.0474</x:v>
      </x:c>
      <x:c r="N948" s="17" t="str"/>
      <x:c r="O948" s="17" t="str">
        <x:v>https://sts2log.com/cards</x:v>
      </x:c>
      <x:c r="P948" s="17" t="str">
        <x:v>https://slaythespire2.net/ancient/tezcatara</x:v>
      </x:c>
    </x:row>
    <x:row r="949" ht="25" customHeight="1">
      <x:c r="A949" s="2" t="str">
        <x:v>v0.111</x:v>
      </x:c>
      <x:c r="B949" s="2" t="str">
        <x:v>储君</x:v>
      </x:c>
      <x:c r="C949" s="2" t="str">
        <x:v>特兹卡塔拉</x:v>
      </x:c>
      <x:c r="D949" s="2" t="str">
        <x:v>烫嘴可可</x:v>
      </x:c>
      <x:c r="E949" s="16" t="n">
        <x:f>IF(G949=0,I949,IF(G949=1,H949,G949*H949+(1-G949)*I949))</x:f>
        <x:v>0.43080562</x:v>
      </x:c>
      <x:c r="F949" s="12" t="n">
        <x:v>1815</x:v>
      </x:c>
      <x:c r="G949" s="11" t="n">
        <x:v>0.3554</x:v>
      </x:c>
      <x:c r="H949" s="11" t="n">
        <x:v>0.38909999999999995</x:v>
      </x:c>
      <x:c r="I949" s="11" t="n">
        <x:v>0.45380000000000004</x:v>
      </x:c>
      <x:c r="J949" s="13" t="n">
        <x:f>IF(OR(G949=0,G949=1),"",(H949-I949)*100)</x:f>
        <x:v>-6.4700000000000095</x:v>
      </x:c>
      <x:c r="K949" s="14" t="n">
        <x:v>10.05</x:v>
      </x:c>
      <x:c r="L949" s="15" t="n">
        <x:f>F949*G949</x:f>
        <x:v>645.051</x:v>
      </x:c>
      <x:c r="M949" s="15" t="n">
        <x:f>F949-L949</x:f>
        <x:v>1169.949</x:v>
      </x:c>
      <x:c r="N949" s="17" t="str"/>
      <x:c r="O949" s="17" t="str">
        <x:v>https://sts2log.com/cards</x:v>
      </x:c>
      <x:c r="P949" s="17" t="str">
        <x:v>https://slaythespire2.net/ancient/tezcatara</x:v>
      </x:c>
    </x:row>
    <x:row r="950" ht="25" customHeight="1">
      <x:c r="A950" s="2" t="str">
        <x:v>v0.111</x:v>
      </x:c>
      <x:c r="B950" s="2" t="str">
        <x:v>储君</x:v>
      </x:c>
      <x:c r="C950" s="2" t="str">
        <x:v>特兹卡塔拉</x:v>
      </x:c>
      <x:c r="D950" s="2" t="str">
        <x:v>故事书</x:v>
      </x:c>
      <x:c r="E950" s="16" t="n">
        <x:f>IF(G950=0,I950,IF(G950=1,H950,G950*H950+(1-G950)*I950))</x:f>
        <x:v>0.42854559999999997</x:v>
      </x:c>
      <x:c r="F950" s="12" t="n">
        <x:v>1862</x:v>
      </x:c>
      <x:c r="G950" s="11" t="n">
        <x:v>0.2965</x:v>
      </x:c>
      <x:c r="H950" s="11" t="n">
        <x:v>0.48369999999999996</x:v>
      </x:c>
      <x:c r="I950" s="11" t="n">
        <x:v>0.4053</x:v>
      </x:c>
      <x:c r="J950" s="13" t="n">
        <x:f>IF(OR(G950=0,G950=1),"",(H950-I950)*100)</x:f>
        <x:v>7.839999999999997</x:v>
      </x:c>
      <x:c r="K950" s="14" t="n">
        <x:v>19.51</x:v>
      </x:c>
      <x:c r="L950" s="15" t="n">
        <x:f>F950*G950</x:f>
        <x:v>552.083</x:v>
      </x:c>
      <x:c r="M950" s="15" t="n">
        <x:f>F950-L950</x:f>
        <x:v>1309.917</x:v>
      </x:c>
      <x:c r="N950" s="17" t="str"/>
      <x:c r="O950" s="17" t="str">
        <x:v>https://sts2log.com/cards</x:v>
      </x:c>
      <x:c r="P950" s="17" t="str">
        <x:v>https://slaythespire2.net/ancient/tezcatara</x:v>
      </x:c>
    </x:row>
    <x:row r="951" ht="25" customHeight="1">
      <x:c r="A951" s="2" t="str">
        <x:v>v0.111</x:v>
      </x:c>
      <x:c r="B951" s="2" t="str">
        <x:v>储君</x:v>
      </x:c>
      <x:c r="C951" s="2" t="str">
        <x:v>特兹卡塔拉</x:v>
      </x:c>
      <x:c r="D951" s="2" t="str">
        <x:v>黄金印</x:v>
      </x:c>
      <x:c r="E951" s="16" t="n">
        <x:f>IF(G951=0,I951,IF(G951=1,H951,G951*H951+(1-G951)*I951))</x:f>
        <x:v>0.42734835</x:v>
      </x:c>
      <x:c r="F951" s="12" t="n">
        <x:v>1418</x:v>
      </x:c>
      <x:c r="G951" s="11" t="n">
        <x:v>0.38789999999999997</x:v>
      </x:c>
      <x:c r="H951" s="11" t="n">
        <x:v>0.5109</x:v>
      </x:c>
      <x:c r="I951" s="11" t="n">
        <x:v>0.37439999999999996</x:v>
      </x:c>
      <x:c r="J951" s="13" t="n">
        <x:f>IF(OR(G951=0,G951=1),"",(H951-I951)*100)</x:f>
        <x:v>13.650000000000006</x:v>
      </x:c>
      <x:c r="K951" s="14" t="n">
        <x:v>22.23</x:v>
      </x:c>
      <x:c r="L951" s="15" t="n">
        <x:f>F951*G951</x:f>
        <x:v>550.0422</x:v>
      </x:c>
      <x:c r="M951" s="15" t="n">
        <x:f>F951-L951</x:f>
        <x:v>867.9578</x:v>
      </x:c>
      <x:c r="N951" s="17" t="str"/>
      <x:c r="O951" s="17" t="str">
        <x:v>https://sts2log.com/cards</x:v>
      </x:c>
      <x:c r="P951" s="17" t="str">
        <x:v>https://slaythespire2.net/ancient/tezcatara</x:v>
      </x:c>
    </x:row>
    <x:row r="952" ht="25" customHeight="1">
      <x:c r="A952" s="2" t="str">
        <x:v>v0.111</x:v>
      </x:c>
      <x:c r="B952" s="2" t="str">
        <x:v>储君</x:v>
      </x:c>
      <x:c r="C952" s="2" t="str">
        <x:v>特兹卡塔拉</x:v>
      </x:c>
      <x:c r="D952" s="2" t="str">
        <x:v>美味饼干</x:v>
      </x:c>
      <x:c r="E952" s="16" t="n">
        <x:f>IF(G952=0,I952,IF(G952=1,H952,G952*H952+(1-G952)*I952))</x:f>
        <x:v>0.42516248</x:v>
      </x:c>
      <x:c r="F952" s="12" t="n">
        <x:v>1825</x:v>
      </x:c>
      <x:c r="G952" s="11" t="n">
        <x:v>0.38520000000000004</x:v>
      </x:c>
      <x:c r="H952" s="11" t="n">
        <x:v>0.3129</x:v>
      </x:c>
      <x:c r="I952" s="11" t="n">
        <x:v>0.4955</x:v>
      </x:c>
      <x:c r="J952" s="13" t="n">
        <x:f>IF(OR(G952=0,G952=1),"",(H952-I952)*100)</x:f>
        <x:v>-18.259999999999998</x:v>
      </x:c>
      <x:c r="K952" s="14" t="n">
        <x:v>2.43</x:v>
      </x:c>
      <x:c r="L952" s="15" t="n">
        <x:f>F952*G952</x:f>
        <x:v>702.9900000000001</x:v>
      </x:c>
      <x:c r="M952" s="15" t="n">
        <x:f>F952-L952</x:f>
        <x:v>1122.0099999999998</x:v>
      </x:c>
      <x:c r="N952" s="17" t="str"/>
      <x:c r="O952" s="17" t="str">
        <x:v>https://sts2log.com/cards</x:v>
      </x:c>
      <x:c r="P952" s="17" t="str">
        <x:v>https://slaythespire2.net/ancient/tezcatara</x:v>
      </x:c>
    </x:row>
    <x:row r="953" ht="25" customHeight="1">
      <x:c r="A953" s="2" t="str">
        <x:v>v0.111</x:v>
      </x:c>
      <x:c r="B953" s="2" t="str">
        <x:v>储君</x:v>
      </x:c>
      <x:c r="C953" s="2" t="str">
        <x:v>特兹卡塔拉</x:v>
      </x:c>
      <x:c r="D953" s="2" t="str">
        <x:v>大～抱抱</x:v>
      </x:c>
      <x:c r="E953" s="16" t="n">
        <x:f>IF(G953=0,I953,IF(G953=1,H953,G953*H953+(1-G953)*I953))</x:f>
        <x:v>0.42445951000000004</x:v>
      </x:c>
      <x:c r="F953" s="12" t="n">
        <x:v>1800</x:v>
      </x:c>
      <x:c r="G953" s="11" t="n">
        <x:v>0.30670000000000003</x:v>
      </x:c>
      <x:c r="H953" s="11" t="n">
        <x:v>0.442</x:v>
      </x:c>
      <x:c r="I953" s="11" t="n">
        <x:v>0.4167</x:v>
      </x:c>
      <x:c r="J953" s="13" t="n">
        <x:f>IF(OR(G953=0,G953=1),"",(H953-I953)*100)</x:f>
        <x:v>2.529999999999999</x:v>
      </x:c>
      <x:c r="K953" s="14" t="n">
        <x:v>15.34</x:v>
      </x:c>
      <x:c r="L953" s="15" t="n">
        <x:f>F953*G953</x:f>
        <x:v>552.0600000000001</x:v>
      </x:c>
      <x:c r="M953" s="15" t="n">
        <x:f>F953-L953</x:f>
        <x:v>1247.94</x:v>
      </x:c>
      <x:c r="N953" s="17" t="str"/>
      <x:c r="O953" s="17" t="str">
        <x:v>https://sts2log.com/cards</x:v>
      </x:c>
      <x:c r="P953" s="17" t="str">
        <x:v>https://slaythespire2.net/ancient/tezcatara</x:v>
      </x:c>
    </x:row>
    <x:row r="954" ht="25" customHeight="1">
      <x:c r="A954" s="2" t="str">
        <x:v>v0.111</x:v>
      </x:c>
      <x:c r="B954" s="2" t="str">
        <x:v>储君</x:v>
      </x:c>
      <x:c r="C954" s="2" t="str">
        <x:v>特兹卡塔拉</x:v>
      </x:c>
      <x:c r="D954" s="2" t="str">
        <x:v>玩具盒</x:v>
      </x:c>
      <x:c r="E954" s="16" t="n">
        <x:f>IF(G954=0,I954,IF(G954=1,H954,G954*H954+(1-G954)*I954))</x:f>
        <x:v>0.41910154</x:v>
      </x:c>
      <x:c r="F954" s="12" t="n">
        <x:v>1403</x:v>
      </x:c>
      <x:c r="G954" s="11" t="n">
        <x:v>0.3763</x:v>
      </x:c>
      <x:c r="H954" s="11" t="n">
        <x:v>0.5038</x:v>
      </x:c>
      <x:c r="I954" s="11" t="n">
        <x:v>0.368</x:v>
      </x:c>
      <x:c r="J954" s="13" t="n">
        <x:f>IF(OR(G954=0,G954=1),"",(H954-I954)*100)</x:f>
        <x:v>13.580000000000004</x:v>
      </x:c>
      <x:c r="K954" s="14" t="n">
        <x:v>21.52</x:v>
      </x:c>
      <x:c r="L954" s="15" t="n">
        <x:f>F954*G954</x:f>
        <x:v>527.9489</x:v>
      </x:c>
      <x:c r="M954" s="15" t="n">
        <x:f>F954-L954</x:f>
        <x:v>875.0511</x:v>
      </x:c>
      <x:c r="N954" s="17" t="str"/>
      <x:c r="O954" s="17" t="str">
        <x:v>https://sts2log.com/cards</x:v>
      </x:c>
      <x:c r="P954" s="17" t="str">
        <x:v>https://slaythespire2.net/ancient/tezcatara</x:v>
      </x:c>
    </x:row>
    <x:row r="955" ht="25" customHeight="1">
      <x:c r="A955" s="2" t="str">
        <x:v>v0.111</x:v>
      </x:c>
      <x:c r="B955" s="2" t="str">
        <x:v>储君</x:v>
      </x:c>
      <x:c r="C955" s="2" t="str">
        <x:v>特兹卡塔拉</x:v>
      </x:c>
      <x:c r="D955" s="2" t="str">
        <x:v>烘焙手套</x:v>
      </x:c>
      <x:c r="E955" s="16" t="n">
        <x:f>IF(G955=0,I955,IF(G955=1,H955,G955*H955+(1-G955)*I955))</x:f>
        <x:v>0.40647335</x:v>
      </x:c>
      <x:c r="F955" s="12" t="n">
        <x:v>1877</x:v>
      </x:c>
      <x:c r="G955" s="11" t="n">
        <x:v>0.3799</x:v>
      </x:c>
      <x:c r="H955" s="11" t="n">
        <x:v>0.3857</x:v>
      </x:c>
      <x:c r="I955" s="11" t="n">
        <x:v>0.4192</x:v>
      </x:c>
      <x:c r="J955" s="13" t="n">
        <x:f>IF(OR(G955=0,G955=1),"",(H955-I955)*100)</x:f>
        <x:v>-3.350000000000003</x:v>
      </x:c>
      <x:c r="K955" s="14" t="n">
        <x:v>9.71</x:v>
      </x:c>
      <x:c r="L955" s="15" t="n">
        <x:f>F955*G955</x:f>
        <x:v>713.0723</x:v>
      </x:c>
      <x:c r="M955" s="15" t="n">
        <x:f>F955-L955</x:f>
        <x:v>1163.9277</x:v>
      </x:c>
      <x:c r="N955" s="17" t="str"/>
      <x:c r="O955" s="17" t="str">
        <x:v>https://sts2log.com/cards</x:v>
      </x:c>
      <x:c r="P955" s="17" t="str">
        <x:v>https://slaythespire2.net/ancient/tezcatara</x:v>
      </x:c>
    </x:row>
    <x:row r="956" ht="25" customHeight="1">
      <x:c r="A956" s="2" t="str">
        <x:v>v0.111</x:v>
      </x:c>
      <x:c r="B956" s="2" t="str">
        <x:v>储君</x:v>
      </x:c>
      <x:c r="C956" s="2" t="str">
        <x:v>特兹卡塔拉</x:v>
      </x:c>
      <x:c r="D956" s="2" t="str">
        <x:v>营养汤</x:v>
      </x:c>
      <x:c r="E956" s="16" t="n">
        <x:f>IF(G956=0,I956,IF(G956=1,H956,G956*H956+(1-G956)*I956))</x:f>
        <x:v>0.40386568999999994</x:v>
      </x:c>
      <x:c r="F956" s="12" t="n">
        <x:v>1899</x:v>
      </x:c>
      <x:c r="G956" s="11" t="n">
        <x:v>0.1543</x:v>
      </x:c>
      <x:c r="H956" s="11" t="n">
        <x:v>0.3686</x:v>
      </x:c>
      <x:c r="I956" s="11" t="n">
        <x:v>0.4103</x:v>
      </x:c>
      <x:c r="J956" s="13" t="n">
        <x:f>IF(OR(G956=0,G956=1),"",(H956-I956)*100)</x:f>
        <x:v>-4.170000000000002</x:v>
      </x:c>
      <x:c r="K956" s="14" t="n">
        <x:v>8</x:v>
      </x:c>
      <x:c r="L956" s="15" t="n">
        <x:f>F956*G956</x:f>
        <x:v>293.0157</x:v>
      </x:c>
      <x:c r="M956" s="15" t="n">
        <x:f>F956-L956</x:f>
        <x:v>1605.9843</x:v>
      </x:c>
      <x:c r="N956" s="17" t="str"/>
      <x:c r="O956" s="17" t="str">
        <x:v>https://sts2log.com/cards</x:v>
      </x:c>
      <x:c r="P956" s="17" t="str">
        <x:v>https://slaythespire2.net/ancient/tezcatara</x:v>
      </x:c>
    </x:row>
    <x:row r="957" ht="25" customHeight="1">
      <x:c r="A957" s="2" t="str">
        <x:v>v0.111</x:v>
      </x:c>
      <x:c r="B957" s="2" t="str">
        <x:v>储君</x:v>
      </x:c>
      <x:c r="C957" s="2" t="str">
        <x:v>特兹卡塔拉</x:v>
      </x:c>
      <x:c r="D957" s="2" t="str">
        <x:v>黄金罗盘</x:v>
      </x:c>
      <x:c r="E957" s="16" t="n">
        <x:f>IF(G957=0,I957,IF(G957=1,H957,G957*H957+(1-G957)*I957))</x:f>
        <x:v>0.39645752</x:v>
      </x:c>
      <x:c r="F957" s="12" t="n">
        <x:v>1367</x:v>
      </x:c>
      <x:c r="G957" s="11" t="n">
        <x:v>0.2619</x:v>
      </x:c>
      <x:c r="H957" s="11" t="n">
        <x:v>0.33799999999999997</x:v>
      </x:c>
      <x:c r="I957" s="11" t="n">
        <x:v>0.4172</x:v>
      </x:c>
      <x:c r="J957" s="13" t="n">
        <x:f>IF(OR(G957=0,G957=1),"",(H957-I957)*100)</x:f>
        <x:v>-7.920000000000005</x:v>
      </x:c>
      <x:c r="K957" s="14" t="n">
        <x:v>4.94</x:v>
      </x:c>
      <x:c r="L957" s="15" t="n">
        <x:f>F957*G957</x:f>
        <x:v>358.01730000000003</x:v>
      </x:c>
      <x:c r="M957" s="15" t="n">
        <x:f>F957-L957</x:f>
        <x:v>1008.9827</x:v>
      </x:c>
      <x:c r="N957" s="17" t="str"/>
      <x:c r="O957" s="17" t="str">
        <x:v>https://sts2log.com/cards</x:v>
      </x:c>
      <x:c r="P957" s="17" t="str">
        <x:v>https://slaythespire2.net/ancient/tezcatara</x:v>
      </x:c>
    </x:row>
    <x:row r="958" ht="25" customHeight="1">
      <x:c r="A958" s="2" t="str">
        <x:v>v0.111</x:v>
      </x:c>
      <x:c r="B958" s="2" t="str">
        <x:v>储君</x:v>
      </x:c>
      <x:c r="C958" s="2" t="str">
        <x:v>诺奴佩普</x:v>
      </x:c>
      <x:c r="D958" s="2" t="str">
        <x:v>艳丽围巾</x:v>
      </x:c>
      <x:c r="E958" s="16" t="n">
        <x:f>IF(G958=0,I958,IF(G958=1,H958,G958*H958+(1-G958)*I958))</x:f>
        <x:v>0.6870560000000001</x:v>
      </x:c>
      <x:c r="F958" s="12" t="n">
        <x:v>1128</x:v>
      </x:c>
      <x:c r="G958" s="11" t="n">
        <x:v>0.5540999999999999</x:v>
      </x:c>
      <x:c r="H958" s="11" t="n">
        <x:v>0.7584000000000001</x:v>
      </x:c>
      <x:c r="I958" s="11" t="n">
        <x:v>0.5984</x:v>
      </x:c>
      <x:c r="J958" s="13" t="n">
        <x:f>IF(OR(G958=0,G958=1),"",(H958-I958)*100)</x:f>
        <x:v>16.000000000000004</x:v>
      </x:c>
      <x:c r="K958" s="14" t="n">
        <x:v>46.98</x:v>
      </x:c>
      <x:c r="L958" s="15" t="n">
        <x:f>F958*G958</x:f>
        <x:v>625.0247999999999</x:v>
      </x:c>
      <x:c r="M958" s="15" t="n">
        <x:f>F958-L958</x:f>
        <x:v>502.9752000000001</x:v>
      </x:c>
      <x:c r="N958" s="17" t="str"/>
      <x:c r="O958" s="17" t="str">
        <x:v>https://sts2log.com/cards</x:v>
      </x:c>
      <x:c r="P958" s="17" t="str">
        <x:v>https://slaythespire2.net/ancient/nonupeipe</x:v>
      </x:c>
    </x:row>
    <x:row r="959" ht="25" customHeight="1">
      <x:c r="A959" s="2" t="str">
        <x:v>v0.111</x:v>
      </x:c>
      <x:c r="B959" s="2" t="str">
        <x:v>储君</x:v>
      </x:c>
      <x:c r="C959" s="2" t="str">
        <x:v>诺奴佩普</x:v>
      </x:c>
      <x:c r="D959" s="2" t="str">
        <x:v>钻石头冠</x:v>
      </x:c>
      <x:c r="E959" s="16" t="n">
        <x:f>IF(G959=0,I959,IF(G959=1,H959,G959*H959+(1-G959)*I959))</x:f>
        <x:v>0.672513</x:v>
      </x:c>
      <x:c r="F959" s="12" t="n">
        <x:v>1142</x:v>
      </x:c>
      <x:c r="G959" s="11" t="n">
        <x:v>0.46149999999999997</x:v>
      </x:c>
      <x:c r="H959" s="11" t="n">
        <x:v>0.7059000000000001</x:v>
      </x:c>
      <x:c r="I959" s="11" t="n">
        <x:v>0.6439</x:v>
      </x:c>
      <x:c r="J959" s="13" t="n">
        <x:f>IF(OR(G959=0,G959=1),"",(H959-I959)*100)</x:f>
        <x:v>6.2000000000000055</x:v>
      </x:c>
      <x:c r="K959" s="14" t="n">
        <x:v>41.73</x:v>
      </x:c>
      <x:c r="L959" s="15" t="n">
        <x:f>F959*G959</x:f>
        <x:v>527.033</x:v>
      </x:c>
      <x:c r="M959" s="15" t="n">
        <x:f>F959-L959</x:f>
        <x:v>614.967</x:v>
      </x:c>
      <x:c r="N959" s="17" t="str"/>
      <x:c r="O959" s="17" t="str">
        <x:v>https://sts2log.com/cards</x:v>
      </x:c>
      <x:c r="P959" s="17" t="str">
        <x:v>https://slaythespire2.net/ancient/nonupeipe</x:v>
      </x:c>
    </x:row>
    <x:row r="960" ht="25" customHeight="1">
      <x:c r="A960" s="2" t="str">
        <x:v>v0.111</x:v>
      </x:c>
      <x:c r="B960" s="2" t="str">
        <x:v>储君</x:v>
      </x:c>
      <x:c r="C960" s="2" t="str">
        <x:v>诺奴佩普</x:v>
      </x:c>
      <x:c r="D960" s="2" t="str">
        <x:v>图章戒指</x:v>
      </x:c>
      <x:c r="E960" s="16" t="n">
        <x:f>IF(G960=0,I960,IF(G960=1,H960,G960*H960+(1-G960)*I960))</x:f>
        <x:v>0.66110965</x:v>
      </x:c>
      <x:c r="F960" s="12" t="n">
        <x:v>1133</x:v>
      </x:c>
      <x:c r="G960" s="11" t="n">
        <x:v>0.4545</x:v>
      </x:c>
      <x:c r="H960" s="11" t="n">
        <x:v>0.6544</x:v>
      </x:c>
      <x:c r="I960" s="11" t="n">
        <x:v>0.6667000000000001</x:v>
      </x:c>
      <x:c r="J960" s="13" t="n">
        <x:f>IF(OR(G960=0,G960=1),"",(H960-I960)*100)</x:f>
        <x:v>-1.2300000000000089</x:v>
      </x:c>
      <x:c r="K960" s="14" t="n">
        <x:v>36.58</x:v>
      </x:c>
      <x:c r="L960" s="15" t="n">
        <x:f>F960*G960</x:f>
        <x:v>514.9485</x:v>
      </x:c>
      <x:c r="M960" s="15" t="n">
        <x:f>F960-L960</x:f>
        <x:v>618.0515</x:v>
      </x:c>
      <x:c r="N960" s="17" t="str"/>
      <x:c r="O960" s="17" t="str">
        <x:v>https://sts2log.com/cards</x:v>
      </x:c>
      <x:c r="P960" s="17" t="str">
        <x:v>https://slaythespire2.net/ancient/nonupeipe</x:v>
      </x:c>
    </x:row>
    <x:row r="961" ht="25" customHeight="1">
      <x:c r="A961" s="2" t="str">
        <x:v>v0.111</x:v>
      </x:c>
      <x:c r="B961" s="2" t="str">
        <x:v>储君</x:v>
      </x:c>
      <x:c r="C961" s="2" t="str">
        <x:v>诺奴佩普</x:v>
      </x:c>
      <x:c r="D961" s="2" t="str">
        <x:v>亮片</x:v>
      </x:c>
      <x:c r="E961" s="16" t="n">
        <x:f>IF(G961=0,I961,IF(G961=1,H961,G961*H961+(1-G961)*I961))</x:f>
        <x:v>0.6597222</x:v>
      </x:c>
      <x:c r="F961" s="12" t="n">
        <x:v>1102</x:v>
      </x:c>
      <x:c r="G961" s="11" t="n">
        <x:v>0.40740000000000004</x:v>
      </x:c>
      <x:c r="H961" s="11" t="n">
        <x:v>0.6615000000000001</x:v>
      </x:c>
      <x:c r="I961" s="11" t="n">
        <x:v>0.6585</x:v>
      </x:c>
      <x:c r="J961" s="13" t="n">
        <x:f>IF(OR(G961=0,G961=1),"",(H961-I961)*100)</x:f>
        <x:v>0.30000000000001137</x:v>
      </x:c>
      <x:c r="K961" s="14" t="n">
        <x:v>37.29</x:v>
      </x:c>
      <x:c r="L961" s="15" t="n">
        <x:f>F961*G961</x:f>
        <x:v>448.95480000000003</x:v>
      </x:c>
      <x:c r="M961" s="15" t="n">
        <x:f>F961-L961</x:f>
        <x:v>653.0452</x:v>
      </x:c>
      <x:c r="N961" s="17" t="str"/>
      <x:c r="O961" s="17" t="str">
        <x:v>https://sts2log.com/cards</x:v>
      </x:c>
      <x:c r="P961" s="17" t="str">
        <x:v>https://slaythespire2.net/ancient/nonupeipe</x:v>
      </x:c>
    </x:row>
    <x:row r="962" ht="25" customHeight="1">
      <x:c r="A962" s="2" t="str">
        <x:v>v0.111</x:v>
      </x:c>
      <x:c r="B962" s="2" t="str">
        <x:v>储君</x:v>
      </x:c>
      <x:c r="C962" s="2" t="str">
        <x:v>诺奴佩普</x:v>
      </x:c>
      <x:c r="D962" s="2" t="str">
        <x:v>娇嫩蕨草</x:v>
      </x:c>
      <x:c r="E962" s="16" t="n">
        <x:f>IF(G962=0,I962,IF(G962=1,H962,G962*H962+(1-G962)*I962))</x:f>
        <x:v>0.65858887</x:v>
      </x:c>
      <x:c r="F962" s="12" t="n">
        <x:v>1113</x:v>
      </x:c>
      <x:c r="G962" s="11" t="n">
        <x:v>0.18510000000000001</x:v>
      </x:c>
      <x:c r="H962" s="11" t="n">
        <x:v>0.6942</x:v>
      </x:c>
      <x:c r="I962" s="11" t="n">
        <x:v>0.6505</x:v>
      </x:c>
      <x:c r="J962" s="13" t="n">
        <x:f>IF(OR(G962=0,G962=1),"",(H962-I962)*100)</x:f>
        <x:v>4.370000000000007</x:v>
      </x:c>
      <x:c r="K962" s="14" t="n">
        <x:v>40.56</x:v>
      </x:c>
      <x:c r="L962" s="15" t="n">
        <x:f>F962*G962</x:f>
        <x:v>206.01630000000003</x:v>
      </x:c>
      <x:c r="M962" s="15" t="n">
        <x:f>F962-L962</x:f>
        <x:v>906.9837</x:v>
      </x:c>
      <x:c r="N962" s="17" t="str"/>
      <x:c r="O962" s="17" t="str">
        <x:v>https://sts2log.com/cards</x:v>
      </x:c>
      <x:c r="P962" s="17" t="str">
        <x:v>https://slaythespire2.net/ancient/nonupeipe</x:v>
      </x:c>
    </x:row>
    <x:row r="963" ht="25" customHeight="1">
      <x:c r="A963" s="2" t="str">
        <x:v>v0.111</x:v>
      </x:c>
      <x:c r="B963" s="2" t="str">
        <x:v>储君</x:v>
      </x:c>
      <x:c r="C963" s="2" t="str">
        <x:v>诺奴佩普</x:v>
      </x:c>
      <x:c r="D963" s="2" t="str">
        <x:v>珠宝盒</x:v>
      </x:c>
      <x:c r="E963" s="16" t="n">
        <x:f>IF(G963=0,I963,IF(G963=1,H963,G963*H963+(1-G963)*I963))</x:f>
        <x:v>0.65413288</x:v>
      </x:c>
      <x:c r="F963" s="12" t="n">
        <x:v>1142</x:v>
      </x:c>
      <x:c r="G963" s="11" t="n">
        <x:v>0.2872</x:v>
      </x:c>
      <x:c r="H963" s="11" t="n">
        <x:v>0.5671</x:v>
      </x:c>
      <x:c r="I963" s="11" t="n">
        <x:v>0.6892</x:v>
      </x:c>
      <x:c r="J963" s="13" t="n">
        <x:f>IF(OR(G963=0,G963=1),"",(H963-I963)*100)</x:f>
        <x:v>-12.209999999999999</x:v>
      </x:c>
      <x:c r="K963" s="14" t="n">
        <x:v>27.85</x:v>
      </x:c>
      <x:c r="L963" s="15" t="n">
        <x:f>F963*G963</x:f>
        <x:v>327.9824</x:v>
      </x:c>
      <x:c r="M963" s="15" t="n">
        <x:f>F963-L963</x:f>
        <x:v>814.0176</x:v>
      </x:c>
      <x:c r="N963" s="17" t="str"/>
      <x:c r="O963" s="17" t="str">
        <x:v>https://sts2log.com/cards</x:v>
      </x:c>
      <x:c r="P963" s="17" t="str">
        <x:v>https://slaythespire2.net/ancient/nonupeipe</x:v>
      </x:c>
    </x:row>
    <x:row r="964" ht="25" customHeight="1">
      <x:c r="A964" s="2" t="str">
        <x:v>v0.111</x:v>
      </x:c>
      <x:c r="B964" s="2" t="str">
        <x:v>储君</x:v>
      </x:c>
      <x:c r="C964" s="2" t="str">
        <x:v>诺奴佩普</x:v>
      </x:c>
      <x:c r="D964" s="2" t="str">
        <x:v>华美手镯</x:v>
      </x:c>
      <x:c r="E964" s="16" t="n">
        <x:f>IF(G964=0,I964,IF(G964=1,H964,G964*H964+(1-G964)*I964))</x:f>
        <x:v>0.65316</x:v>
      </x:c>
      <x:c r="F964" s="12" t="n">
        <x:v>1110</x:v>
      </x:c>
      <x:c r="G964" s="11" t="n">
        <x:v>0.2486</x:v>
      </x:c>
      <x:c r="H964" s="11" t="n">
        <x:v>0.7283</x:v>
      </x:c>
      <x:c r="I964" s="11" t="n">
        <x:v>0.6283</x:v>
      </x:c>
      <x:c r="J964" s="13" t="n">
        <x:f>IF(OR(G964=0,G964=1),"",(H964-I964)*100)</x:f>
        <x:v>9.999999999999998</x:v>
      </x:c>
      <x:c r="K964" s="14" t="n">
        <x:v>43.97</x:v>
      </x:c>
      <x:c r="L964" s="15" t="n">
        <x:f>F964*G964</x:f>
        <x:v>275.94599999999997</x:v>
      </x:c>
      <x:c r="M964" s="15" t="n">
        <x:f>F964-L964</x:f>
        <x:v>834.0540000000001</x:v>
      </x:c>
      <x:c r="N964" s="17" t="str"/>
      <x:c r="O964" s="17" t="str">
        <x:v>https://sts2log.com/cards</x:v>
      </x:c>
      <x:c r="P964" s="17" t="str">
        <x:v>https://slaythespire2.net/ancient/nonupeipe</x:v>
      </x:c>
    </x:row>
    <x:row r="965" ht="25" customHeight="1">
      <x:c r="A965" s="2" t="str">
        <x:v>v0.111</x:v>
      </x:c>
      <x:c r="B965" s="2" t="str">
        <x:v>储君</x:v>
      </x:c>
      <x:c r="C965" s="2" t="str">
        <x:v>诺奴佩普</x:v>
      </x:c>
      <x:c r="D965" s="2" t="str">
        <x:v>布质果实</x:v>
      </x:c>
      <x:c r="E965" s="16" t="n">
        <x:f>IF(G965=0,I965,IF(G965=1,H965,G965*H965+(1-G965)*I965))</x:f>
        <x:v>0.64014892</x:v>
      </x:c>
      <x:c r="F965" s="12" t="n">
        <x:v>1131</x:v>
      </x:c>
      <x:c r="G965" s="11" t="n">
        <x:v>0.1813</x:v>
      </x:c>
      <x:c r="H965" s="11" t="n">
        <x:v>0.6634</x:v>
      </x:c>
      <x:c r="I965" s="11" t="n">
        <x:v>0.635</x:v>
      </x:c>
      <x:c r="J965" s="13" t="n">
        <x:f>IF(OR(G965=0,G965=1),"",(H965-I965)*100)</x:f>
        <x:v>2.839999999999998</x:v>
      </x:c>
      <x:c r="K965" s="14" t="n">
        <x:v>37.48</x:v>
      </x:c>
      <x:c r="L965" s="15" t="n">
        <x:f>F965*G965</x:f>
        <x:v>205.0503</x:v>
      </x:c>
      <x:c r="M965" s="15" t="n">
        <x:f>F965-L965</x:f>
        <x:v>925.9497</x:v>
      </x:c>
      <x:c r="N965" s="17" t="str"/>
      <x:c r="O965" s="17" t="str">
        <x:v>https://sts2log.com/cards</x:v>
      </x:c>
      <x:c r="P965" s="17" t="str">
        <x:v>https://slaythespire2.net/ancient/nonupeipe</x:v>
      </x:c>
    </x:row>
    <x:row r="966" ht="25" customHeight="1">
      <x:c r="A966" s="2" t="str">
        <x:v>v0.111</x:v>
      </x:c>
      <x:c r="B966" s="2" t="str">
        <x:v>储君</x:v>
      </x:c>
      <x:c r="C966" s="2" t="str">
        <x:v>诺奴佩普</x:v>
      </x:c>
      <x:c r="D966" s="2" t="str">
        <x:v>皮草大衣</x:v>
      </x:c>
      <x:c r="E966" s="16" t="n">
        <x:f>IF(G966=0,I966,IF(G966=1,H966,G966*H966+(1-G966)*I966))</x:f>
        <x:v>0.6298765000000001</x:v>
      </x:c>
      <x:c r="F966" s="12" t="n">
        <x:v>1097</x:v>
      </x:c>
      <x:c r="G966" s="11" t="n">
        <x:v>0.289</x:v>
      </x:c>
      <x:c r="H966" s="11" t="n">
        <x:v>0.47950000000000004</x:v>
      </x:c>
      <x:c r="I966" s="11" t="n">
        <x:v>0.691</x:v>
      </x:c>
      <x:c r="J966" s="13" t="n">
        <x:f>IF(OR(G966=0,G966=1),"",(H966-I966)*100)</x:f>
        <x:v>-21.14999999999999</x:v>
      </x:c>
      <x:c r="K966" s="14" t="n">
        <x:v>19.09</x:v>
      </x:c>
      <x:c r="L966" s="15" t="n">
        <x:f>F966*G966</x:f>
        <x:v>317.03299999999996</x:v>
      </x:c>
      <x:c r="M966" s="15" t="n">
        <x:f>F966-L966</x:f>
        <x:v>779.9670000000001</x:v>
      </x:c>
      <x:c r="N966" s="17" t="str"/>
      <x:c r="O966" s="17" t="str">
        <x:v>https://sts2log.com/cards</x:v>
      </x:c>
      <x:c r="P966" s="17" t="str">
        <x:v>https://slaythespire2.net/ancient/nonupeipe</x:v>
      </x:c>
    </x:row>
    <x:row r="967" ht="25" customHeight="1">
      <x:c r="A967" s="2" t="str">
        <x:v>v0.111</x:v>
      </x:c>
      <x:c r="B967" s="2" t="str">
        <x:v>储君</x:v>
      </x:c>
      <x:c r="C967" s="2" t="str">
        <x:v>诺奴佩普</x:v>
      </x:c>
      <x:c r="D967" s="2" t="str">
        <x:v>赐福鹿角</x:v>
      </x:c>
      <x:c r="E967" s="16" t="n">
        <x:f>IF(G967=0,I967,IF(G967=1,H967,G967*H967+(1-G967)*I967))</x:f>
        <x:v>0.61826798</x:v>
      </x:c>
      <x:c r="F967" s="12" t="n">
        <x:v>1116</x:v>
      </x:c>
      <x:c r="G967" s="11" t="n">
        <x:v>0.25989999999999996</x:v>
      </x:c>
      <x:c r="H967" s="11" t="n">
        <x:v>0.5</x:v>
      </x:c>
      <x:c r="I967" s="11" t="n">
        <x:v>0.6598</x:v>
      </x:c>
      <x:c r="J967" s="13" t="n">
        <x:f>IF(OR(G967=0,G967=1),"",(H967-I967)*100)</x:f>
        <x:v>-15.980000000000006</x:v>
      </x:c>
      <x:c r="K967" s="14" t="n">
        <x:v>21.14</x:v>
      </x:c>
      <x:c r="L967" s="15" t="n">
        <x:f>F967*G967</x:f>
        <x:v>290.04839999999996</x:v>
      </x:c>
      <x:c r="M967" s="15" t="n">
        <x:f>F967-L967</x:f>
        <x:v>825.9516000000001</x:v>
      </x:c>
      <x:c r="N967" s="17" t="str"/>
      <x:c r="O967" s="17" t="str">
        <x:v>https://sts2log.com/cards</x:v>
      </x:c>
      <x:c r="P967" s="17" t="str">
        <x:v>https://slaythespire2.net/ancient/nonupeipe</x:v>
      </x:c>
    </x:row>
    <x:row r="968" ht="25" customHeight="1">
      <x:c r="A968" s="2" t="str">
        <x:v>v0.111</x:v>
      </x:c>
      <x:c r="B968" s="2" t="str">
        <x:v>储君</x:v>
      </x:c>
      <x:c r="C968" s="2" t="str">
        <x:v>坦克斯</x:v>
      </x:c>
      <x:c r="D968" s="2" t="str">
        <x:v>钗</x:v>
      </x:c>
      <x:c r="E968" s="16" t="n">
        <x:f>IF(G968=0,I968,IF(G968=1,H968,G968*H968+(1-G968)*I968))</x:f>
        <x:v>0.68006252</x:v>
      </x:c>
      <x:c r="F968" s="12" t="n">
        <x:v>1144</x:v>
      </x:c>
      <x:c r="G968" s="11" t="n">
        <x:v>0.5166</x:v>
      </x:c>
      <x:c r="H968" s="11" t="n">
        <x:v>0.7343000000000001</x:v>
      </x:c>
      <x:c r="I968" s="11" t="n">
        <x:v>0.6221</x:v>
      </x:c>
      <x:c r="J968" s="13" t="n">
        <x:f>IF(OR(G968=0,G968=1),"",(H968-I968)*100)</x:f>
        <x:v>11.220000000000008</x:v>
      </x:c>
      <x:c r="K968" s="14" t="n">
        <x:v>44.57</x:v>
      </x:c>
      <x:c r="L968" s="15" t="n">
        <x:f>F968*G968</x:f>
        <x:v>590.9903999999999</x:v>
      </x:c>
      <x:c r="M968" s="15" t="n">
        <x:f>F968-L968</x:f>
        <x:v>553.0096000000001</x:v>
      </x:c>
      <x:c r="N968" s="17" t="str"/>
      <x:c r="O968" s="17" t="str">
        <x:v>https://sts2log.com/cards</x:v>
      </x:c>
      <x:c r="P968" s="17" t="str">
        <x:v>https://slaythespire2.net/ancient/tanx</x:v>
      </x:c>
    </x:row>
    <x:row r="969" ht="25" customHeight="1">
      <x:c r="A969" s="2" t="str">
        <x:v>v0.111</x:v>
      </x:c>
      <x:c r="B969" s="2" t="str">
        <x:v>储君</x:v>
      </x:c>
      <x:c r="C969" s="2" t="str">
        <x:v>坦克斯</x:v>
      </x:c>
      <x:c r="D969" s="2" t="str">
        <x:v>十字弓</x:v>
      </x:c>
      <x:c r="E969" s="16" t="n">
        <x:f>IF(G969=0,I969,IF(G969=1,H969,G969*H969+(1-G969)*I969))</x:f>
        <x:v>0.6755806800000002</x:v>
      </x:c>
      <x:c r="F969" s="12" t="n">
        <x:v>1122</x:v>
      </x:c>
      <x:c r="G969" s="11" t="n">
        <x:v>0.33159999999999995</x:v>
      </x:c>
      <x:c r="H969" s="11" t="n">
        <x:v>0.7473000000000001</x:v>
      </x:c>
      <x:c r="I969" s="11" t="n">
        <x:v>0.64</x:v>
      </x:c>
      <x:c r="J969" s="13" t="n">
        <x:f>IF(OR(G969=0,G969=1),"",(H969-I969)*100)</x:f>
        <x:v>10.730000000000006</x:v>
      </x:c>
      <x:c r="K969" s="14" t="n">
        <x:v>45.87</x:v>
      </x:c>
      <x:c r="L969" s="15" t="n">
        <x:f>F969*G969</x:f>
        <x:v>372.05519999999996</x:v>
      </x:c>
      <x:c r="M969" s="15" t="n">
        <x:f>F969-L969</x:f>
        <x:v>749.9448</x:v>
      </x:c>
      <x:c r="N969" s="17" t="str"/>
      <x:c r="O969" s="17" t="str">
        <x:v>https://sts2log.com/cards</x:v>
      </x:c>
      <x:c r="P969" s="17" t="str">
        <x:v>https://slaythespire2.net/ancient/tanx</x:v>
      </x:c>
    </x:row>
    <x:row r="970" ht="25" customHeight="1">
      <x:c r="A970" s="2" t="str">
        <x:v>v0.111</x:v>
      </x:c>
      <x:c r="B970" s="2" t="str">
        <x:v>储君</x:v>
      </x:c>
      <x:c r="C970" s="2" t="str">
        <x:v>坦克斯</x:v>
      </x:c>
      <x:c r="D970" s="2" t="str">
        <x:v>铁棒</x:v>
      </x:c>
      <x:c r="E970" s="16" t="n">
        <x:f>IF(G970=0,I970,IF(G970=1,H970,G970*H970+(1-G970)*I970))</x:f>
        <x:v>0.66256466</x:v>
      </x:c>
      <x:c r="F970" s="12" t="n">
        <x:v>1144</x:v>
      </x:c>
      <x:c r="G970" s="11" t="n">
        <x:v>0.4781</x:v>
      </x:c>
      <x:c r="H970" s="11" t="n">
        <x:v>0.7349</x:v>
      </x:c>
      <x:c r="I970" s="11" t="n">
        <x:v>0.5963</x:v>
      </x:c>
      <x:c r="J970" s="13" t="n">
        <x:f>IF(OR(G970=0,G970=1),"",(H970-I970)*100)</x:f>
        <x:v>13.859999999999994</x:v>
      </x:c>
      <x:c r="K970" s="14" t="n">
        <x:v>44.63</x:v>
      </x:c>
      <x:c r="L970" s="15" t="n">
        <x:f>F970*G970</x:f>
        <x:v>546.9464</x:v>
      </x:c>
      <x:c r="M970" s="15" t="n">
        <x:f>F970-L970</x:f>
        <x:v>597.0536</x:v>
      </x:c>
      <x:c r="N970" s="17" t="str"/>
      <x:c r="O970" s="17" t="str">
        <x:v>https://sts2log.com/cards</x:v>
      </x:c>
      <x:c r="P970" s="17" t="str">
        <x:v>https://slaythespire2.net/ancient/tanx</x:v>
      </x:c>
    </x:row>
    <x:row r="971" ht="25" customHeight="1">
      <x:c r="A971" s="2" t="str">
        <x:v>v0.111</x:v>
      </x:c>
      <x:c r="B971" s="2" t="str">
        <x:v>储君</x:v>
      </x:c>
      <x:c r="C971" s="2" t="str">
        <x:v>坦克斯</x:v>
      </x:c>
      <x:c r="D971" s="2" t="str">
        <x:v>三刃回旋镖</x:v>
      </x:c>
      <x:c r="E971" s="16" t="n">
        <x:f>IF(G971=0,I971,IF(G971=1,H971,G971*H971+(1-G971)*I971))</x:f>
        <x:v>0.64848886</x:v>
      </x:c>
      <x:c r="F971" s="12" t="n">
        <x:v>1044</x:v>
      </x:c>
      <x:c r="G971" s="11" t="n">
        <x:v>0.3046</x:v>
      </x:c>
      <x:c r="H971" s="11" t="n">
        <x:v>0.5818</x:v>
      </x:c>
      <x:c r="I971" s="11" t="n">
        <x:v>0.6777</x:v>
      </x:c>
      <x:c r="J971" s="13" t="n">
        <x:f>IF(OR(G971=0,G971=1),"",(H971-I971)*100)</x:f>
        <x:v>-9.589999999999998</x:v>
      </x:c>
      <x:c r="K971" s="14" t="n">
        <x:v>29.32</x:v>
      </x:c>
      <x:c r="L971" s="15" t="n">
        <x:f>F971*G971</x:f>
        <x:v>318.00239999999997</x:v>
      </x:c>
      <x:c r="M971" s="15" t="n">
        <x:f>F971-L971</x:f>
        <x:v>725.9976</x:v>
      </x:c>
      <x:c r="N971" s="17" t="str"/>
      <x:c r="O971" s="17" t="str">
        <x:v>https://sts2log.com/cards</x:v>
      </x:c>
      <x:c r="P971" s="17" t="str">
        <x:v>https://slaythespire2.net/ancient/tanx</x:v>
      </x:c>
    </x:row>
    <x:row r="972" ht="25" customHeight="1">
      <x:c r="A972" s="2" t="str">
        <x:v>v0.111</x:v>
      </x:c>
      <x:c r="B972" s="2" t="str">
        <x:v>储君</x:v>
      </x:c>
      <x:c r="C972" s="2" t="str">
        <x:v>坦克斯</x:v>
      </x:c>
      <x:c r="D972" s="2" t="str">
        <x:v>带刺手甲</x:v>
      </x:c>
      <x:c r="E972" s="16" t="n">
        <x:f>IF(G972=0,I972,IF(G972=1,H972,G972*H972+(1-G972)*I972))</x:f>
        <x:v>0.6407</x:v>
      </x:c>
      <x:c r="F972" s="12" t="n">
        <x:v>1105</x:v>
      </x:c>
      <x:c r="G972" s="11" t="n">
        <x:v>0.2</x:v>
      </x:c>
      <x:c r="H972" s="11" t="n">
        <x:v>0.5339</x:v>
      </x:c>
      <x:c r="I972" s="11" t="n">
        <x:v>0.6674</x:v>
      </x:c>
      <x:c r="J972" s="13" t="n">
        <x:f>IF(OR(G972=0,G972=1),"",(H972-I972)*100)</x:f>
        <x:v>-13.349999999999994</x:v>
      </x:c>
      <x:c r="K972" s="14" t="n">
        <x:v>24.53</x:v>
      </x:c>
      <x:c r="L972" s="15" t="n">
        <x:f>F972*G972</x:f>
        <x:v>221</x:v>
      </x:c>
      <x:c r="M972" s="15" t="n">
        <x:f>F972-L972</x:f>
        <x:v>884</x:v>
      </x:c>
      <x:c r="N972" s="17" t="str"/>
      <x:c r="O972" s="17" t="str">
        <x:v>https://sts2log.com/cards</x:v>
      </x:c>
      <x:c r="P972" s="17" t="str">
        <x:v>https://slaythespire2.net/ancient/tanx</x:v>
      </x:c>
    </x:row>
    <x:row r="973" ht="25" customHeight="1">
      <x:c r="A973" s="2" t="str">
        <x:v>v0.111</x:v>
      </x:c>
      <x:c r="B973" s="2" t="str">
        <x:v>储君</x:v>
      </x:c>
      <x:c r="C973" s="2" t="str">
        <x:v>坦克斯</x:v>
      </x:c>
      <x:c r="D973" s="2" t="str">
        <x:v>利爪</x:v>
      </x:c>
      <x:c r="E973" s="16" t="n">
        <x:f>IF(G973=0,I973,IF(G973=1,H973,G973*H973+(1-G973)*I973))</x:f>
        <x:v>0.63948686</x:v>
      </x:c>
      <x:c r="F973" s="12" t="n">
        <x:v>1104</x:v>
      </x:c>
      <x:c r="G973" s="11" t="n">
        <x:v>0.11410000000000001</x:v>
      </x:c>
      <x:c r="H973" s="11" t="n">
        <x:v>0.4841</x:v>
      </x:c>
      <x:c r="I973" s="11" t="n">
        <x:v>0.6595</x:v>
      </x:c>
      <x:c r="J973" s="13" t="n">
        <x:f>IF(OR(G973=0,G973=1),"",(H973-I973)*100)</x:f>
        <x:v>-17.54</x:v>
      </x:c>
      <x:c r="K973" s="14" t="n">
        <x:v>19.55</x:v>
      </x:c>
      <x:c r="L973" s="15" t="n">
        <x:f>F973*G973</x:f>
        <x:v>125.96640000000001</x:v>
      </x:c>
      <x:c r="M973" s="15" t="n">
        <x:f>F973-L973</x:f>
        <x:v>978.0336</x:v>
      </x:c>
      <x:c r="N973" s="17" t="str"/>
      <x:c r="O973" s="17" t="str">
        <x:v>https://sts2log.com/cards</x:v>
      </x:c>
      <x:c r="P973" s="17" t="str">
        <x:v>https://slaythespire2.net/ancient/tanx</x:v>
      </x:c>
    </x:row>
    <x:row r="974" ht="25" customHeight="1">
      <x:c r="A974" s="2" t="str">
        <x:v>v0.111</x:v>
      </x:c>
      <x:c r="B974" s="2" t="str">
        <x:v>储君</x:v>
      </x:c>
      <x:c r="C974" s="2" t="str">
        <x:v>坦克斯</x:v>
      </x:c>
      <x:c r="D974" s="2" t="str">
        <x:v>切肉刀</x:v>
      </x:c>
      <x:c r="E974" s="16" t="n">
        <x:f>IF(G974=0,I974,IF(G974=1,H974,G974*H974+(1-G974)*I974))</x:f>
        <x:v>0.6383767</x:v>
      </x:c>
      <x:c r="F974" s="12" t="n">
        <x:v>1142</x:v>
      </x:c>
      <x:c r="G974" s="11" t="n">
        <x:v>0.43700000000000006</x:v>
      </x:c>
      <x:c r="H974" s="11" t="n">
        <x:v>0.5871999999999999</x:v>
      </x:c>
      <x:c r="I974" s="11" t="n">
        <x:v>0.6781</x:v>
      </x:c>
      <x:c r="J974" s="13" t="n">
        <x:f>IF(OR(G974=0,G974=1),"",(H974-I974)*100)</x:f>
        <x:v>-9.090000000000009</x:v>
      </x:c>
      <x:c r="K974" s="14" t="n">
        <x:v>29.86</x:v>
      </x:c>
      <x:c r="L974" s="15" t="n">
        <x:f>F974*G974</x:f>
        <x:v>499.0540000000001</x:v>
      </x:c>
      <x:c r="M974" s="15" t="n">
        <x:f>F974-L974</x:f>
        <x:v>642.9459999999999</x:v>
      </x:c>
      <x:c r="N974" s="17" t="str"/>
      <x:c r="O974" s="17" t="str">
        <x:v>https://sts2log.com/cards</x:v>
      </x:c>
      <x:c r="P974" s="17" t="str">
        <x:v>https://slaythespire2.net/ancient/tanx</x:v>
      </x:c>
    </x:row>
    <x:row r="975" ht="25" customHeight="1">
      <x:c r="A975" s="2" t="str">
        <x:v>v0.111</x:v>
      </x:c>
      <x:c r="B975" s="2" t="str">
        <x:v>储君</x:v>
      </x:c>
      <x:c r="C975" s="2" t="str">
        <x:v>坦克斯</x:v>
      </x:c>
      <x:c r="D975" s="2" t="str">
        <x:v>投斧</x:v>
      </x:c>
      <x:c r="E975" s="16" t="n">
        <x:f>IF(G975=0,I975,IF(G975=1,H975,G975*H975+(1-G975)*I975))</x:f>
        <x:v>0.6355509800000001</x:v>
      </x:c>
      <x:c r="F975" s="12" t="n">
        <x:v>1114</x:v>
      </x:c>
      <x:c r="G975" s="11" t="n">
        <x:v>0.4946</x:v>
      </x:c>
      <x:c r="H975" s="11" t="n">
        <x:v>0.6261</x:v>
      </x:c>
      <x:c r="I975" s="11" t="n">
        <x:v>0.6448</x:v>
      </x:c>
      <x:c r="J975" s="13" t="n">
        <x:f>IF(OR(G975=0,G975=1),"",(H975-I975)*100)</x:f>
        <x:v>-1.870000000000005</x:v>
      </x:c>
      <x:c r="K975" s="14" t="n">
        <x:v>33.75</x:v>
      </x:c>
      <x:c r="L975" s="15" t="n">
        <x:f>F975*G975</x:f>
        <x:v>550.9843999999999</x:v>
      </x:c>
      <x:c r="M975" s="15" t="n">
        <x:f>F975-L975</x:f>
        <x:v>563.0156000000001</x:v>
      </x:c>
      <x:c r="N975" s="17" t="str"/>
      <x:c r="O975" s="17" t="str">
        <x:v>https://sts2log.com/cards</x:v>
      </x:c>
      <x:c r="P975" s="17" t="str">
        <x:v>https://slaythespire2.net/ancient/tanx</x:v>
      </x:c>
    </x:row>
    <x:row r="976" ht="25" customHeight="1">
      <x:c r="A976" s="2" t="str">
        <x:v>v0.111</x:v>
      </x:c>
      <x:c r="B976" s="2" t="str">
        <x:v>储君</x:v>
      </x:c>
      <x:c r="C976" s="2" t="str">
        <x:v>坦克斯</x:v>
      </x:c>
      <x:c r="D976" s="2" t="str">
        <x:v>战锤</x:v>
      </x:c>
      <x:c r="E976" s="16" t="n">
        <x:f>IF(G976=0,I976,IF(G976=1,H976,G976*H976+(1-G976)*I976))</x:f>
        <x:v>0.63193589</x:v>
      </x:c>
      <x:c r="F976" s="12" t="n">
        <x:v>1103</x:v>
      </x:c>
      <x:c r="G976" s="11" t="n">
        <x:v>0.1913</x:v>
      </x:c>
      <x:c r="H976" s="11" t="n">
        <x:v>0.5877</x:v>
      </x:c>
      <x:c r="I976" s="11" t="n">
        <x:v>0.6424</x:v>
      </x:c>
      <x:c r="J976" s="13" t="n">
        <x:f>IF(OR(G976=0,G976=1),"",(H976-I976)*100)</x:f>
        <x:v>-5.469999999999997</x:v>
      </x:c>
      <x:c r="K976" s="14" t="n">
        <x:v>29.91</x:v>
      </x:c>
      <x:c r="L976" s="15" t="n">
        <x:f>F976*G976</x:f>
        <x:v>211.0039</x:v>
      </x:c>
      <x:c r="M976" s="15" t="n">
        <x:f>F976-L976</x:f>
        <x:v>891.9961000000001</x:v>
      </x:c>
      <x:c r="N976" s="17" t="str"/>
      <x:c r="O976" s="17" t="str">
        <x:v>https://sts2log.com/cards</x:v>
      </x:c>
      <x:c r="P976" s="17" t="str">
        <x:v>https://slaythespire2.net/ancient/tanx</x:v>
      </x:c>
    </x:row>
    <x:row r="977" ht="25" customHeight="1">
      <x:c r="A977" s="2" t="str">
        <x:v>v0.111</x:v>
      </x:c>
      <x:c r="B977" s="2" t="str">
        <x:v>储君</x:v>
      </x:c>
      <x:c r="C977" s="2" t="str">
        <x:v>坦克斯</x:v>
      </x:c>
      <x:c r="D977" s="2" t="str">
        <x:v>坦克斯的哨子</x:v>
      </x:c>
      <x:c r="E977" s="16" t="n">
        <x:f>IF(G977=0,I977,IF(G977=1,H977,G977*H977+(1-G977)*I977))</x:f>
        <x:v>0.61872774</x:v>
      </x:c>
      <x:c r="F977" s="12" t="n">
        <x:v>1091</x:v>
      </x:c>
      <x:c r="G977" s="11" t="n">
        <x:v>0.2438</x:v>
      </x:c>
      <x:c r="H977" s="11" t="n">
        <x:v>0.594</x:v>
      </x:c>
      <x:c r="I977" s="11" t="n">
        <x:v>0.6267</x:v>
      </x:c>
      <x:c r="J977" s="13" t="n">
        <x:f>IF(OR(G977=0,G977=1),"",(H977-I977)*100)</x:f>
        <x:v>-3.2700000000000062</x:v>
      </x:c>
      <x:c r="K977" s="14" t="n">
        <x:v>30.54</x:v>
      </x:c>
      <x:c r="L977" s="15" t="n">
        <x:f>F977*G977</x:f>
        <x:v>265.9858</x:v>
      </x:c>
      <x:c r="M977" s="15" t="n">
        <x:f>F977-L977</x:f>
        <x:v>825.0142000000001</x:v>
      </x:c>
      <x:c r="N977" s="17" t="str"/>
      <x:c r="O977" s="17" t="str">
        <x:v>https://sts2log.com/cards</x:v>
      </x:c>
      <x:c r="P977" s="17" t="str">
        <x:v>https://slaythespire2.net/ancient/tanx</x:v>
      </x:c>
    </x:row>
    <x:row r="978" ht="25" customHeight="1">
      <x:c r="A978" s="2" t="str">
        <x:v>v0.111</x:v>
      </x:c>
      <x:c r="B978" s="2" t="str">
        <x:v>储君</x:v>
      </x:c>
      <x:c r="C978" s="2" t="str">
        <x:v>瓦库</x:v>
      </x:c>
      <x:c r="D978" s="2" t="str">
        <x:v>音乐盒</x:v>
      </x:c>
      <x:c r="E978" s="16" t="n">
        <x:f>IF(G978=0,I978,IF(G978=1,H978,G978*H978+(1-G978)*I978))</x:f>
        <x:v>0.6381281999999999</x:v>
      </x:c>
      <x:c r="F978" s="12" t="n">
        <x:v>876</x:v>
      </x:c>
      <x:c r="G978" s="11" t="n">
        <x:v>0.4315</x:v>
      </x:c>
      <x:c r="H978" s="11" t="n">
        <x:v>0.6851999999999999</x:v>
      </x:c>
      <x:c r="I978" s="11" t="n">
        <x:v>0.6024</x:v>
      </x:c>
      <x:c r="J978" s="13" t="n">
        <x:f>IF(OR(G978=0,G978=1),"",(H978-I978)*100)</x:f>
        <x:v>8.279999999999987</x:v>
      </x:c>
      <x:c r="K978" s="14" t="n">
        <x:v>39.66</x:v>
      </x:c>
      <x:c r="L978" s="15" t="n">
        <x:f>F978*G978</x:f>
        <x:v>377.99399999999997</x:v>
      </x:c>
      <x:c r="M978" s="15" t="n">
        <x:f>F978-L978</x:f>
        <x:v>498.00600000000003</x:v>
      </x:c>
      <x:c r="N978" s="17" t="str"/>
      <x:c r="O978" s="17" t="str">
        <x:v>https://sts2log.com/cards</x:v>
      </x:c>
      <x:c r="P978" s="17" t="str">
        <x:v>https://slaythespire2.net/ancient/vakuu</x:v>
      </x:c>
    </x:row>
    <x:row r="979" ht="25" customHeight="1">
      <x:c r="A979" s="2" t="str">
        <x:v>v0.111</x:v>
      </x:c>
      <x:c r="B979" s="2" t="str">
        <x:v>储君</x:v>
      </x:c>
      <x:c r="C979" s="2" t="str">
        <x:v>瓦库</x:v>
      </x:c>
      <x:c r="D979" s="2" t="str">
        <x:v>原初之爪</x:v>
      </x:c>
      <x:c r="E979" s="16" t="n">
        <x:f>IF(G979=0,I979,IF(G979=1,H979,G979*H979+(1-G979)*I979))</x:f>
        <x:v>0.628486</x:v>
      </x:c>
      <x:c r="F979" s="12" t="n">
        <x:v>1187</x:v>
      </x:c>
      <x:c r="G979" s="11" t="n">
        <x:v>0.38159999999999994</x:v>
      </x:c>
      <x:c r="H979" s="11" t="n">
        <x:v>0.6424</x:v>
      </x:c>
      <x:c r="I979" s="11" t="n">
        <x:v>0.6199</x:v>
      </x:c>
      <x:c r="J979" s="13" t="n">
        <x:f>IF(OR(G979=0,G979=1),"",(H979-I979)*100)</x:f>
        <x:v>2.2499999999999964</x:v>
      </x:c>
      <x:c r="K979" s="14" t="n">
        <x:v>35.38</x:v>
      </x:c>
      <x:c r="L979" s="15" t="n">
        <x:f>F979*G979</x:f>
        <x:v>452.95919999999995</x:v>
      </x:c>
      <x:c r="M979" s="15" t="n">
        <x:f>F979-L979</x:f>
        <x:v>734.0408</x:v>
      </x:c>
      <x:c r="N979" s="17" t="str"/>
      <x:c r="O979" s="17" t="str">
        <x:v>https://sts2log.com/cards</x:v>
      </x:c>
      <x:c r="P979" s="17" t="str">
        <x:v>https://slaythespire2.net/ancient/vakuu</x:v>
      </x:c>
    </x:row>
    <x:row r="980" ht="25" customHeight="1">
      <x:c r="A980" s="2" t="str">
        <x:v>v0.111</x:v>
      </x:c>
      <x:c r="B980" s="2" t="str">
        <x:v>储君</x:v>
      </x:c>
      <x:c r="C980" s="2" t="str">
        <x:v>瓦库</x:v>
      </x:c>
      <x:c r="D980" s="2" t="str">
        <x:v>小提琴</x:v>
      </x:c>
      <x:c r="E980" s="16" t="n">
        <x:f>IF(G980=0,I980,IF(G980=1,H980,G980*H980+(1-G980)*I980))</x:f>
        <x:v>0.61482721</x:v>
      </x:c>
      <x:c r="F980" s="12" t="n">
        <x:v>1215</x:v>
      </x:c>
      <x:c r="G980" s="11" t="n">
        <x:v>0.3259</x:v>
      </x:c>
      <x:c r="H980" s="11" t="n">
        <x:v>0.6970000000000001</x:v>
      </x:c>
      <x:c r="I980" s="11" t="n">
        <x:v>0.5751</x:v>
      </x:c>
      <x:c r="J980" s="13" t="n">
        <x:f>IF(OR(G980=0,G980=1),"",(H980-I980)*100)</x:f>
        <x:v>12.190000000000012</x:v>
      </x:c>
      <x:c r="K980" s="14" t="n">
        <x:v>40.84</x:v>
      </x:c>
      <x:c r="L980" s="15" t="n">
        <x:f>F980*G980</x:f>
        <x:v>395.9685</x:v>
      </x:c>
      <x:c r="M980" s="15" t="n">
        <x:f>F980-L980</x:f>
        <x:v>819.0315</x:v>
      </x:c>
      <x:c r="N980" s="17" t="str"/>
      <x:c r="O980" s="17" t="str">
        <x:v>https://sts2log.com/cards</x:v>
      </x:c>
      <x:c r="P980" s="17" t="str">
        <x:v>https://slaythespire2.net/ancient/vakuu</x:v>
      </x:c>
    </x:row>
    <x:row r="981" ht="25" customHeight="1">
      <x:c r="A981" s="2" t="str">
        <x:v>v0.111</x:v>
      </x:c>
      <x:c r="B981" s="2" t="str">
        <x:v>储君</x:v>
      </x:c>
      <x:c r="C981" s="2" t="str">
        <x:v>瓦库</x:v>
      </x:c>
      <x:c r="D981" s="2" t="str">
        <x:v>低语耳环</x:v>
      </x:c>
      <x:c r="E981" s="16" t="n">
        <x:f>IF(G981=0,I981,IF(G981=1,H981,G981*H981+(1-G981)*I981))</x:f>
        <x:v>0.5902634</x:v>
      </x:c>
      <x:c r="F981" s="12" t="n">
        <x:v>1174</x:v>
      </x:c>
      <x:c r="G981" s="11" t="n">
        <x:v>0.1244</x:v>
      </x:c>
      <x:c r="H981" s="11" t="n">
        <x:v>0.47950000000000004</x:v>
      </x:c>
      <x:c r="I981" s="11" t="n">
        <x:v>0.606</x:v>
      </x:c>
      <x:c r="J981" s="13" t="n">
        <x:f>IF(OR(G981=0,G981=1),"",(H981-I981)*100)</x:f>
        <x:v>-12.649999999999995</x:v>
      </x:c>
      <x:c r="K981" s="14" t="n">
        <x:v>19.09</x:v>
      </x:c>
      <x:c r="L981" s="15" t="n">
        <x:f>F981*G981</x:f>
        <x:v>146.0456</x:v>
      </x:c>
      <x:c r="M981" s="15" t="n">
        <x:f>F981-L981</x:f>
        <x:v>1027.9544</x:v>
      </x:c>
      <x:c r="N981" s="17" t="str"/>
      <x:c r="O981" s="17" t="str">
        <x:v>https://sts2log.com/cards</x:v>
      </x:c>
      <x:c r="P981" s="17" t="str">
        <x:v>https://slaythespire2.net/ancient/vakuu</x:v>
      </x:c>
    </x:row>
    <x:row r="982" ht="25" customHeight="1">
      <x:c r="A982" s="2" t="str">
        <x:v>v0.111</x:v>
      </x:c>
      <x:c r="B982" s="2" t="str">
        <x:v>储君</x:v>
      </x:c>
      <x:c r="C982" s="2" t="str">
        <x:v>瓦库</x:v>
      </x:c>
      <x:c r="D982" s="2" t="str">
        <x:v>宝石面具</x:v>
      </x:c>
      <x:c r="E982" s="16" t="n">
        <x:f>IF(G982=0,I982,IF(G982=1,H982,G982*H982+(1-G982)*I982))</x:f>
        <x:v>0.58558848</x:v>
      </x:c>
      <x:c r="F982" s="12" t="n">
        <x:v>970</x:v>
      </x:c>
      <x:c r="G982" s="11" t="n">
        <x:v>0.6948000000000001</x:v>
      </x:c>
      <x:c r="H982" s="11" t="n">
        <x:v>0.5757</x:v>
      </x:c>
      <x:c r="I982" s="11" t="n">
        <x:v>0.6081</x:v>
      </x:c>
      <x:c r="J982" s="13" t="n">
        <x:f>IF(OR(G982=0,G982=1),"",(H982-I982)*100)</x:f>
        <x:v>-3.2399999999999984</x:v>
      </x:c>
      <x:c r="K982" s="14" t="n">
        <x:v>28.71</x:v>
      </x:c>
      <x:c r="L982" s="15" t="n">
        <x:f>F982*G982</x:f>
        <x:v>673.9560000000001</x:v>
      </x:c>
      <x:c r="M982" s="15" t="n">
        <x:f>F982-L982</x:f>
        <x:v>296.04399999999987</x:v>
      </x:c>
      <x:c r="N982" s="17" t="str"/>
      <x:c r="O982" s="17" t="str">
        <x:v>https://sts2log.com/cards</x:v>
      </x:c>
      <x:c r="P982" s="17" t="str">
        <x:v>https://slaythespire2.net/ancient/vakuu</x:v>
      </x:c>
    </x:row>
    <x:row r="983" ht="25" customHeight="1">
      <x:c r="A983" s="2" t="str">
        <x:v>v0.111</x:v>
      </x:c>
      <x:c r="B983" s="2" t="str">
        <x:v>储君</x:v>
      </x:c>
      <x:c r="C983" s="2" t="str">
        <x:v>瓦库</x:v>
      </x:c>
      <x:c r="D983" s="2" t="str">
        <x:v>卓越斗篷</x:v>
      </x:c>
      <x:c r="E983" s="16" t="n">
        <x:f>IF(G983=0,I983,IF(G983=1,H983,G983*H983+(1-G983)*I983))</x:f>
        <x:v>0.58273756</x:v>
      </x:c>
      <x:c r="F983" s="12" t="n">
        <x:v>1227</x:v>
      </x:c>
      <x:c r="G983" s="11" t="n">
        <x:v>0.2046</x:v>
      </x:c>
      <x:c r="H983" s="11" t="n">
        <x:v>0.5339</x:v>
      </x:c>
      <x:c r="I983" s="11" t="n">
        <x:v>0.5953</x:v>
      </x:c>
      <x:c r="J983" s="13" t="n">
        <x:f>IF(OR(G983=0,G983=1),"",(H983-I983)*100)</x:f>
        <x:v>-6.140000000000001</x:v>
      </x:c>
      <x:c r="K983" s="14" t="n">
        <x:v>24.53</x:v>
      </x:c>
      <x:c r="L983" s="15" t="n">
        <x:f>F983*G983</x:f>
        <x:v>251.04420000000002</x:v>
      </x:c>
      <x:c r="M983" s="15" t="n">
        <x:f>F983-L983</x:f>
        <x:v>975.9558</x:v>
      </x:c>
      <x:c r="N983" s="17" t="str"/>
      <x:c r="O983" s="17" t="str">
        <x:v>https://sts2log.com/cards</x:v>
      </x:c>
      <x:c r="P983" s="17" t="str">
        <x:v>https://slaythespire2.net/ancient/vakuu</x:v>
      </x:c>
    </x:row>
    <x:row r="984" ht="25" customHeight="1">
      <x:c r="A984" s="2" t="str">
        <x:v>v0.111</x:v>
      </x:c>
      <x:c r="B984" s="2" t="str">
        <x:v>储君</x:v>
      </x:c>
      <x:c r="C984" s="2" t="str">
        <x:v>瓦库</x:v>
      </x:c>
      <x:c r="D984" s="2" t="str">
        <x:v>选择悖论</x:v>
      </x:c>
      <x:c r="E984" s="16" t="n">
        <x:f>IF(G984=0,I984,IF(G984=1,H984,G984*H984+(1-G984)*I984))</x:f>
        <x:v>0.5796619199999999</x:v>
      </x:c>
      <x:c r="F984" s="12" t="n">
        <x:v>866</x:v>
      </x:c>
      <x:c r="G984" s="11" t="n">
        <x:v>0.36719999999999997</x:v>
      </x:c>
      <x:c r="H984" s="11" t="n">
        <x:v>0.5503</x:v>
      </x:c>
      <x:c r="I984" s="11" t="n">
        <x:v>0.5967</x:v>
      </x:c>
      <x:c r="J984" s="13" t="n">
        <x:f>IF(OR(G984=0,G984=1),"",(H984-I984)*100)</x:f>
        <x:v>-4.64</x:v>
      </x:c>
      <x:c r="K984" s="14" t="n">
        <x:v>26.17</x:v>
      </x:c>
      <x:c r="L984" s="15" t="n">
        <x:f>F984*G984</x:f>
        <x:v>317.99519999999995</x:v>
      </x:c>
      <x:c r="M984" s="15" t="n">
        <x:f>F984-L984</x:f>
        <x:v>548.0048</x:v>
      </x:c>
      <x:c r="N984" s="17" t="str"/>
      <x:c r="O984" s="17" t="str">
        <x:v>https://sts2log.com/cards</x:v>
      </x:c>
      <x:c r="P984" s="17" t="str">
        <x:v>https://slaythespire2.net/ancient/vakuu</x:v>
      </x:c>
    </x:row>
    <x:row r="985" ht="25" customHeight="1">
      <x:c r="A985" s="2" t="str">
        <x:v>v0.111</x:v>
      </x:c>
      <x:c r="B985" s="2" t="str">
        <x:v>储君</x:v>
      </x:c>
      <x:c r="C985" s="2" t="str">
        <x:v>瓦库</x:v>
      </x:c>
      <x:c r="D985" s="2" t="str">
        <x:v>血染玫瑰</x:v>
      </x:c>
      <x:c r="E985" s="16" t="n">
        <x:f>IF(G985=0,I985,IF(G985=1,H985,G985*H985+(1-G985)*I985))</x:f>
        <x:v>0.5795731000000001</x:v>
      </x:c>
      <x:c r="F985" s="12" t="n">
        <x:v>1213</x:v>
      </x:c>
      <x:c r="G985" s="11" t="n">
        <x:v>0.28850000000000003</x:v>
      </x:c>
      <x:c r="H985" s="11" t="n">
        <x:v>0.58</x:v>
      </x:c>
      <x:c r="I985" s="11" t="n">
        <x:v>0.5794</x:v>
      </x:c>
      <x:c r="J985" s="13" t="n">
        <x:f>IF(OR(G985=0,G985=1),"",(H985-I985)*100)</x:f>
        <x:v>0.05999999999999339</x:v>
      </x:c>
      <x:c r="K985" s="14" t="n">
        <x:v>29.14</x:v>
      </x:c>
      <x:c r="L985" s="15" t="n">
        <x:f>F985*G985</x:f>
        <x:v>349.95050000000003</x:v>
      </x:c>
      <x:c r="M985" s="15" t="n">
        <x:f>F985-L985</x:f>
        <x:v>863.0495</x:v>
      </x:c>
      <x:c r="N985" s="17" t="str"/>
      <x:c r="O985" s="17" t="str">
        <x:v>https://sts2log.com/cards</x:v>
      </x:c>
      <x:c r="P985" s="17" t="str">
        <x:v>https://slaythespire2.net/ancient/vakuu</x:v>
      </x:c>
    </x:row>
    <x:row r="986" ht="25" customHeight="1">
      <x:c r="A986" s="2" t="str">
        <x:v>v0.111</x:v>
      </x:c>
      <x:c r="B986" s="2" t="str">
        <x:v>储君</x:v>
      </x:c>
      <x:c r="C986" s="2" t="str">
        <x:v>瓦库</x:v>
      </x:c>
      <x:c r="D986" s="2" t="str">
        <x:v>领主阳伞</x:v>
      </x:c>
      <x:c r="E986" s="16" t="n">
        <x:f>IF(G986=0,I986,IF(G986=1,H986,G986*H986+(1-G986)*I986))</x:f>
        <x:v>0.5789397599999999</x:v>
      </x:c>
      <x:c r="F986" s="12" t="n">
        <x:v>893</x:v>
      </x:c>
      <x:c r="G986" s="11" t="n">
        <x:v>0.1176</x:v>
      </x:c>
      <x:c r="H986" s="11" t="n">
        <x:v>0.49520000000000003</x:v>
      </x:c>
      <x:c r="I986" s="11" t="n">
        <x:v>0.5901</x:v>
      </x:c>
      <x:c r="J986" s="13" t="n">
        <x:f>IF(OR(G986=0,G986=1),"",(H986-I986)*100)</x:f>
        <x:v>-9.489999999999993</x:v>
      </x:c>
      <x:c r="K986" s="14" t="n">
        <x:v>20.66</x:v>
      </x:c>
      <x:c r="L986" s="15" t="n">
        <x:f>F986*G986</x:f>
        <x:v>105.0168</x:v>
      </x:c>
      <x:c r="M986" s="15" t="n">
        <x:f>F986-L986</x:f>
        <x:v>787.9832</x:v>
      </x:c>
      <x:c r="N986" s="17" t="str"/>
      <x:c r="O986" s="17" t="str">
        <x:v>https://sts2log.com/cards</x:v>
      </x:c>
      <x:c r="P986" s="17" t="str">
        <x:v>https://slaythespire2.net/ancient/vakuu</x:v>
      </x:c>
    </x:row>
    <x:row r="987" ht="25" customHeight="1">
      <x:c r="A987" s="2" t="str">
        <x:v>v0.111</x:v>
      </x:c>
      <x:c r="B987" s="2" t="str">
        <x:v>储君</x:v>
      </x:c>
      <x:c r="C987" s="2" t="str">
        <x:v>瓦库</x:v>
      </x:c>
      <x:c r="D987" s="2" t="str">
        <x:v>腌制活雾</x:v>
      </x:c>
      <x:c r="E987" s="16" t="n">
        <x:f>IF(G987=0,I987,IF(G987=1,H987,G987*H987+(1-G987)*I987))</x:f>
        <x:v>0.57410763</x:v>
      </x:c>
      <x:c r="F987" s="12" t="n">
        <x:v>1188</x:v>
      </x:c>
      <x:c r="G987" s="11" t="n">
        <x:v>0.44189999999999996</x:v>
      </x:c>
      <x:c r="H987" s="11" t="n">
        <x:v>0.5505</x:v>
      </x:c>
      <x:c r="I987" s="11" t="n">
        <x:v>0.5928</x:v>
      </x:c>
      <x:c r="J987" s="13" t="n">
        <x:f>IF(OR(G987=0,G987=1),"",(H987-I987)*100)</x:f>
        <x:v>-4.23</x:v>
      </x:c>
      <x:c r="K987" s="14" t="n">
        <x:v>26.19</x:v>
      </x:c>
      <x:c r="L987" s="15" t="n">
        <x:f>F987*G987</x:f>
        <x:v>524.9771999999999</x:v>
      </x:c>
      <x:c r="M987" s="15" t="n">
        <x:f>F987-L987</x:f>
        <x:v>663.0228000000001</x:v>
      </x:c>
      <x:c r="N987" s="17" t="str"/>
      <x:c r="O987" s="17" t="str">
        <x:v>https://sts2log.com/cards</x:v>
      </x:c>
      <x:c r="P987" s="17" t="str">
        <x:v>https://slaythespire2.net/ancient/vakuu</x:v>
      </x:c>
    </x:row>
    <x:row r="988" ht="42" customHeight="1">
      <x:c r="A988" s="2" t="str">
        <x:v>v0.111</x:v>
      </x:c>
      <x:c r="B988" s="2" t="str">
        <x:v>储君</x:v>
      </x:c>
      <x:c r="C988" s="2" t="str">
        <x:v>达弗</x:v>
      </x:c>
      <x:c r="D988" s="2" t="str">
        <x:v>符文金字塔</x:v>
      </x:c>
      <x:c r="E988" s="16" t="n">
        <x:f>IF(G988=0,I988,IF(G988=1,H988,G988*H988+(1-G988)*I988))</x:f>
        <x:v>0.5363230000000001</x:v>
      </x:c>
      <x:c r="F988" s="12" t="n">
        <x:v>729</x:v>
      </x:c>
      <x:c r="G988" s="11" t="n">
        <x:v>0.4925</x:v>
      </x:c>
      <x:c r="H988" s="11" t="n">
        <x:v>0.6295000000000001</x:v>
      </x:c>
      <x:c r="I988" s="11" t="n">
        <x:v>0.4459</x:v>
      </x:c>
      <x:c r="J988" s="13" t="n">
        <x:f>IF(OR(G988=0,G988=1),"",(H988-I988)*100)</x:f>
        <x:v>18.360000000000003</x:v>
      </x:c>
      <x:c r="K988" s="14" t="n">
        <x:v>34.09</x:v>
      </x:c>
      <x:c r="L988" s="15" t="n">
        <x:f>F988*G988</x:f>
        <x:v>359.03249999999997</x:v>
      </x:c>
      <x:c r="M988" s="15" t="n">
        <x:f>F988-L988</x:f>
        <x:v>369.96750000000003</x:v>
      </x:c>
      <x:c r="N988" s="17" t="str">
        <x:v>不同幕混合，勿直接解释为纯强度</x:v>
      </x:c>
      <x:c r="O988" s="17" t="str">
        <x:v>https://sts2log.com/cards</x:v>
      </x:c>
      <x:c r="P988" s="17" t="str">
        <x:v>https://slaythespire2.net/ancient/darv</x:v>
      </x:c>
    </x:row>
    <x:row r="989" ht="42" customHeight="1">
      <x:c r="A989" s="2" t="str">
        <x:v>v0.111</x:v>
      </x:c>
      <x:c r="B989" s="2" t="str">
        <x:v>储君</x:v>
      </x:c>
      <x:c r="C989" s="2" t="str">
        <x:v>达弗</x:v>
      </x:c>
      <x:c r="D989" s="2" t="str">
        <x:v>潘多拉魔盒</x:v>
      </x:c>
      <x:c r="E989" s="16" t="n">
        <x:f>IF(G989=0,I989,IF(G989=1,H989,G989*H989+(1-G989)*I989))</x:f>
        <x:v>0.5068935400000001</x:v>
      </x:c>
      <x:c r="F989" s="12" t="n">
        <x:v>799</x:v>
      </x:c>
      <x:c r="G989" s="11" t="n">
        <x:v>0.4318</x:v>
      </x:c>
      <x:c r="H989" s="11" t="n">
        <x:v>0.49570000000000003</x:v>
      </x:c>
      <x:c r="I989" s="11" t="n">
        <x:v>0.5154</x:v>
      </x:c>
      <x:c r="J989" s="13" t="n">
        <x:f>IF(OR(G989=0,G989=1),"",(H989-I989)*100)</x:f>
        <x:v>-1.969999999999994</x:v>
      </x:c>
      <x:c r="K989" s="14" t="n">
        <x:v>20.71</x:v>
      </x:c>
      <x:c r="L989" s="15" t="n">
        <x:f>F989*G989</x:f>
        <x:v>345.0082</x:v>
      </x:c>
      <x:c r="M989" s="15" t="n">
        <x:f>F989-L989</x:f>
        <x:v>453.9918</x:v>
      </x:c>
      <x:c r="N989" s="17" t="str">
        <x:v>不同幕混合，勿直接解释为纯强度</x:v>
      </x:c>
      <x:c r="O989" s="17" t="str">
        <x:v>https://sts2log.com/cards</x:v>
      </x:c>
      <x:c r="P989" s="17" t="str">
        <x:v>https://slaythespire2.net/ancient/darv</x:v>
      </x:c>
    </x:row>
    <x:row r="990" ht="42" customHeight="1">
      <x:c r="A990" s="2" t="str">
        <x:v>v0.111</x:v>
      </x:c>
      <x:c r="B990" s="2" t="str">
        <x:v>储君</x:v>
      </x:c>
      <x:c r="C990" s="2" t="str">
        <x:v>达弗</x:v>
      </x:c>
      <x:c r="D990" s="2" t="str">
        <x:v>空鸟笼</x:v>
      </x:c>
      <x:c r="E990" s="16" t="n">
        <x:f>IF(G990=0,I990,IF(G990=1,H990,G990*H990+(1-G990)*I990))</x:f>
        <x:v>0.4927319400000001</x:v>
      </x:c>
      <x:c r="F990" s="12" t="n">
        <x:v>753</x:v>
      </x:c>
      <x:c r="G990" s="11" t="n">
        <x:v>0.37979999999999997</x:v>
      </x:c>
      <x:c r="H990" s="11" t="n">
        <x:v>0.4371</x:v>
      </x:c>
      <x:c r="I990" s="11" t="n">
        <x:v>0.5268</x:v>
      </x:c>
      <x:c r="J990" s="13" t="n">
        <x:f>IF(OR(G990=0,G990=1),"",(H990-I990)*100)</x:f>
        <x:v>-8.970000000000006</x:v>
      </x:c>
      <x:c r="K990" s="14" t="n">
        <x:v>14.85</x:v>
      </x:c>
      <x:c r="L990" s="15" t="n">
        <x:f>F990*G990</x:f>
        <x:v>285.9894</x:v>
      </x:c>
      <x:c r="M990" s="15" t="n">
        <x:f>F990-L990</x:f>
        <x:v>467.0106</x:v>
      </x:c>
      <x:c r="N990" s="17" t="str">
        <x:v>不同幕混合，勿直接解释为纯强度</x:v>
      </x:c>
      <x:c r="O990" s="17" t="str">
        <x:v>https://sts2log.com/cards</x:v>
      </x:c>
      <x:c r="P990" s="17" t="str">
        <x:v>https://slaythespire2.net/ancient/darv</x:v>
      </x:c>
    </x:row>
    <x:row r="991" ht="42" customHeight="1">
      <x:c r="A991" s="2" t="str">
        <x:v>v0.111</x:v>
      </x:c>
      <x:c r="B991" s="2" t="str">
        <x:v>储君</x:v>
      </x:c>
      <x:c r="C991" s="2" t="str">
        <x:v>达弗</x:v>
      </x:c>
      <x:c r="D991" s="2" t="str">
        <x:v>贤者之石</x:v>
      </x:c>
      <x:c r="E991" s="16" t="n">
        <x:f>IF(G991=0,I991,IF(G991=1,H991,G991*H991+(1-G991)*I991))</x:f>
        <x:v>0.49217029</x:v>
      </x:c>
      <x:c r="F991" s="12" t="n">
        <x:v>764</x:v>
      </x:c>
      <x:c r="G991" s="11" t="n">
        <x:v>0.3613</x:v>
      </x:c>
      <x:c r="H991" s="11" t="n">
        <x:v>0.5326</x:v>
      </x:c>
      <x:c r="I991" s="11" t="n">
        <x:v>0.4693</x:v>
      </x:c>
      <x:c r="J991" s="13" t="n">
        <x:f>IF(OR(G991=0,G991=1),"",(H991-I991)*100)</x:f>
        <x:v>6.3299999999999965</x:v>
      </x:c>
      <x:c r="K991" s="14" t="n">
        <x:v>24.4</x:v>
      </x:c>
      <x:c r="L991" s="15" t="n">
        <x:f>F991*G991</x:f>
        <x:v>276.0332</x:v>
      </x:c>
      <x:c r="M991" s="15" t="n">
        <x:f>F991-L991</x:f>
        <x:v>487.9668</x:v>
      </x:c>
      <x:c r="N991" s="17" t="str">
        <x:v>不同幕混合，勿直接解释为纯强度</x:v>
      </x:c>
      <x:c r="O991" s="17" t="str">
        <x:v>https://sts2log.com/cards</x:v>
      </x:c>
      <x:c r="P991" s="17" t="str">
        <x:v>https://op.gg/zh-cn/slay-the-spire2/events/Darv</x:v>
      </x:c>
    </x:row>
    <x:row r="992" ht="42" customHeight="1">
      <x:c r="A992" s="2" t="str">
        <x:v>v0.111</x:v>
      </x:c>
      <x:c r="B992" s="2" t="str">
        <x:v>储君</x:v>
      </x:c>
      <x:c r="C992" s="2" t="str">
        <x:v>达弗</x:v>
      </x:c>
      <x:c r="D992" s="2" t="str">
        <x:v>召唤铃铛</x:v>
      </x:c>
      <x:c r="E992" s="16" t="n">
        <x:f>IF(G992=0,I992,IF(G992=1,H992,G992*H992+(1-G992)*I992))</x:f>
        <x:v>0.49142854</x:v>
      </x:c>
      <x:c r="F992" s="12" t="n">
        <x:v>700</x:v>
      </x:c>
      <x:c r="G992" s="11" t="n">
        <x:v>0.2529</x:v>
      </x:c>
      <x:c r="H992" s="11" t="n">
        <x:v>0.48590000000000005</x:v>
      </x:c>
      <x:c r="I992" s="11" t="n">
        <x:v>0.49329999999999996</x:v>
      </x:c>
      <x:c r="J992" s="13" t="n">
        <x:f>IF(OR(G992=0,G992=1),"",(H992-I992)*100)</x:f>
        <x:v>-0.7399999999999907</x:v>
      </x:c>
      <x:c r="K992" s="14" t="n">
        <x:v>19.73</x:v>
      </x:c>
      <x:c r="L992" s="15" t="n">
        <x:f>F992*G992</x:f>
        <x:v>177.03</x:v>
      </x:c>
      <x:c r="M992" s="15" t="n">
        <x:f>F992-L992</x:f>
        <x:v>522.97</x:v>
      </x:c>
      <x:c r="N992" s="17" t="str">
        <x:v>不同幕混合，勿直接解释为纯强度</x:v>
      </x:c>
      <x:c r="O992" s="17" t="str">
        <x:v>https://sts2log.com/cards</x:v>
      </x:c>
      <x:c r="P992" s="17" t="str">
        <x:v>https://slaythespire2.net/ancient/darv</x:v>
      </x:c>
    </x:row>
    <x:row r="993" ht="42" customHeight="1">
      <x:c r="A993" s="2" t="str">
        <x:v>v0.111</x:v>
      </x:c>
      <x:c r="B993" s="2" t="str">
        <x:v>储君</x:v>
      </x:c>
      <x:c r="C993" s="2" t="str">
        <x:v>达弗</x:v>
      </x:c>
      <x:c r="D993" s="2" t="str">
        <x:v>异蛇之眼</x:v>
      </x:c>
      <x:c r="E993" s="16" t="n">
        <x:f>IF(G993=0,I993,IF(G993=1,H993,G993*H993+(1-G993)*I993))</x:f>
        <x:v>0.48406602</x:v>
      </x:c>
      <x:c r="F993" s="12" t="n">
        <x:v>783</x:v>
      </x:c>
      <x:c r="G993" s="11" t="n">
        <x:v>0.0319</x:v>
      </x:c>
      <x:c r="H993" s="11" t="n">
        <x:v>0.48</x:v>
      </x:c>
      <x:c r="I993" s="11" t="n">
        <x:v>0.4842</x:v>
      </x:c>
      <x:c r="J993" s="13" t="n">
        <x:f>IF(OR(G993=0,G993=1),"",(H993-I993)*100)</x:f>
        <x:v>-0.4200000000000037</x:v>
      </x:c>
      <x:c r="K993" s="14" t="n">
        <x:v>19.14</x:v>
      </x:c>
      <x:c r="L993" s="15" t="n">
        <x:f>F993*G993</x:f>
        <x:v>24.9777</x:v>
      </x:c>
      <x:c r="M993" s="15" t="n">
        <x:f>F993-L993</x:f>
        <x:v>758.0223</x:v>
      </x:c>
      <x:c r="N993" s="17" t="str">
        <x:v>不同幕混合，勿直接解释为纯强度</x:v>
      </x:c>
      <x:c r="O993" s="17" t="str">
        <x:v>https://sts2log.com/cards</x:v>
      </x:c>
      <x:c r="P993" s="17" t="str">
        <x:v>https://slaythespire2.net/ancient/darv</x:v>
      </x:c>
    </x:row>
    <x:row r="994" ht="42" customHeight="1">
      <x:c r="A994" s="2" t="str">
        <x:v>v0.111</x:v>
      </x:c>
      <x:c r="B994" s="2" t="str">
        <x:v>储君</x:v>
      </x:c>
      <x:c r="C994" s="2" t="str">
        <x:v>达弗</x:v>
      </x:c>
      <x:c r="D994" s="2" t="str">
        <x:v>星盘</x:v>
      </x:c>
      <x:c r="E994" s="16" t="n">
        <x:f>IF(G994=0,I994,IF(G994=1,H994,G994*H994+(1-G994)*I994))</x:f>
        <x:v>0.48282400000000003</x:v>
      </x:c>
      <x:c r="F994" s="12" t="n">
        <x:v>756</x:v>
      </x:c>
      <x:c r="G994" s="11" t="n">
        <x:v>0.504</x:v>
      </x:c>
      <x:c r="H994" s="11" t="n">
        <x:v>0.4672</x:v>
      </x:c>
      <x:c r="I994" s="11" t="n">
        <x:v>0.4987</x:v>
      </x:c>
      <x:c r="J994" s="13" t="n">
        <x:f>IF(OR(G994=0,G994=1),"",(H994-I994)*100)</x:f>
        <x:v>-3.1499999999999972</x:v>
      </x:c>
      <x:c r="K994" s="14" t="n">
        <x:v>17.86</x:v>
      </x:c>
      <x:c r="L994" s="15" t="n">
        <x:f>F994*G994</x:f>
        <x:v>381.024</x:v>
      </x:c>
      <x:c r="M994" s="15" t="n">
        <x:f>F994-L994</x:f>
        <x:v>374.976</x:v>
      </x:c>
      <x:c r="N994" s="17" t="str">
        <x:v>不同幕混合，勿直接解释为纯强度</x:v>
      </x:c>
      <x:c r="O994" s="17" t="str">
        <x:v>https://sts2log.com/cards</x:v>
      </x:c>
      <x:c r="P994" s="17" t="str">
        <x:v>https://slaythespire2.net/ancient/darv</x:v>
      </x:c>
    </x:row>
    <x:row r="995" ht="42" customHeight="1">
      <x:c r="A995" s="2" t="str">
        <x:v>v0.111</x:v>
      </x:c>
      <x:c r="B995" s="2" t="str">
        <x:v>储君</x:v>
      </x:c>
      <x:c r="C995" s="2" t="str">
        <x:v>达弗</x:v>
      </x:c>
      <x:c r="D995" s="2" t="str">
        <x:v>黑星</x:v>
      </x:c>
      <x:c r="E995" s="16" t="n">
        <x:f>IF(G995=0,I995,IF(G995=1,H995,G995*H995+(1-G995)*I995))</x:f>
        <x:v>0.47180906</x:v>
      </x:c>
      <x:c r="F995" s="12" t="n">
        <x:v>763</x:v>
      </x:c>
      <x:c r="G995" s="11" t="n">
        <x:v>0.17170000000000002</x:v>
      </x:c>
      <x:c r="H995" s="11" t="n">
        <x:v>0.4733</x:v>
      </x:c>
      <x:c r="I995" s="11" t="n">
        <x:v>0.4715</x:v>
      </x:c>
      <x:c r="J995" s="13" t="n">
        <x:f>IF(OR(G995=0,G995=1),"",(H995-I995)*100)</x:f>
        <x:v>0.18000000000000238</x:v>
      </x:c>
      <x:c r="K995" s="14" t="n">
        <x:v>18.47</x:v>
      </x:c>
      <x:c r="L995" s="15" t="n">
        <x:f>F995*G995</x:f>
        <x:v>131.0071</x:v>
      </x:c>
      <x:c r="M995" s="15" t="n">
        <x:f>F995-L995</x:f>
        <x:v>631.9929</x:v>
      </x:c>
      <x:c r="N995" s="17" t="str">
        <x:v>不同幕混合，勿直接解释为纯强度</x:v>
      </x:c>
      <x:c r="O995" s="17" t="str">
        <x:v>https://sts2log.com/cards</x:v>
      </x:c>
      <x:c r="P995" s="17" t="str">
        <x:v>https://slaythespire2.net/ancient/darv</x:v>
      </x:c>
    </x:row>
    <x:row r="996" ht="42" customHeight="1">
      <x:c r="A996" s="2" t="str">
        <x:v>v0.111</x:v>
      </x:c>
      <x:c r="B996" s="2" t="str">
        <x:v>储君</x:v>
      </x:c>
      <x:c r="C996" s="2" t="str">
        <x:v>达弗</x:v>
      </x:c>
      <x:c r="D996" s="2" t="str">
        <x:v>尘封魔典</x:v>
      </x:c>
      <x:c r="E996" s="16" t="n">
        <x:f>IF(G996=0,I996,IF(G996=1,H996,G996*H996+(1-G996)*I996))</x:f>
        <x:v>0.4710968</x:v>
      </x:c>
      <x:c r="F996" s="12" t="n">
        <x:v>1592</x:v>
      </x:c>
      <x:c r="G996" s="11" t="n">
        <x:v>0.6068</x:v>
      </x:c>
      <x:c r="H996" s="11" t="n">
        <x:v>0.442</x:v>
      </x:c>
      <x:c r="I996" s="11" t="n">
        <x:v>0.516</x:v>
      </x:c>
      <x:c r="J996" s="13" t="n">
        <x:f>IF(OR(G996=0,G996=1),"",(H996-I996)*100)</x:f>
        <x:v>-7.400000000000001</x:v>
      </x:c>
      <x:c r="K996" s="14" t="n">
        <x:v>15.34</x:v>
      </x:c>
      <x:c r="L996" s="15" t="n">
        <x:f>F996*G996</x:f>
        <x:v>966.0256</x:v>
      </x:c>
      <x:c r="M996" s="15" t="n">
        <x:f>F996-L996</x:f>
        <x:v>625.9744</x:v>
      </x:c>
      <x:c r="N996" s="17" t="str">
        <x:v>不同幕混合，勿直接解释为纯强度</x:v>
      </x:c>
      <x:c r="O996" s="17" t="str">
        <x:v>https://sts2log.com/cards</x:v>
      </x:c>
      <x:c r="P996" s="17" t="str">
        <x:v>https://slaythespire2.net/ancient/darv</x:v>
      </x:c>
    </x:row>
    <x:row r="997" ht="42" customHeight="1">
      <x:c r="A997" s="2" t="str">
        <x:v>v0.111</x:v>
      </x:c>
      <x:c r="B997" s="2" t="str">
        <x:v>储君</x:v>
      </x:c>
      <x:c r="C997" s="2" t="str">
        <x:v>达弗</x:v>
      </x:c>
      <x:c r="D997" s="2" t="str">
        <x:v>灵体外质</x:v>
      </x:c>
      <x:c r="E997" s="16" t="n">
        <x:f>IF(G997=0,I997,IF(G997=1,H997,G997*H997+(1-G997)*I997))</x:f>
        <x:v>0.45749688</x:v>
      </x:c>
      <x:c r="F997" s="12" t="n">
        <x:v>518</x:v>
      </x:c>
      <x:c r="G997" s="11" t="n">
        <x:v>0.0907</x:v>
      </x:c>
      <x:c r="H997" s="11" t="n">
        <x:v>0.5106</x:v>
      </x:c>
      <x:c r="I997" s="11" t="n">
        <x:v>0.4522</x:v>
      </x:c>
      <x:c r="J997" s="13" t="n">
        <x:f>IF(OR(G997=0,G997=1),"",(H997-I997)*100)</x:f>
        <x:v>5.840000000000006</x:v>
      </x:c>
      <x:c r="K997" s="14" t="n">
        <x:v>22.2</x:v>
      </x:c>
      <x:c r="L997" s="15" t="n">
        <x:f>F997*G997</x:f>
        <x:v>46.982600000000005</x:v>
      </x:c>
      <x:c r="M997" s="15" t="n">
        <x:f>F997-L997</x:f>
        <x:v>471.0174</x:v>
      </x:c>
      <x:c r="N997" s="17" t="str">
        <x:v>不同幕混合，勿直接解释为纯强度</x:v>
      </x:c>
      <x:c r="O997" s="17" t="str">
        <x:v>https://sts2log.com/cards</x:v>
      </x:c>
      <x:c r="P997" s="17" t="str">
        <x:v>https://op.gg/zh-cn/slay-the-spire2/events/Darv</x:v>
      </x:c>
    </x:row>
    <x:row r="998" ht="42" customHeight="1">
      <x:c r="A998" s="2" t="str">
        <x:v>v0.111</x:v>
      </x:c>
      <x:c r="B998" s="2" t="str">
        <x:v>储君</x:v>
      </x:c>
      <x:c r="C998" s="2" t="str">
        <x:v>达弗</x:v>
      </x:c>
      <x:c r="D998" s="2" t="str">
        <x:v>天鹅绒颈圈</x:v>
      </x:c>
      <x:c r="E998" s="16" t="n">
        <x:f>IF(G998=0,I998,IF(G998=1,H998,G998*H998+(1-G998)*I998))</x:f>
        <x:v>0.44279072</x:v>
      </x:c>
      <x:c r="F998" s="12" t="n">
        <x:v>804</x:v>
      </x:c>
      <x:c r="G998" s="11" t="n">
        <x:v>0.12560000000000002</x:v>
      </x:c>
      <x:c r="H998" s="11" t="n">
        <x:v>0.3564</x:v>
      </x:c>
      <x:c r="I998" s="11" t="n">
        <x:v>0.45520000000000005</x:v>
      </x:c>
      <x:c r="J998" s="13" t="n">
        <x:f>IF(OR(G998=0,G998=1),"",(H998-I998)*100)</x:f>
        <x:v>-9.880000000000006</x:v>
      </x:c>
      <x:c r="K998" s="14" t="n">
        <x:v>6.78</x:v>
      </x:c>
      <x:c r="L998" s="15" t="n">
        <x:f>F998*G998</x:f>
        <x:v>100.98240000000001</x:v>
      </x:c>
      <x:c r="M998" s="15" t="n">
        <x:f>F998-L998</x:f>
        <x:v>703.0176</x:v>
      </x:c>
      <x:c r="N998" s="17" t="str">
        <x:v>不同幕混合，勿直接解释为纯强度</x:v>
      </x:c>
      <x:c r="O998" s="17" t="str">
        <x:v>https://sts2log.com/cards</x:v>
      </x:c>
      <x:c r="P998" s="17" t="str">
        <x:v>https://op.gg/zh-cn/slay-the-spire2/events/Darv</x:v>
      </x:c>
    </x:row>
    <x:row r="999" ht="42" customHeight="1">
      <x:c r="A999" s="2" t="str">
        <x:v>v0.111</x:v>
      </x:c>
      <x:c r="B999" s="2" t="str">
        <x:v>储君</x:v>
      </x:c>
      <x:c r="C999" s="2" t="str">
        <x:v>达弗</x:v>
      </x:c>
      <x:c r="D999" s="2" t="str">
        <x:v>添水</x:v>
      </x:c>
      <x:c r="E999" s="16" t="n">
        <x:f>IF(G999=0,I999,IF(G999=1,H999,G999*H999+(1-G999)*I999))</x:f>
        <x:v>0.44075129</x:v>
      </x:c>
      <x:c r="F999" s="12" t="n">
        <x:v>540</x:v>
      </x:c>
      <x:c r="G999" s="11" t="n">
        <x:v>0.1241</x:v>
      </x:c>
      <x:c r="H999" s="11" t="n">
        <x:v>0.40299999999999997</x:v>
      </x:c>
      <x:c r="I999" s="11" t="n">
        <x:v>0.4461</x:v>
      </x:c>
      <x:c r="J999" s="13" t="n">
        <x:f>IF(OR(G999=0,G999=1),"",(H999-I999)*100)</x:f>
        <x:v>-4.310000000000002</x:v>
      </x:c>
      <x:c r="K999" s="14" t="n">
        <x:v>11.44</x:v>
      </x:c>
      <x:c r="L999" s="15" t="n">
        <x:f>F999*G999</x:f>
        <x:v>67.014</x:v>
      </x:c>
      <x:c r="M999" s="15" t="n">
        <x:f>F999-L999</x:f>
        <x:v>472.986</x:v>
      </x:c>
      <x:c r="N999" s="17" t="str">
        <x:v>不同幕混合，勿直接解释为纯强度</x:v>
      </x:c>
      <x:c r="O999" s="17" t="str">
        <x:v>https://sts2log.com/cards</x:v>
      </x:c>
      <x:c r="P999" s="17" t="str">
        <x:v>https://op.gg/zh-cn/slay-the-spire2/events/Darv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01f5903b7e2d43b6"/>
  </x:tableParts>
</x:worksheet>
</file>

<file path=xl/worksheets/sheet3.xml><?xml version="1.0" encoding="utf-8"?>
<x:worksheet xmlns:x="http://schemas.openxmlformats.org/spreadsheetml/2006/main">
  <x:sheetPr>
    <x:tabColor rgb="FF087F8C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  <x:col min="8" max="8" width="17" hidden="0" customWidth="1"/>
    <x:col min="9" max="9" width="15" hidden="0" customWidth="1"/>
    <x:col min="10" max="10" width="15" hidden="0" customWidth="1"/>
    <x:col min="11" max="11" width="14" hidden="0" customWidth="1"/>
    <x:col min="12" max="12" width="16" hidden="0" customWidth="1"/>
    <x:col min="13" max="13" width="16" hidden="0" customWidth="1"/>
    <x:col min="14" max="14" width="17" hidden="0" customWidth="1"/>
    <x:col min="15" max="15" width="21" hidden="0" customWidth="1"/>
    <x:col min="16" max="16" width="55" hidden="0" customWidth="1"/>
  </x:cols>
  <x:sheetData>
    <x:row r="1" ht="43" customHeight="1">
      <x:c r="A1" s="4" t="str">
        <x:v>铁甲战士 · 两版对照 / 按先古之民分组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5" customHeight="1">
      <x:c r="A2" s="6" t="str">
        <x:v>每个版本保留出现胜率、出现次数、选取率、选择/跳过后胜率和选跳差。空白表示该筛选下未显示记录；不按零值处理。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56" customHeight="1">
      <x:c r="A4" s="8" t="str">
        <x:v>先古之民</x:v>
      </x:c>
      <x:c r="B4" s="8" t="str">
        <x:v>遗物</x:v>
      </x:c>
      <x:c r="C4" s="29" t="str">
        <x:v>0.107
出现胜率</x:v>
      </x:c>
      <x:c r="D4" s="29" t="str">
        <x:v>0.107
出现次数</x:v>
      </x:c>
      <x:c r="E4" s="29" t="str">
        <x:v>0.107
选取率</x:v>
      </x:c>
      <x:c r="F4" s="29" t="str">
        <x:v>0.107
选择后胜率</x:v>
      </x:c>
      <x:c r="G4" s="29" t="str">
        <x:v>0.107
跳过后胜率</x:v>
      </x:c>
      <x:c r="H4" s="29" t="str">
        <x:v>0.107
选跳差(pp)</x:v>
      </x:c>
      <x:c r="I4" s="30" t="str">
        <x:v>0.111
出现胜率</x:v>
      </x:c>
      <x:c r="J4" s="30" t="str">
        <x:v>0.111
出现次数</x:v>
      </x:c>
      <x:c r="K4" s="30" t="str">
        <x:v>0.111
选取率</x:v>
      </x:c>
      <x:c r="L4" s="30" t="str">
        <x:v>0.111
选择后胜率</x:v>
      </x:c>
      <x:c r="M4" s="30" t="str">
        <x:v>0.111
跳过后胜率</x:v>
      </x:c>
      <x:c r="N4" s="30" t="str">
        <x:v>0.111
选跳差(pp)</x:v>
      </x:c>
      <x:c r="O4" s="8" t="str">
        <x:v>出现胜率变化
0.111−0.107(pp)</x:v>
      </x:c>
      <x:c r="P4" s="8" t="str">
        <x:v>备注</x:v>
      </x:c>
    </x:row>
    <x:row r="5" ht="25" customHeight="1">
      <x:c r="A5" s="20" t="str">
        <x:v>涅奥</x:v>
      </x:c>
      <x:c r="B5" s="20" t="str">
        <x:v>奥术卷轴</x:v>
      </x:c>
      <x:c r="C5" s="27" t="n">
        <x:f>IF('全量明细'!E17="","",'全量明细'!E17)</x:f>
        <x:v>0.25318524</x:v>
      </x:c>
      <x:c r="D5" s="23" t="n">
        <x:f>IF('全量明细'!F17="","",'全量明细'!F17)</x:f>
        <x:v>17719</x:v>
      </x:c>
      <x:c r="E5" s="22" t="n">
        <x:f>IF('全量明细'!G17="","",'全量明细'!G17)</x:f>
        <x:v>0.48340000000000005</x:v>
      </x:c>
      <x:c r="F5" s="22" t="n">
        <x:f>IF('全量明细'!H17="","",'全量明细'!H17)</x:f>
        <x:v>0.2163</x:v>
      </x:c>
      <x:c r="G5" s="22" t="n">
        <x:f>IF('全量明细'!I17="","",'全量明细'!I17)</x:f>
        <x:v>0.2877</x:v>
      </x:c>
      <x:c r="H5" s="24" t="n">
        <x:f>IF('全量明细'!J17="","",'全量明细'!J17)</x:f>
        <x:v>-7.140000000000002</x:v>
      </x:c>
      <x:c r="I5" s="27" t="n">
        <x:f>IF('全量明细'!E515="","",'全量明细'!E515)</x:f>
        <x:v>0.33288144000000003</x:v>
      </x:c>
      <x:c r="J5" s="23" t="n">
        <x:f>IF('全量明细'!F515="","",'全量明细'!F515)</x:f>
        <x:v>8345</x:v>
      </x:c>
      <x:c r="K5" s="22" t="n">
        <x:f>IF('全量明细'!G515="","",'全量明细'!G515)</x:f>
        <x:v>0.5312</x:v>
      </x:c>
      <x:c r="L5" s="22" t="n">
        <x:f>IF('全量明细'!H515="","",'全量明细'!H515)</x:f>
        <x:v>0.3018</x:v>
      </x:c>
      <x:c r="M5" s="22" t="n">
        <x:f>IF('全量明细'!I515="","",'全量明细'!I515)</x:f>
        <x:v>0.36810000000000004</x:v>
      </x:c>
      <x:c r="N5" s="24" t="n">
        <x:f>IF('全量明细'!J515="","",'全量明细'!J515)</x:f>
        <x:v>-6.630000000000003</x:v>
      </x:c>
      <x:c r="O5" s="24" t="n">
        <x:f>IF(AND(ISNUMBER(C5),ISNUMBER(I5)),(I5-C5)*100,"")</x:f>
        <x:v>7.969620000000005</x:v>
      </x:c>
      <x:c r="P5" s="31" t="str"/>
    </x:row>
    <x:row r="6" ht="25" customHeight="1">
      <x:c r="A6" s="2" t="str">
        <x:v>涅奥</x:v>
      </x:c>
      <x:c r="B6" s="2" t="str">
        <x:v>白银熔炉</x:v>
      </x:c>
      <x:c r="C6" s="28" t="n">
        <x:f>IF('全量明细'!E30="","",'全量明细'!E30)</x:f>
        <x:v>0.24220812000000003</x:v>
      </x:c>
      <x:c r="D6" s="12" t="n">
        <x:f>IF('全量明细'!F30="","",'全量明细'!F30)</x:f>
        <x:v>20686</x:v>
      </x:c>
      <x:c r="E6" s="11" t="n">
        <x:f>IF('全量明细'!G30="","",'全量明细'!G30)</x:f>
        <x:v>0.7436</x:v>
      </x:c>
      <x:c r="F6" s="11" t="n">
        <x:f>IF('全量明细'!H30="","",'全量明细'!H30)</x:f>
        <x:v>0.2529</x:v>
      </x:c>
      <x:c r="G6" s="11" t="n">
        <x:f>IF('全量明细'!I30="","",'全量明细'!I30)</x:f>
        <x:v>0.2112</x:v>
      </x:c>
      <x:c r="H6" s="14" t="n">
        <x:f>IF('全量明细'!J30="","",'全量明细'!J30)</x:f>
        <x:v>4.170000000000002</x:v>
      </x:c>
      <x:c r="I6" s="28" t="n">
        <x:f>IF('全量明细'!E524="","",'全量明细'!E524)</x:f>
        <x:v>0.32212375</x:v>
      </x:c>
      <x:c r="J6" s="12" t="n">
        <x:f>IF('全量明细'!F524="","",'全量明细'!F524)</x:f>
        <x:v>7553</x:v>
      </x:c>
      <x:c r="K6" s="11" t="n">
        <x:f>IF('全量明细'!G524="","",'全量明细'!G524)</x:f>
        <x:v>0.7365</x:v>
      </x:c>
      <x:c r="L6" s="11" t="n">
        <x:f>IF('全量明细'!H524="","",'全量明细'!H524)</x:f>
        <x:v>0.32409999999999994</x:v>
      </x:c>
      <x:c r="M6" s="11" t="n">
        <x:f>IF('全量明细'!I524="","",'全量明细'!I524)</x:f>
        <x:v>0.3166</x:v>
      </x:c>
      <x:c r="N6" s="14" t="n">
        <x:f>IF('全量明细'!J524="","",'全量明细'!J524)</x:f>
        <x:v>0.7499999999999951</x:v>
      </x:c>
      <x:c r="O6" s="14" t="n">
        <x:f>IF(AND(ISNUMBER(C6),ISNUMBER(I6)),(I6-C6)*100,"")</x:f>
        <x:v>7.991562999999996</x:v>
      </x:c>
      <x:c r="P6" s="17" t="str"/>
    </x:row>
    <x:row r="7" ht="25" customHeight="1">
      <x:c r="A7" s="2" t="str">
        <x:v>涅奥</x:v>
      </x:c>
      <x:c r="B7" s="2" t="str">
        <x:v>沉重石板</x:v>
      </x:c>
      <x:c r="C7" s="28" t="n">
        <x:f>IF('全量明细'!E31="","",'全量明细'!E31)</x:f>
        <x:v>0.23242137000000002</x:v>
      </x:c>
      <x:c r="D7" s="12" t="n">
        <x:f>IF('全量明细'!F31="","",'全量明细'!F31)</x:f>
        <x:v>19387</x:v>
      </x:c>
      <x:c r="E7" s="11" t="n">
        <x:f>IF('全量明细'!G31="","",'全量明细'!G31)</x:f>
        <x:v>0.6301</x:v>
      </x:c>
      <x:c r="F7" s="11" t="n">
        <x:f>IF('全量明细'!H31="","",'全量明细'!H31)</x:f>
        <x:v>0.1968</x:v>
      </x:c>
      <x:c r="G7" s="11" t="n">
        <x:f>IF('全量明细'!I31="","",'全量明细'!I31)</x:f>
        <x:v>0.29309999999999997</x:v>
      </x:c>
      <x:c r="H7" s="14" t="n">
        <x:f>IF('全量明细'!J31="","",'全量明细'!J31)</x:f>
        <x:v>-9.629999999999997</x:v>
      </x:c>
      <x:c r="I7" s="28" t="n">
        <x:f>IF('全量明细'!E528="","",'全量明细'!E528)</x:f>
        <x:v>0.31202501</x:v>
      </x:c>
      <x:c r="J7" s="12" t="n">
        <x:f>IF('全量明细'!F528="","",'全量明细'!F528)</x:f>
        <x:v>7134</x:v>
      </x:c>
      <x:c r="K7" s="11" t="n">
        <x:f>IF('全量明细'!G528="","",'全量明细'!G528)</x:f>
        <x:v>0.6217</x:v>
      </x:c>
      <x:c r="L7" s="11" t="n">
        <x:f>IF('全量明细'!H528="","",'全量明细'!H528)</x:f>
        <x:v>0.2762</x:v>
      </x:c>
      <x:c r="M7" s="11" t="n">
        <x:f>IF('全量明细'!I528="","",'全量明细'!I528)</x:f>
        <x:v>0.3709</x:v>
      </x:c>
      <x:c r="N7" s="14" t="n">
        <x:f>IF('全量明细'!J528="","",'全量明细'!J528)</x:f>
        <x:v>-9.47</x:v>
      </x:c>
      <x:c r="O7" s="14" t="n">
        <x:f>IF(AND(ISNUMBER(C7),ISNUMBER(I7)),(I7-C7)*100,"")</x:f>
        <x:v>7.9603639999999976</x:v>
      </x:c>
      <x:c r="P7" s="17" t="str"/>
    </x:row>
    <x:row r="8" ht="25" customHeight="1">
      <x:c r="A8" s="2" t="str">
        <x:v>涅奥</x:v>
      </x:c>
      <x:c r="B8" s="2" t="str">
        <x:v>橙型香盒</x:v>
      </x:c>
      <x:c r="C8" s="28" t="n">
        <x:f>IF('全量明细'!E25="","",'全量明细'!E25)</x:f>
        <x:v>0.24868421</x:v>
      </x:c>
      <x:c r="D8" s="12" t="n">
        <x:f>IF('全量明细'!F25="","",'全量明细'!F25)</x:f>
        <x:v>9790</x:v>
      </x:c>
      <x:c r="E8" s="11" t="n">
        <x:f>IF('全量明细'!G25="","",'全量明细'!G25)</x:f>
        <x:v>0.0669</x:v>
      </x:c>
      <x:c r="F8" s="11" t="n">
        <x:f>IF('全量明细'!H25="","",'全量明细'!H25)</x:f>
        <x:v>0.2122</x:v>
      </x:c>
      <x:c r="G8" s="11" t="n">
        <x:f>IF('全量明细'!I25="","",'全量明细'!I25)</x:f>
        <x:v>0.25129999999999997</x:v>
      </x:c>
      <x:c r="H8" s="14" t="n">
        <x:f>IF('全量明细'!J25="","",'全量明细'!J25)</x:f>
        <x:v>-3.9099999999999966</x:v>
      </x:c>
      <x:c r="I8" s="28" t="n">
        <x:f>IF('全量明细'!E509="","",'全量明细'!E509)</x:f>
        <x:v>0.33520813000000005</x:v>
      </x:c>
      <x:c r="J8" s="12" t="n">
        <x:f>IF('全量明细'!F509="","",'全量明细'!F509)</x:f>
        <x:v>4516</x:v>
      </x:c>
      <x:c r="K8" s="11" t="n">
        <x:f>IF('全量明细'!G509="","",'全量明细'!G509)</x:f>
        <x:v>0.0817</x:v>
      </x:c>
      <x:c r="L8" s="11" t="n">
        <x:f>IF('全量明细'!H509="","",'全量明细'!H509)</x:f>
        <x:v>0.2791</x:v>
      </x:c>
      <x:c r="M8" s="11" t="n">
        <x:f>IF('全量明细'!I509="","",'全量明细'!I509)</x:f>
        <x:v>0.34020000000000006</x:v>
      </x:c>
      <x:c r="N8" s="14" t="n">
        <x:f>IF('全量明细'!J509="","",'全量明细'!J509)</x:f>
        <x:v>-6.110000000000005</x:v>
      </x:c>
      <x:c r="O8" s="14" t="n">
        <x:f>IF(AND(ISNUMBER(C8),ISNUMBER(I8)),(I8-C8)*100,"")</x:f>
        <x:v>8.652392000000006</x:v>
      </x:c>
      <x:c r="P8" s="17" t="str"/>
    </x:row>
    <x:row r="9" ht="25" customHeight="1">
      <x:c r="A9" s="2" t="str">
        <x:v>涅奥</x:v>
      </x:c>
      <x:c r="B9" s="2" t="str">
        <x:v>钓鱼竿</x:v>
      </x:c>
      <x:c r="C9" s="28" t="n">
        <x:f>IF('全量明细'!E16="","",'全量明细'!E16)</x:f>
        <x:v>0.2539127</x:v>
      </x:c>
      <x:c r="D9" s="12" t="n">
        <x:f>IF('全量明细'!F16="","",'全量明细'!F16)</x:f>
        <x:v>19685</x:v>
      </x:c>
      <x:c r="E9" s="11" t="n">
        <x:f>IF('全量明细'!G16="","",'全量明细'!G16)</x:f>
        <x:v>0.13699999999999998</x:v>
      </x:c>
      <x:c r="F9" s="11" t="n">
        <x:f>IF('全量明细'!H16="","",'全量明细'!H16)</x:f>
        <x:v>0.191</x:v>
      </x:c>
      <x:c r="G9" s="11" t="n">
        <x:f>IF('全量明细'!I16="","",'全量明细'!I16)</x:f>
        <x:v>0.2639</x:v>
      </x:c>
      <x:c r="H9" s="14" t="n">
        <x:f>IF('全量明细'!J16="","",'全量明细'!J16)</x:f>
        <x:v>-7.290000000000002</x:v>
      </x:c>
      <x:c r="I9" s="28" t="n">
        <x:f>IF('全量明细'!E516="","",'全量明细'!E516)</x:f>
        <x:v>0.33073377000000004</x:v>
      </x:c>
      <x:c r="J9" s="12" t="n">
        <x:f>IF('全量明细'!F516="","",'全量明细'!F516)</x:f>
        <x:v>8984</x:v>
      </x:c>
      <x:c r="K9" s="11" t="n">
        <x:f>IF('全量明细'!G516="","",'全量明细'!G516)</x:f>
        <x:v>0.1131</x:v>
      </x:c>
      <x:c r="L9" s="11" t="n">
        <x:f>IF('全量明细'!H516="","",'全量明细'!H516)</x:f>
        <x:v>0.3012</x:v>
      </x:c>
      <x:c r="M9" s="11" t="n">
        <x:f>IF('全量明细'!I516="","",'全量明细'!I516)</x:f>
        <x:v>0.3345</x:v>
      </x:c>
      <x:c r="N9" s="14" t="n">
        <x:f>IF('全量明细'!J516="","",'全量明细'!J516)</x:f>
        <x:v>-3.3299999999999996</x:v>
      </x:c>
      <x:c r="O9" s="14" t="n">
        <x:f>IF(AND(ISNUMBER(C9),ISNUMBER(I9)),(I9-C9)*100,"")</x:f>
        <x:v>7.682107000000005</x:v>
      </x:c>
      <x:c r="P9" s="17" t="str"/>
    </x:row>
    <x:row r="10" ht="25" customHeight="1">
      <x:c r="A10" s="2" t="str">
        <x:v>涅奥</x:v>
      </x:c>
      <x:c r="B10" s="2" t="str">
        <x:v>轰鸣海螺</x:v>
      </x:c>
      <x:c r="C10" s="28" t="n">
        <x:f>IF('全量明细'!E20="","",'全量明细'!E20)</x:f>
        <x:v>0.25276382</x:v>
      </x:c>
      <x:c r="D10" s="12" t="n">
        <x:f>IF('全量明细'!F20="","",'全量明细'!F20)</x:f>
        <x:v>19675</x:v>
      </x:c>
      <x:c r="E10" s="11" t="n">
        <x:f>IF('全量明细'!G20="","",'全量明细'!G20)</x:f>
        <x:v>0.1378</x:v>
      </x:c>
      <x:c r="F10" s="11" t="n">
        <x:f>IF('全量明细'!H20="","",'全量明细'!H20)</x:f>
        <x:v>0.332</x:v>
      </x:c>
      <x:c r="G10" s="11" t="n">
        <x:f>IF('全量明细'!I20="","",'全量明细'!I20)</x:f>
        <x:v>0.2401</x:v>
      </x:c>
      <x:c r="H10" s="14" t="n">
        <x:f>IF('全量明细'!J20="","",'全量明细'!J20)</x:f>
        <x:v>9.190000000000001</x:v>
      </x:c>
      <x:c r="I10" s="28" t="n">
        <x:f>IF('全量明细'!E503="","",'全量明细'!E503)</x:f>
        <x:v>0.34105749999999996</x:v>
      </x:c>
      <x:c r="J10" s="12" t="n">
        <x:f>IF('全量明细'!F503="","",'全量明细'!F503)</x:f>
        <x:v>8940</x:v>
      </x:c>
      <x:c r="K10" s="11" t="n">
        <x:f>IF('全量明细'!G503="","",'全量明细'!G503)</x:f>
        <x:v>0.183</x:v>
      </x:c>
      <x:c r="L10" s="11" t="n">
        <x:f>IF('全量明细'!H503="","",'全量明细'!H503)</x:f>
        <x:v>0.42479999999999996</x:v>
      </x:c>
      <x:c r="M10" s="11" t="n">
        <x:f>IF('全量明细'!I503="","",'全量明细'!I503)</x:f>
        <x:v>0.3223</x:v>
      </x:c>
      <x:c r="N10" s="14" t="n">
        <x:f>IF('全量明细'!J503="","",'全量明细'!J503)</x:f>
        <x:v>10.249999999999998</x:v>
      </x:c>
      <x:c r="O10" s="14" t="n">
        <x:f>IF(AND(ISNUMBER(C10),ISNUMBER(I10)),(I10-C10)*100,"")</x:f>
        <x:v>8.829367999999999</x:v>
      </x:c>
      <x:c r="P10" s="17" t="str"/>
    </x:row>
    <x:row r="11" ht="25" customHeight="1">
      <x:c r="A11" s="2" t="str">
        <x:v>涅奥</x:v>
      </x:c>
      <x:c r="B11" s="2" t="str">
        <x:v>华美发束</x:v>
      </x:c>
      <x:c r="C11" s="28" t="n">
        <x:f>IF('全量明细'!E5="","",'全量明细'!E5)</x:f>
        <x:v>0.27591119999999997</x:v>
      </x:c>
      <x:c r="D11" s="12" t="n">
        <x:f>IF('全量明细'!F5="","",'全量明细'!F5)</x:f>
        <x:v>21026</x:v>
      </x:c>
      <x:c r="E11" s="11" t="n">
        <x:f>IF('全量明细'!G5="","",'全量明细'!G5)</x:f>
        <x:v>0.7924</x:v>
      </x:c>
      <x:c r="F11" s="11" t="n">
        <x:f>IF('全量明细'!H5="","",'全量明细'!H5)</x:f>
        <x:v>0.2838</x:v>
      </x:c>
      <x:c r="G11" s="11" t="n">
        <x:f>IF('全量明细'!I5="","",'全量明细'!I5)</x:f>
        <x:v>0.2458</x:v>
      </x:c>
      <x:c r="H11" s="14" t="n">
        <x:f>IF('全量明细'!J5="","",'全量明细'!J5)</x:f>
        <x:v>3.8000000000000007</x:v>
      </x:c>
      <x:c r="I11" s="28" t="n">
        <x:f>IF('全量明细'!E507="","",'全量明细'!E507)</x:f>
        <x:v>0.33679538</x:v>
      </x:c>
      <x:c r="J11" s="12" t="n">
        <x:f>IF('全量明细'!F507="","",'全量明细'!F507)</x:f>
        <x:v>7663</x:v>
      </x:c>
      <x:c r="K11" s="11" t="n">
        <x:f>IF('全量明细'!G507="","",'全量明细'!G507)</x:f>
        <x:v>0.8067</x:v>
      </x:c>
      <x:c r="L11" s="11" t="n">
        <x:f>IF('全量明细'!H507="","",'全量明细'!H507)</x:f>
        <x:v>0.3332</x:v>
      </x:c>
      <x:c r="M11" s="11" t="n">
        <x:f>IF('全量明细'!I507="","",'全量明细'!I507)</x:f>
        <x:v>0.3518</x:v>
      </x:c>
      <x:c r="N11" s="14" t="n">
        <x:f>IF('全量明细'!J507="","",'全量明细'!J507)</x:f>
        <x:v>-1.8600000000000005</x:v>
      </x:c>
      <x:c r="O11" s="14" t="n">
        <x:f>IF(AND(ISNUMBER(C11),ISNUMBER(I11)),(I11-C11)*100,"")</x:f>
        <x:v>6.088418000000001</x:v>
      </x:c>
      <x:c r="P11" s="17" t="str"/>
    </x:row>
    <x:row r="12" ht="25" customHeight="1">
      <x:c r="A12" s="2" t="str">
        <x:v>涅奥</x:v>
      </x:c>
      <x:c r="B12" s="2" t="str">
        <x:v>金色珍珠</x:v>
      </x:c>
      <x:c r="C12" s="28" t="n">
        <x:f>IF('全量明细'!E15="","",'全量明细'!E15)</x:f>
        <x:v>0.25488288000000003</x:v>
      </x:c>
      <x:c r="D12" s="12" t="n">
        <x:f>IF('全量明细'!F15="","",'全量明细'!F15)</x:f>
        <x:v>18396</x:v>
      </x:c>
      <x:c r="E12" s="11" t="n">
        <x:f>IF('全量明细'!G15="","",'全量明细'!G15)</x:f>
        <x:v>0.3328</x:v>
      </x:c>
      <x:c r="F12" s="11" t="n">
        <x:f>IF('全量明细'!H15="","",'全量明细'!H15)</x:f>
        <x:v>0.2763</x:v>
      </x:c>
      <x:c r="G12" s="11" t="n">
        <x:f>IF('全量明细'!I15="","",'全量明细'!I15)</x:f>
        <x:v>0.24420000000000003</x:v>
      </x:c>
      <x:c r="H12" s="14" t="n">
        <x:f>IF('全量明细'!J15="","",'全量明细'!J15)</x:f>
        <x:v>3.2099999999999964</x:v>
      </x:c>
      <x:c r="I12" s="28" t="n">
        <x:f>IF('全量明细'!E520="","",'全量明细'!E520)</x:f>
        <x:v>0.32751793</x:v>
      </x:c>
      <x:c r="J12" s="12" t="n">
        <x:f>IF('全量明细'!F520="","",'全量明细'!F520)</x:f>
        <x:v>8397</x:v>
      </x:c>
      <x:c r="K12" s="11" t="n">
        <x:f>IF('全量明细'!G520="","",'全量明细'!G520)</x:f>
        <x:v>0.3839</x:v>
      </x:c>
      <x:c r="L12" s="11" t="n">
        <x:f>IF('全量明细'!H520="","",'全量明细'!H520)</x:f>
        <x:v>0.3452</x:v>
      </x:c>
      <x:c r="M12" s="11" t="n">
        <x:f>IF('全量明细'!I520="","",'全量明细'!I520)</x:f>
        <x:v>0.3165</x:v>
      </x:c>
      <x:c r="N12" s="14" t="n">
        <x:f>IF('全量明细'!J520="","",'全量明细'!J520)</x:f>
        <x:v>2.87</x:v>
      </x:c>
      <x:c r="O12" s="14" t="n">
        <x:f>IF(AND(ISNUMBER(C12),ISNUMBER(I12)),(I12-C12)*100,"")</x:f>
        <x:v>7.263504999999998</x:v>
      </x:c>
      <x:c r="P12" s="17" t="str"/>
    </x:row>
    <x:row r="13" ht="25" customHeight="1">
      <x:c r="A13" s="2" t="str">
        <x:v>涅奥</x:v>
      </x:c>
      <x:c r="B13" s="2" t="str">
        <x:v>精准剪刀</x:v>
      </x:c>
      <x:c r="C13" s="28" t="n">
        <x:f>IF('全量明细'!E18="","",'全量明细'!E18)</x:f>
        <x:v>0.25313853999999997</x:v>
      </x:c>
      <x:c r="D13" s="12" t="n">
        <x:f>IF('全量明细'!F18="","",'全量明细'!F18)</x:f>
        <x:v>17416</x:v>
      </x:c>
      <x:c r="E13" s="11" t="n">
        <x:f>IF('全量明细'!G18="","",'全量明细'!G18)</x:f>
        <x:v>0.0754</x:v>
      </x:c>
      <x:c r="F13" s="11" t="n">
        <x:f>IF('全量明细'!H18="","",'全量明细'!H18)</x:f>
        <x:v>0.2671</x:v>
      </x:c>
      <x:c r="G13" s="11" t="n">
        <x:f>IF('全量明细'!I18="","",'全量明细'!I18)</x:f>
        <x:v>0.252</x:v>
      </x:c>
      <x:c r="H13" s="14" t="n">
        <x:f>IF('全量明细'!J18="","",'全量明细'!J18)</x:f>
        <x:v>1.5100000000000002</x:v>
      </x:c>
      <x:c r="I13" s="28" t="n">
        <x:f>IF('全量明细'!E521="","",'全量明细'!E521)</x:f>
        <x:v>0.32471754</x:v>
      </x:c>
      <x:c r="J13" s="12" t="n">
        <x:f>IF('全量明细'!F521="","",'全量明细'!F521)</x:f>
        <x:v>8071</x:v>
      </x:c>
      <x:c r="K13" s="11" t="n">
        <x:f>IF('全量明细'!G521="","",'全量明细'!G521)</x:f>
        <x:v>0.09789999999999999</x:v>
      </x:c>
      <x:c r="L13" s="11" t="n">
        <x:f>IF('全量明细'!H521="","",'全量明细'!H521)</x:f>
        <x:v>0.3</x:v>
      </x:c>
      <x:c r="M13" s="11" t="n">
        <x:f>IF('全量明细'!I521="","",'全量明细'!I521)</x:f>
        <x:v>0.3274</x:v>
      </x:c>
      <x:c r="N13" s="14" t="n">
        <x:f>IF('全量明细'!J521="","",'全量明细'!J521)</x:f>
        <x:v>-2.7400000000000038</x:v>
      </x:c>
      <x:c r="O13" s="14" t="n">
        <x:f>IF(AND(ISNUMBER(C13),ISNUMBER(I13)),(I13-C13)*100,"")</x:f>
        <x:v>7.157900000000006</x:v>
      </x:c>
      <x:c r="P13" s="17" t="str"/>
    </x:row>
    <x:row r="14" ht="64" customHeight="1">
      <x:c r="A14" s="21" t="str">
        <x:v>涅奥</x:v>
      </x:c>
      <x:c r="B14" s="21" t="str">
        <x:v>巨大卷轴</x:v>
      </x:c>
      <x:c r="C14" s="28" t="n">
        <x:f>IF('全量明细'!E32="","",'全量明细'!E32)</x:f>
        <x:v>0.1</x:v>
      </x:c>
      <x:c r="D14" s="12" t="n">
        <x:f>IF('全量明细'!F32="","",'全量明细'!F32)</x:f>
        <x:v>40</x:v>
      </x:c>
      <x:c r="E14" s="11" t="str">
        <x:f>IF('全量明细'!G32="","",'全量明细'!G32)</x:f>
      </x:c>
      <x:c r="F14" s="11" t="str">
        <x:f>IF('全量明细'!H32="","",'全量明细'!H32)</x:f>
      </x:c>
      <x:c r="G14" s="11" t="n">
        <x:f>IF('全量明细'!I32="","",'全量明细'!I32)</x:f>
        <x:v>0.1</x:v>
      </x:c>
      <x:c r="H14" s="14" t="str">
        <x:f>IF('全量明细'!J32="","",'全量明细'!J32)</x:f>
      </x:c>
      <x:c r="I14" s="28"/>
      <x:c r="J14" s="12"/>
      <x:c r="K14" s="11"/>
      <x:c r="L14" s="11"/>
      <x:c r="M14" s="11"/>
      <x:c r="N14" s="14"/>
      <x:c r="O14" s="14" t="str">
        <x:f>IF(AND(ISNUMBER(C14),ISNUMBER(I14)),(I14-C14)*100,"")</x:f>
      </x:c>
      <x:c r="P14" s="17" t="str">
        <x:v>出现次数&lt;100；一组占比显示为零，其胜率及选跳差留空</x:v>
      </x:c>
    </x:row>
    <x:row r="15" ht="25" customHeight="1">
      <x:c r="A15" s="2" t="str">
        <x:v>涅奥</x:v>
      </x:c>
      <x:c r="B15" s="2" t="str">
        <x:v>巨大扭蛋</x:v>
      </x:c>
      <x:c r="C15" s="28" t="n">
        <x:f>IF('全量明细'!E14="","",'全量明细'!E14)</x:f>
        <x:v>0.25610835</x:v>
      </x:c>
      <x:c r="D15" s="12" t="n">
        <x:f>IF('全量明细'!F14="","",'全量明细'!F14)</x:f>
        <x:v>17949</x:v>
      </x:c>
      <x:c r="E15" s="11" t="n">
        <x:f>IF('全量明细'!G14="","",'全量明细'!G14)</x:f>
        <x:v>0.4335</x:v>
      </x:c>
      <x:c r="F15" s="11" t="n">
        <x:f>IF('全量明细'!H14="","",'全量明细'!H14)</x:f>
        <x:v>0.2505</x:v>
      </x:c>
      <x:c r="G15" s="11" t="n">
        <x:f>IF('全量明细'!I14="","",'全量明细'!I14)</x:f>
        <x:v>0.26039999999999996</x:v>
      </x:c>
      <x:c r="H15" s="14" t="n">
        <x:f>IF('全量明细'!J14="","",'全量明细'!J14)</x:f>
        <x:v>-0.9899999999999964</x:v>
      </x:c>
      <x:c r="I15" s="28" t="n">
        <x:f>IF('全量明细'!E500="","",'全量明细'!E500)</x:f>
        <x:v>0.35806791</x:v>
      </x:c>
      <x:c r="J15" s="12" t="n">
        <x:f>IF('全量明细'!F500="","",'全量明细'!F500)</x:f>
        <x:v>6384</x:v>
      </x:c>
      <x:c r="K15" s="11" t="n">
        <x:f>IF('全量明细'!G500="","",'全量明细'!G500)</x:f>
        <x:v>0.4403</x:v>
      </x:c>
      <x:c r="L15" s="11" t="n">
        <x:f>IF('全量明细'!H500="","",'全量明细'!H500)</x:f>
        <x:v>0.3579</x:v>
      </x:c>
      <x:c r="M15" s="11" t="n">
        <x:f>IF('全量明细'!I500="","",'全量明细'!I500)</x:f>
        <x:v>0.3582</x:v>
      </x:c>
      <x:c r="N15" s="14" t="n">
        <x:f>IF('全量明细'!J500="","",'全量明细'!J500)</x:f>
        <x:v>-0.030000000000002247</x:v>
      </x:c>
      <x:c r="O15" s="14" t="n">
        <x:f>IF(AND(ISNUMBER(C15),ISNUMBER(I15)),(I15-C15)*100,"")</x:f>
        <x:v>10.195956</x:v>
      </x:c>
      <x:c r="P15" s="17" t="str"/>
    </x:row>
    <x:row r="16" ht="25" customHeight="1">
      <x:c r="A16" s="2" t="str">
        <x:v>涅奥</x:v>
      </x:c>
      <x:c r="B16" s="2" t="str">
        <x:v>卷轴箱</x:v>
      </x:c>
      <x:c r="C16" s="28" t="n">
        <x:f>IF('全量明细'!E29="","",'全量明细'!E29)</x:f>
        <x:v>0.24615095999999997</x:v>
      </x:c>
      <x:c r="D16" s="12" t="n">
        <x:f>IF('全量明细'!F29="","",'全量明细'!F29)</x:f>
        <x:v>19924</x:v>
      </x:c>
      <x:c r="E16" s="11" t="n">
        <x:f>IF('全量明细'!G29="","",'全量明细'!G29)</x:f>
        <x:v>0.2952</x:v>
      </x:c>
      <x:c r="F16" s="11" t="n">
        <x:f>IF('全量明细'!H29="","",'全量明细'!H29)</x:f>
        <x:v>0.2372</x:v>
      </x:c>
      <x:c r="G16" s="11" t="n">
        <x:f>IF('全量明细'!I29="","",'全量明细'!I29)</x:f>
        <x:v>0.24989999999999998</x:v>
      </x:c>
      <x:c r="H16" s="14" t="n">
        <x:f>IF('全量明细'!J29="","",'全量明细'!J29)</x:f>
        <x:v>-1.269999999999999</x:v>
      </x:c>
      <x:c r="I16" s="28" t="n">
        <x:f>IF('全量明细'!E522="","",'全量明细'!E522)</x:f>
        <x:v>0.32432216</x:v>
      </x:c>
      <x:c r="J16" s="12" t="n">
        <x:f>IF('全量明细'!F522="","",'全量明细'!F522)</x:f>
        <x:v>8929</x:v>
      </x:c>
      <x:c r="K16" s="11" t="n">
        <x:f>IF('全量明细'!G522="","",'全量明细'!G522)</x:f>
        <x:v>0.3103</x:v>
      </x:c>
      <x:c r="L16" s="11" t="n">
        <x:f>IF('全量明细'!H522="","",'全量明细'!H522)</x:f>
        <x:v>0.3017</x:v>
      </x:c>
      <x:c r="M16" s="11" t="n">
        <x:f>IF('全量明细'!I522="","",'全量明细'!I522)</x:f>
        <x:v>0.3345</x:v>
      </x:c>
      <x:c r="N16" s="14" t="n">
        <x:f>IF('全量明细'!J522="","",'全量明细'!J522)</x:f>
        <x:v>-3.2799999999999994</x:v>
      </x:c>
      <x:c r="O16" s="14" t="n">
        <x:f>IF(AND(ISNUMBER(C16),ISNUMBER(I16)),(I16-C16)*100,"")</x:f>
        <x:v>7.817120000000005</x:v>
      </x:c>
      <x:c r="P16" s="17" t="str"/>
    </x:row>
    <x:row r="17" ht="25" customHeight="1">
      <x:c r="A17" s="2" t="str">
        <x:v>涅奥</x:v>
      </x:c>
      <x:c r="B17" s="2" t="str">
        <x:v>涅奥的护符</x:v>
      </x:c>
      <x:c r="C17" s="28" t="n">
        <x:f>IF('全量明细'!E24="","",'全量明细'!E24)</x:f>
        <x:v>0.25077776</x:v>
      </x:c>
      <x:c r="D17" s="12" t="n">
        <x:f>IF('全量明细'!F24="","",'全量明细'!F24)</x:f>
        <x:v>9969</x:v>
      </x:c>
      <x:c r="E17" s="11" t="n">
        <x:f>IF('全量明细'!G24="","",'全量明细'!G24)</x:f>
        <x:v>0.0766</x:v>
      </x:c>
      <x:c r="F17" s="11" t="n">
        <x:f>IF('全量明细'!H24="","",'全量明细'!H24)</x:f>
        <x:v>0.22640000000000002</x:v>
      </x:c>
      <x:c r="G17" s="11" t="n">
        <x:f>IF('全量明细'!I24="","",'全量明细'!I24)</x:f>
        <x:v>0.2528</x:v>
      </x:c>
      <x:c r="H17" s="14" t="n">
        <x:f>IF('全量明细'!J24="","",'全量明细'!J24)</x:f>
        <x:v>-2.6400000000000006</x:v>
      </x:c>
      <x:c r="I17" s="28" t="n">
        <x:f>IF('全量明细'!E511="","",'全量明细'!E511)</x:f>
        <x:v>0.33438324999999997</x:v>
      </x:c>
      <x:c r="J17" s="12" t="n">
        <x:f>IF('全量明细'!F511="","",'全量明细'!F511)</x:f>
        <x:v>4429</x:v>
      </x:c>
      <x:c r="K17" s="11" t="n">
        <x:f>IF('全量明细'!G511="","",'全量明细'!G511)</x:f>
        <x:v>0.0975</x:v>
      </x:c>
      <x:c r="L17" s="11" t="n">
        <x:f>IF('全量明细'!H511="","",'全量明细'!H511)</x:f>
        <x:v>0.3657</x:v>
      </x:c>
      <x:c r="M17" s="11" t="n">
        <x:f>IF('全量明细'!I511="","",'全量明细'!I511)</x:f>
        <x:v>0.331</x:v>
      </x:c>
      <x:c r="N17" s="14" t="n">
        <x:f>IF('全量明细'!J511="","",'全量明细'!J511)</x:f>
        <x:v>3.4700000000000006</x:v>
      </x:c>
      <x:c r="O17" s="14" t="n">
        <x:f>IF(AND(ISNUMBER(C17),ISNUMBER(I17)),(I17-C17)*100,"")</x:f>
        <x:v>8.360548999999995</x:v>
      </x:c>
      <x:c r="P17" s="17" t="str"/>
    </x:row>
    <x:row r="18" ht="25" customHeight="1">
      <x:c r="A18" s="2" t="str">
        <x:v>涅奥</x:v>
      </x:c>
      <x:c r="B18" s="2" t="str">
        <x:v>涅奥的苦痛</x:v>
      </x:c>
      <x:c r="C18" s="28" t="n">
        <x:f>IF('全量明细'!E8="","",'全量明细'!E8)</x:f>
        <x:v>0.26051825999999995</x:v>
      </x:c>
      <x:c r="D18" s="12" t="n">
        <x:f>IF('全量明细'!F8="","",'全量明细'!F8)</x:f>
        <x:v>19383</x:v>
      </x:c>
      <x:c r="E18" s="11" t="n">
        <x:f>IF('全量明细'!G8="","",'全量明细'!G8)</x:f>
        <x:v>0.0681</x:v>
      </x:c>
      <x:c r="F18" s="11" t="n">
        <x:f>IF('全量明细'!H8="","",'全量明细'!H8)</x:f>
        <x:v>0.3114</x:v>
      </x:c>
      <x:c r="G18" s="11" t="n">
        <x:f>IF('全量明细'!I8="","",'全量明细'!I8)</x:f>
        <x:v>0.2568</x:v>
      </x:c>
      <x:c r="H18" s="14" t="n">
        <x:f>IF('全量明细'!J8="","",'全量明细'!J8)</x:f>
        <x:v>5.4600000000000035</x:v>
      </x:c>
      <x:c r="I18" s="28" t="n">
        <x:f>IF('全量明细'!E506="","",'全量明细'!E506)</x:f>
        <x:v>0.33714016</x:v>
      </x:c>
      <x:c r="J18" s="12" t="n">
        <x:f>IF('全量明细'!F506="","",'全量明细'!F506)</x:f>
        <x:v>8739</x:v>
      </x:c>
      <x:c r="K18" s="11" t="n">
        <x:f>IF('全量明细'!G506="","",'全量明细'!G506)</x:f>
        <x:v>0.0992</x:v>
      </x:c>
      <x:c r="L18" s="11" t="n">
        <x:f>IF('全量明细'!H506="","",'全量明细'!H506)</x:f>
        <x:v>0.43829999999999997</x:v>
      </x:c>
      <x:c r="M18" s="11" t="n">
        <x:f>IF('全量明细'!I506="","",'全量明细'!I506)</x:f>
        <x:v>0.326</x:v>
      </x:c>
      <x:c r="N18" s="14" t="n">
        <x:f>IF('全量明细'!J506="","",'全量明细'!J506)</x:f>
        <x:v>11.229999999999995</x:v>
      </x:c>
      <x:c r="O18" s="14" t="n">
        <x:f>IF(AND(ISNUMBER(C18),ISNUMBER(I18)),(I18-C18)*100,"")</x:f>
        <x:v>7.662190000000008</x:v>
      </x:c>
      <x:c r="P18" s="17" t="str"/>
    </x:row>
    <x:row r="19" ht="25" customHeight="1">
      <x:c r="A19" s="2" t="str">
        <x:v>涅奥</x:v>
      </x:c>
      <x:c r="B19" s="2" t="str">
        <x:v>涅奥的牺牲</x:v>
      </x:c>
      <x:c r="C19" s="28"/>
      <x:c r="D19" s="12"/>
      <x:c r="E19" s="11"/>
      <x:c r="F19" s="11"/>
      <x:c r="G19" s="11"/>
      <x:c r="H19" s="14"/>
      <x:c r="I19" s="28" t="n">
        <x:f>IF('全量明细'!E504="","",'全量明细'!E504)</x:f>
        <x:v>0.33823621</x:v>
      </x:c>
      <x:c r="J19" s="12" t="n">
        <x:f>IF('全量明细'!F504="","",'全量明细'!F504)</x:f>
        <x:v>6004</x:v>
      </x:c>
      <x:c r="K19" s="11" t="n">
        <x:f>IF('全量明细'!G504="","",'全量明细'!G504)</x:f>
        <x:v>0.1481</x:v>
      </x:c>
      <x:c r="L19" s="11" t="n">
        <x:f>IF('全量明细'!H504="","",'全量明细'!H504)</x:f>
        <x:v>0.41840000000000005</x:v>
      </x:c>
      <x:c r="M19" s="11" t="n">
        <x:f>IF('全量明细'!I504="","",'全量明细'!I504)</x:f>
        <x:v>0.3243</x:v>
      </x:c>
      <x:c r="N19" s="14" t="n">
        <x:f>IF('全量明细'!J504="","",'全量明细'!J504)</x:f>
        <x:v>9.410000000000007</x:v>
      </x:c>
      <x:c r="O19" s="14" t="str">
        <x:f>IF(AND(ISNUMBER(C19),ISNUMBER(I19)),(I19-C19)*100,"")</x:f>
      </x:c>
      <x:c r="P19" s="17" t="str"/>
    </x:row>
    <x:row r="20" ht="25" customHeight="1">
      <x:c r="A20" s="2" t="str">
        <x:v>涅奥</x:v>
      </x:c>
      <x:c r="B20" s="2" t="str">
        <x:v>涅奥骨骰</x:v>
      </x:c>
      <x:c r="C20" s="28" t="n">
        <x:f>IF('全量明细'!E26="","",'全量明细'!E26)</x:f>
        <x:v>0.24850352999999997</x:v>
      </x:c>
      <x:c r="D20" s="12" t="n">
        <x:f>IF('全量明细'!F26="","",'全量明细'!F26)</x:f>
        <x:v>17941</x:v>
      </x:c>
      <x:c r="E20" s="11" t="n">
        <x:f>IF('全量明细'!G26="","",'全量明细'!G26)</x:f>
        <x:v>0.5331</x:v>
      </x:c>
      <x:c r="F20" s="11" t="n">
        <x:f>IF('全量明细'!H26="","",'全量明细'!H26)</x:f>
        <x:v>0.2281</x:v>
      </x:c>
      <x:c r="G20" s="11" t="n">
        <x:f>IF('全量明细'!I26="","",'全量明细'!I26)</x:f>
        <x:v>0.2718</x:v>
      </x:c>
      <x:c r="H20" s="14" t="n">
        <x:f>IF('全量明细'!J26="","",'全量明细'!J26)</x:f>
        <x:v>-4.369999999999999</x:v>
      </x:c>
      <x:c r="I20" s="28" t="n">
        <x:f>IF('全量明细'!E519="","",'全量明细'!E519)</x:f>
        <x:v>0.32790602</x:v>
      </x:c>
      <x:c r="J20" s="12" t="n">
        <x:f>IF('全量明细'!F519="","",'全量明细'!F519)</x:f>
        <x:v>6730</x:v>
      </x:c>
      <x:c r="K20" s="11" t="n">
        <x:f>IF('全量明细'!G519="","",'全量明细'!G519)</x:f>
        <x:v>0.5438000000000001</x:v>
      </x:c>
      <x:c r="L20" s="11" t="n">
        <x:f>IF('全量明细'!H519="","",'全量明细'!H519)</x:f>
        <x:v>0.30870000000000003</x:v>
      </x:c>
      <x:c r="M20" s="11" t="n">
        <x:f>IF('全量明细'!I519="","",'全量明细'!I519)</x:f>
        <x:v>0.3508</x:v>
      </x:c>
      <x:c r="N20" s="14" t="n">
        <x:f>IF('全量明细'!J519="","",'全量明细'!J519)</x:f>
        <x:v>-4.209999999999997</x:v>
      </x:c>
      <x:c r="O20" s="14" t="n">
        <x:f>IF(AND(ISNUMBER(C20),ISNUMBER(I20)),(I20-C20)*100,"")</x:f>
        <x:v>7.940249000000005</x:v>
      </x:c>
      <x:c r="P20" s="17" t="str"/>
    </x:row>
    <x:row r="21" ht="25" customHeight="1">
      <x:c r="A21" s="2" t="str">
        <x:v>涅奥</x:v>
      </x:c>
      <x:c r="B21" s="2" t="str">
        <x:v>铅制镇纸</x:v>
      </x:c>
      <x:c r="C21" s="28" t="n">
        <x:f>IF('全量明细'!E7="","",'全量明细'!E7)</x:f>
        <x:v>0.26477819999999996</x:v>
      </x:c>
      <x:c r="D21" s="12" t="n">
        <x:f>IF('全量明细'!F7="","",'全量明细'!F7)</x:f>
        <x:v>20236</x:v>
      </x:c>
      <x:c r="E21" s="11" t="n">
        <x:f>IF('全量明细'!G7="","",'全量明细'!G7)</x:f>
        <x:v>0.3115</x:v>
      </x:c>
      <x:c r="F21" s="11" t="n">
        <x:f>IF('全量明细'!H7="","",'全量明细'!H7)</x:f>
        <x:v>0.297</x:v>
      </x:c>
      <x:c r="G21" s="11" t="n">
        <x:f>IF('全量明细'!I7="","",'全量明细'!I7)</x:f>
        <x:v>0.2502</x:v>
      </x:c>
      <x:c r="H21" s="14" t="n">
        <x:f>IF('全量明细'!J7="","",'全量明细'!J7)</x:f>
        <x:v>4.680000000000001</x:v>
      </x:c>
      <x:c r="I21" s="28" t="n">
        <x:f>IF('全量明细'!E505="","",'全量明细'!E505)</x:f>
        <x:v>0.33723824</x:v>
      </x:c>
      <x:c r="J21" s="12" t="n">
        <x:f>IF('全量明细'!F505="","",'全量明细'!F505)</x:f>
        <x:v>9026</x:v>
      </x:c>
      <x:c r="K21" s="11" t="n">
        <x:f>IF('全量明细'!G505="","",'全量明细'!G505)</x:f>
        <x:v>0.33759999999999996</x:v>
      </x:c>
      <x:c r="L21" s="11" t="n">
        <x:f>IF('全量明细'!H505="","",'全量明细'!H505)</x:f>
        <x:v>0.35869999999999996</x:v>
      </x:c>
      <x:c r="M21" s="11" t="n">
        <x:f>IF('全量明细'!I505="","",'全量明细'!I505)</x:f>
        <x:v>0.32630000000000003</x:v>
      </x:c>
      <x:c r="N21" s="14" t="n">
        <x:f>IF('全量明细'!J505="","",'全量明细'!J505)</x:f>
        <x:v>3.239999999999993</x:v>
      </x:c>
      <x:c r="O21" s="14" t="n">
        <x:f>IF(AND(ISNUMBER(C21),ISNUMBER(I21)),(I21-C21)*100,"")</x:f>
        <x:v>7.246004000000006</x:v>
      </x:c>
      <x:c r="P21" s="17" t="str"/>
    </x:row>
    <x:row r="22" ht="25" customHeight="1">
      <x:c r="A22" s="2" t="str">
        <x:v>涅奥</x:v>
      </x:c>
      <x:c r="B22" s="2" t="str">
        <x:v>熔岩石</x:v>
      </x:c>
      <x:c r="C22" s="28" t="n">
        <x:f>IF('全量明细'!E22="","",'全量明细'!E22)</x:f>
        <x:v>0.25116206</x:v>
      </x:c>
      <x:c r="D22" s="12" t="n">
        <x:f>IF('全量明细'!F22="","",'全量明细'!F22)</x:f>
        <x:v>8965</x:v>
      </x:c>
      <x:c r="E22" s="11" t="n">
        <x:f>IF('全量明细'!G22="","",'全量明细'!G22)</x:f>
        <x:v>0.08109999999999999</x:v>
      </x:c>
      <x:c r="F22" s="11" t="n">
        <x:f>IF('全量明细'!H22="","",'全量明细'!H22)</x:f>
        <x:v>0.2462</x:v>
      </x:c>
      <x:c r="G22" s="11" t="n">
        <x:f>IF('全量明细'!I22="","",'全量明细'!I22)</x:f>
        <x:v>0.2516</x:v>
      </x:c>
      <x:c r="H22" s="14" t="n">
        <x:f>IF('全量明细'!J22="","",'全量明细'!J22)</x:f>
        <x:v>-0.5399999999999988</x:v>
      </x:c>
      <x:c r="I22" s="28" t="n">
        <x:f>IF('全量明细'!E508="","",'全量明细'!E508)</x:f>
        <x:v>0.3364767</x:v>
      </x:c>
      <x:c r="J22" s="12" t="n">
        <x:f>IF('全量明细'!F508="","",'全量明细'!F508)</x:f>
        <x:v>3971</x:v>
      </x:c>
      <x:c r="K22" s="11" t="n">
        <x:f>IF('全量明细'!G508="","",'全量明细'!G508)</x:f>
        <x:v>0.109</x:v>
      </x:c>
      <x:c r="L22" s="11" t="n">
        <x:f>IF('全量明细'!H508="","",'全量明细'!H508)</x:f>
        <x:v>0.35100000000000003</x:v>
      </x:c>
      <x:c r="M22" s="11" t="n">
        <x:f>IF('全量明细'!I508="","",'全量明细'!I508)</x:f>
        <x:v>0.3347</x:v>
      </x:c>
      <x:c r="N22" s="14" t="n">
        <x:f>IF('全量明细'!J508="","",'全量明细'!J508)</x:f>
        <x:v>1.6300000000000037</x:v>
      </x:c>
      <x:c r="O22" s="14" t="n">
        <x:f>IF(AND(ISNUMBER(C22),ISNUMBER(I22)),(I22-C22)*100,"")</x:f>
        <x:v>8.531464</x:v>
      </x:c>
      <x:c r="P22" s="17" t="str"/>
    </x:row>
    <x:row r="23" ht="25" customHeight="1">
      <x:c r="A23" s="2" t="str">
        <x:v>涅奥</x:v>
      </x:c>
      <x:c r="B23" s="2" t="str">
        <x:v>失物盒</x:v>
      </x:c>
      <x:c r="C23" s="28" t="n">
        <x:f>IF('全量明细'!E28="","",'全量明细'!E28)</x:f>
        <x:v>0.24615128</x:v>
      </x:c>
      <x:c r="D23" s="12" t="n">
        <x:f>IF('全量明细'!F28="","",'全量明细'!F28)</x:f>
        <x:v>19685</x:v>
      </x:c>
      <x:c r="E23" s="11" t="n">
        <x:f>IF('全量明细'!G28="","",'全量明细'!G28)</x:f>
        <x:v>0.17679999999999998</x:v>
      </x:c>
      <x:c r="F23" s="11" t="n">
        <x:f>IF('全量明细'!H28="","",'全量明细'!H28)</x:f>
        <x:v>0.2273</x:v>
      </x:c>
      <x:c r="G23" s="11" t="n">
        <x:f>IF('全量明细'!I28="","",'全量明细'!I28)</x:f>
        <x:v>0.2502</x:v>
      </x:c>
      <x:c r="H23" s="14" t="n">
        <x:f>IF('全量明细'!J28="","",'全量明细'!J28)</x:f>
        <x:v>-2.2899999999999974</x:v>
      </x:c>
      <x:c r="I23" s="28" t="n">
        <x:f>IF('全量明细'!E518="","",'全量明细'!E518)</x:f>
        <x:v>0.3284702</x:v>
      </x:c>
      <x:c r="J23" s="12" t="n">
        <x:f>IF('全量明细'!F518="","",'全量明细'!F518)</x:f>
        <x:v>8058</x:v>
      </x:c>
      <x:c r="K23" s="11" t="n">
        <x:f>IF('全量明细'!G518="","",'全量明细'!G518)</x:f>
        <x:v>0.19260000000000002</x:v>
      </x:c>
      <x:c r="L23" s="11" t="n">
        <x:f>IF('全量明细'!H518="","",'全量明细'!H518)</x:f>
        <x:v>0.3099</x:v>
      </x:c>
      <x:c r="M23" s="11" t="n">
        <x:f>IF('全量明细'!I518="","",'全量明细'!I518)</x:f>
        <x:v>0.3329</x:v>
      </x:c>
      <x:c r="N23" s="14" t="n">
        <x:f>IF('全量明细'!J518="","",'全量明细'!J518)</x:f>
        <x:v>-2.2999999999999963</x:v>
      </x:c>
      <x:c r="O23" s="14" t="n">
        <x:f>IF(AND(ISNUMBER(C23),ISNUMBER(I23)),(I23-C23)*100,"")</x:f>
        <x:v>8.231891999999998</x:v>
      </x:c>
      <x:c r="P23" s="17" t="str"/>
    </x:row>
    <x:row r="24" ht="25" customHeight="1">
      <x:c r="A24" s="2" t="str">
        <x:v>涅奥</x:v>
      </x:c>
      <x:c r="B24" s="2" t="str">
        <x:v>石炉加湿器</x:v>
      </x:c>
      <x:c r="C24" s="28" t="n">
        <x:f>IF('全量明细'!E11="","",'全量明细'!E11)</x:f>
        <x:v>0.25823609999999997</x:v>
      </x:c>
      <x:c r="D24" s="12" t="n">
        <x:f>IF('全量明细'!F11="","",'全量明细'!F11)</x:f>
        <x:v>9620</x:v>
      </x:c>
      <x:c r="E24" s="11" t="n">
        <x:f>IF('全量明细'!G11="","",'全量明细'!G11)</x:f>
        <x:v>0.0958</x:v>
      </x:c>
      <x:c r="F24" s="11" t="n">
        <x:f>IF('全量明细'!H11="","",'全量明细'!H11)</x:f>
        <x:v>0.2397</x:v>
      </x:c>
      <x:c r="G24" s="11" t="n">
        <x:f>IF('全量明细'!I11="","",'全量明细'!I11)</x:f>
        <x:v>0.2602</x:v>
      </x:c>
      <x:c r="H24" s="14" t="n">
        <x:f>IF('全量明细'!J11="","",'全量明细'!J11)</x:f>
        <x:v>-2.049999999999999</x:v>
      </x:c>
      <x:c r="I24" s="28" t="n">
        <x:f>IF('全量明细'!E514="","",'全量明细'!E514)</x:f>
        <x:v>0.33312408</x:v>
      </x:c>
      <x:c r="J24" s="12" t="n">
        <x:f>IF('全量明细'!F514="","",'全量明细'!F514)</x:f>
        <x:v>4380</x:v>
      </x:c>
      <x:c r="K24" s="11" t="n">
        <x:f>IF('全量明细'!G514="","",'全量明细'!G514)</x:f>
        <x:v>0.0664</x:v>
      </x:c>
      <x:c r="L24" s="11" t="n">
        <x:f>IF('全量明细'!H514="","",'全量明细'!H514)</x:f>
        <x:v>0.2955</x:v>
      </x:c>
      <x:c r="M24" s="11" t="n">
        <x:f>IF('全量明细'!I514="","",'全量明细'!I514)</x:f>
        <x:v>0.3358</x:v>
      </x:c>
      <x:c r="N24" s="14" t="n">
        <x:f>IF('全量明细'!J514="","",'全量明细'!J514)</x:f>
        <x:v>-4.03</x:v>
      </x:c>
      <x:c r="O24" s="14" t="n">
        <x:f>IF(AND(ISNUMBER(C24),ISNUMBER(I24)),(I24-C24)*100,"")</x:f>
        <x:v>7.488798000000002</x:v>
      </x:c>
      <x:c r="P24" s="17" t="str"/>
    </x:row>
    <x:row r="25" ht="25" customHeight="1">
      <x:c r="A25" s="2" t="str">
        <x:v>涅奥</x:v>
      </x:c>
      <x:c r="B25" s="2" t="str">
        <x:v>树叶药膏</x:v>
      </x:c>
      <x:c r="C25" s="28" t="n">
        <x:f>IF('全量明细'!E6="","",'全量明细'!E6)</x:f>
        <x:v>0.27512776</x:v>
      </x:c>
      <x:c r="D25" s="12" t="n">
        <x:f>IF('全量明细'!F6="","",'全量明细'!F6)</x:f>
        <x:v>18494</x:v>
      </x:c>
      <x:c r="E25" s="11" t="n">
        <x:f>IF('全量明细'!G6="","",'全量明细'!G6)</x:f>
        <x:v>0.5882000000000001</x:v>
      </x:c>
      <x:c r="F25" s="11" t="n">
        <x:f>IF('全量明细'!H6="","",'全量明细'!H6)</x:f>
        <x:v>0.2944</x:v>
      </x:c>
      <x:c r="G25" s="11" t="n">
        <x:f>IF('全量明细'!I6="","",'全量明细'!I6)</x:f>
        <x:v>0.24760000000000001</x:v>
      </x:c>
      <x:c r="H25" s="14" t="n">
        <x:f>IF('全量明细'!J6="","",'全量明细'!J6)</x:f>
        <x:v>4.679999999999998</x:v>
      </x:c>
      <x:c r="I25" s="28" t="n">
        <x:f>IF('全量明细'!E501="","",'全量明细'!E501)</x:f>
        <x:v>0.352785</x:v>
      </x:c>
      <x:c r="J25" s="12" t="n">
        <x:f>IF('全量明细'!F501="","",'全量明细'!F501)</x:f>
        <x:v>6778</x:v>
      </x:c>
      <x:c r="K25" s="11" t="n">
        <x:f>IF('全量明细'!G501="","",'全量明细'!G501)</x:f>
        <x:v>0.65</x:v>
      </x:c>
      <x:c r="L25" s="11" t="n">
        <x:f>IF('全量明细'!H501="","",'全量明细'!H501)</x:f>
        <x:v>0.365</x:v>
      </x:c>
      <x:c r="M25" s="11" t="n">
        <x:f>IF('全量明细'!I501="","",'全量明细'!I501)</x:f>
        <x:v>0.3301</x:v>
      </x:c>
      <x:c r="N25" s="14" t="n">
        <x:f>IF('全量明细'!J501="","",'全量明细'!J501)</x:f>
        <x:v>3.4899999999999984</x:v>
      </x:c>
      <x:c r="O25" s="14" t="n">
        <x:f>IF(AND(ISNUMBER(C25),ISNUMBER(I25)),(I25-C25)*100,"")</x:f>
        <x:v>7.765724000000001</x:v>
      </x:c>
      <x:c r="P25" s="17" t="str"/>
    </x:row>
    <x:row r="26" ht="25" customHeight="1">
      <x:c r="A26" s="2" t="str">
        <x:v>涅奥</x:v>
      </x:c>
      <x:c r="B26" s="2" t="str">
        <x:v>松动羊毛剪</x:v>
      </x:c>
      <x:c r="C26" s="28" t="n">
        <x:f>IF('全量明细'!E10="","",'全量明细'!E10)</x:f>
        <x:v>0.25969928</x:v>
      </x:c>
      <x:c r="D26" s="12" t="n">
        <x:f>IF('全量明细'!F10="","",'全量明细'!F10)</x:f>
        <x:v>17684</x:v>
      </x:c>
      <x:c r="E26" s="11" t="n">
        <x:f>IF('全量明细'!G10="","",'全量明细'!G10)</x:f>
        <x:v>0.2934</x:v>
      </x:c>
      <x:c r="F26" s="11" t="n">
        <x:f>IF('全量明细'!H10="","",'全量明细'!H10)</x:f>
        <x:v>0.2662</x:v>
      </x:c>
      <x:c r="G26" s="11" t="n">
        <x:f>IF('全量明细'!I10="","",'全量明细'!I10)</x:f>
        <x:v>0.257</x:v>
      </x:c>
      <x:c r="H26" s="14" t="n">
        <x:f>IF('全量明细'!J10="","",'全量明细'!J10)</x:f>
        <x:v>0.9199999999999986</x:v>
      </x:c>
      <x:c r="I26" s="28" t="n">
        <x:f>IF('全量明细'!E512="","",'全量明细'!E512)</x:f>
        <x:v>0.3342731</x:v>
      </x:c>
      <x:c r="J26" s="12" t="n">
        <x:f>IF('全量明细'!F512="","",'全量明细'!F512)</x:f>
        <x:v>6639</x:v>
      </x:c>
      <x:c r="K26" s="11" t="n">
        <x:f>IF('全量明细'!G512="","",'全量明细'!G512)</x:f>
        <x:v>0.3165</x:v>
      </x:c>
      <x:c r="L26" s="11" t="n">
        <x:f>IF('全量明细'!H512="","",'全量明细'!H512)</x:f>
        <x:v>0.3489</x:v>
      </x:c>
      <x:c r="M26" s="11" t="n">
        <x:f>IF('全量明细'!I512="","",'全量明细'!I512)</x:f>
        <x:v>0.3275</x:v>
      </x:c>
      <x:c r="N26" s="14" t="n">
        <x:f>IF('全量明细'!J512="","",'全量明细'!J512)</x:f>
        <x:v>2.1399999999999975</x:v>
      </x:c>
      <x:c r="O26" s="14" t="n">
        <x:f>IF(AND(ISNUMBER(C26),ISNUMBER(I26)),(I26-C26)*100,"")</x:f>
        <x:v>7.457382000000001</x:v>
      </x:c>
      <x:c r="P26" s="17" t="str"/>
    </x:row>
    <x:row r="27" ht="25" customHeight="1">
      <x:c r="A27" s="2" t="str">
        <x:v>涅奥</x:v>
      </x:c>
      <x:c r="B27" s="2" t="str">
        <x:v>万花筒</x:v>
      </x:c>
      <x:c r="C27" s="28" t="n">
        <x:f>IF('全量明细'!E12="","",'全量明细'!E12)</x:f>
        <x:v>0.25751634</x:v>
      </x:c>
      <x:c r="D27" s="12" t="n">
        <x:f>IF('全量明细'!F12="","",'全量明细'!F12)</x:f>
        <x:v>18516</x:v>
      </x:c>
      <x:c r="E27" s="11" t="n">
        <x:f>IF('全量明细'!G12="","",'全量明细'!G12)</x:f>
        <x:v>0.2701</x:v>
      </x:c>
      <x:c r="F27" s="11" t="n">
        <x:f>IF('全量明细'!H12="","",'全量明细'!H12)</x:f>
        <x:v>0.24539999999999998</x:v>
      </x:c>
      <x:c r="G27" s="11" t="n">
        <x:f>IF('全量明细'!I12="","",'全量明细'!I12)</x:f>
        <x:v>0.262</x:v>
      </x:c>
      <x:c r="H27" s="14" t="n">
        <x:f>IF('全量明细'!J12="","",'全量明细'!J12)</x:f>
        <x:v>-1.6600000000000033</x:v>
      </x:c>
      <x:c r="I27" s="28" t="n">
        <x:f>IF('全量明细'!E517="","",'全量明细'!E517)</x:f>
        <x:v>0.3296448</x:v>
      </x:c>
      <x:c r="J27" s="12" t="n">
        <x:f>IF('全量明细'!F517="","",'全量明细'!F517)</x:f>
        <x:v>8505</x:v>
      </x:c>
      <x:c r="K27" s="11" t="n">
        <x:f>IF('全量明细'!G517="","",'全量明细'!G517)</x:f>
        <x:v>0.3069</x:v>
      </x:c>
      <x:c r="L27" s="11" t="n">
        <x:f>IF('全量明细'!H517="","",'全量明细'!H517)</x:f>
        <x:v>0.32409999999999994</x:v>
      </x:c>
      <x:c r="M27" s="11" t="n">
        <x:f>IF('全量明细'!I517="","",'全量明细'!I517)</x:f>
        <x:v>0.3321</x:v>
      </x:c>
      <x:c r="N27" s="14" t="n">
        <x:f>IF('全量明细'!J517="","",'全量明细'!J517)</x:f>
        <x:v>-0.8000000000000063</x:v>
      </x:c>
      <x:c r="O27" s="14" t="n">
        <x:f>IF(AND(ISNUMBER(C27),ISNUMBER(I27)),(I27-C27)*100,"")</x:f>
        <x:v>7.212846000000001</x:v>
      </x:c>
      <x:c r="P27" s="17" t="str"/>
    </x:row>
    <x:row r="28" ht="25" customHeight="1">
      <x:c r="A28" s="2" t="str">
        <x:v>涅奥</x:v>
      </x:c>
      <x:c r="B28" s="2" t="str">
        <x:v>小型扭蛋</x:v>
      </x:c>
      <x:c r="C28" s="28" t="n">
        <x:f>IF('全量明细'!E19="","",'全量明细'!E19)</x:f>
        <x:v>0.2530456</x:v>
      </x:c>
      <x:c r="D28" s="12" t="n">
        <x:f>IF('全量明细'!F19="","",'全量明细'!F19)</x:f>
        <x:v>8893</x:v>
      </x:c>
      <x:c r="E28" s="11" t="n">
        <x:f>IF('全量明细'!G19="","",'全量明细'!G19)</x:f>
        <x:v>0.22399999999999998</x:v>
      </x:c>
      <x:c r="F28" s="11" t="n">
        <x:f>IF('全量明细'!H19="","",'全量明细'!H19)</x:f>
        <x:v>0.2681</x:v>
      </x:c>
      <x:c r="G28" s="11" t="n">
        <x:f>IF('全量明细'!I19="","",'全量明细'!I19)</x:f>
        <x:v>0.2487</x:v>
      </x:c>
      <x:c r="H28" s="14" t="n">
        <x:f>IF('全量明细'!J19="","",'全量明细'!J19)</x:f>
        <x:v>1.94</x:v>
      </x:c>
      <x:c r="I28" s="28" t="n">
        <x:f>IF('全量明细'!E513="","",'全量明细'!E513)</x:f>
        <x:v>0.33396576</x:v>
      </x:c>
      <x:c r="J28" s="12" t="n">
        <x:f>IF('全量明细'!F513="","",'全量明细'!F513)</x:f>
        <x:v>4096</x:v>
      </x:c>
      <x:c r="K28" s="11" t="n">
        <x:f>IF('全量明细'!G513="","",'全量明细'!G513)</x:f>
        <x:v>0.2612</x:v>
      </x:c>
      <x:c r="L28" s="11" t="n">
        <x:f>IF('全量明细'!H513="","",'全量明细'!H513)</x:f>
        <x:v>0.34490000000000004</x:v>
      </x:c>
      <x:c r="M28" s="11" t="n">
        <x:f>IF('全量明细'!I513="","",'全量明细'!I513)</x:f>
        <x:v>0.3301</x:v>
      </x:c>
      <x:c r="N28" s="14" t="n">
        <x:f>IF('全量明细'!J513="","",'全量明细'!J513)</x:f>
        <x:v>1.4800000000000035</x:v>
      </x:c>
      <x:c r="O28" s="14" t="n">
        <x:f>IF(AND(ISNUMBER(C28),ISNUMBER(I28)),(I28-C28)*100,"")</x:f>
        <x:v>8.092016000000001</x:v>
      </x:c>
      <x:c r="P28" s="17" t="str"/>
    </x:row>
    <x:row r="29" ht="25" customHeight="1">
      <x:c r="A29" s="2" t="str">
        <x:v>涅奥</x:v>
      </x:c>
      <x:c r="B29" s="2" t="str">
        <x:v>新叶</x:v>
      </x:c>
      <x:c r="C29" s="28" t="n">
        <x:f>IF('全量明细'!E9="","",'全量明细'!E9)</x:f>
        <x:v>0.26040080000000004</x:v>
      </x:c>
      <x:c r="D29" s="12" t="n">
        <x:f>IF('全量明细'!F9="","",'全量明细'!F9)</x:f>
        <x:v>17643</x:v>
      </x:c>
      <x:c r="E29" s="11" t="n">
        <x:f>IF('全量明细'!G9="","",'全量明细'!G9)</x:f>
        <x:v>0.32299999999999995</x:v>
      </x:c>
      <x:c r="F29" s="11" t="n">
        <x:f>IF('全量明细'!H9="","",'全量明细'!H9)</x:f>
        <x:v>0.2669</x:v>
      </x:c>
      <x:c r="G29" s="11" t="n">
        <x:f>IF('全量明细'!I9="","",'全量明细'!I9)</x:f>
        <x:v>0.25730000000000003</x:v>
      </x:c>
      <x:c r="H29" s="14" t="n">
        <x:f>IF('全量明细'!J9="","",'全量明细'!J9)</x:f>
        <x:v>0.9599999999999997</x:v>
      </x:c>
      <x:c r="I29" s="28" t="n">
        <x:f>IF('全量明细'!E510="","",'全量明细'!E510)</x:f>
        <x:v>0.3349034000000001</x:v>
      </x:c>
      <x:c r="J29" s="12" t="n">
        <x:f>IF('全量明细'!F510="","",'全量明细'!F510)</x:f>
        <x:v>8325</x:v>
      </x:c>
      <x:c r="K29" s="11" t="n">
        <x:f>IF('全量明细'!G510="","",'全量明细'!G510)</x:f>
        <x:v>0.3815</x:v>
      </x:c>
      <x:c r="L29" s="11" t="n">
        <x:f>IF('全量明细'!H510="","",'全量明细'!H510)</x:f>
        <x:v>0.34950000000000003</x:v>
      </x:c>
      <x:c r="M29" s="11" t="n">
        <x:f>IF('全量明细'!I510="","",'全量明细'!I510)</x:f>
        <x:v>0.3259</x:v>
      </x:c>
      <x:c r="N29" s="14" t="n">
        <x:f>IF('全量明细'!J510="","",'全量明细'!J510)</x:f>
        <x:v>2.360000000000001</x:v>
      </x:c>
      <x:c r="O29" s="14" t="n">
        <x:f>IF(AND(ISNUMBER(C29),ISNUMBER(I29)),(I29-C29)*100,"")</x:f>
        <x:v>7.450260000000003</x:v>
      </x:c>
      <x:c r="P29" s="17" t="str"/>
    </x:row>
    <x:row r="30" ht="25" customHeight="1">
      <x:c r="A30" s="2" t="str">
        <x:v>涅奥</x:v>
      </x:c>
      <x:c r="B30" s="2" t="str">
        <x:v>寻龙尺</x:v>
      </x:c>
      <x:c r="C30" s="28"/>
      <x:c r="D30" s="12"/>
      <x:c r="E30" s="11"/>
      <x:c r="F30" s="11"/>
      <x:c r="G30" s="11"/>
      <x:c r="H30" s="14"/>
      <x:c r="I30" s="28" t="n">
        <x:f>IF('全量明细'!E527="","",'全量明细'!E527)</x:f>
        <x:v>0.3168068</x:v>
      </x:c>
      <x:c r="J30" s="12" t="n">
        <x:f>IF('全量明细'!F527="","",'全量明细'!F527)</x:f>
        <x:v>6789</x:v>
      </x:c>
      <x:c r="K30" s="11" t="n">
        <x:f>IF('全量明细'!G527="","",'全量明细'!G527)</x:f>
        <x:v>0.3953</x:v>
      </x:c>
      <x:c r="L30" s="11" t="n">
        <x:f>IF('全量明细'!H527="","",'全量明细'!H527)</x:f>
        <x:v>0.2902</x:v>
      </x:c>
      <x:c r="M30" s="11" t="n">
        <x:f>IF('全量明细'!I527="","",'全量明细'!I527)</x:f>
        <x:v>0.3342</x:v>
      </x:c>
      <x:c r="N30" s="14" t="n">
        <x:f>IF('全量明细'!J527="","",'全量明细'!J527)</x:f>
        <x:v>-4.399999999999999</x:v>
      </x:c>
      <x:c r="O30" s="14" t="str">
        <x:f>IF(AND(ISNUMBER(C30),ISNUMBER(I30)),(I30-C30)*100,"")</x:f>
      </x:c>
      <x:c r="P30" s="17" t="str"/>
    </x:row>
    <x:row r="31" ht="25" customHeight="1">
      <x:c r="A31" s="2" t="str">
        <x:v>涅奥</x:v>
      </x:c>
      <x:c r="B31" s="2" t="str">
        <x:v>药瓶皮套</x:v>
      </x:c>
      <x:c r="C31" s="28" t="n">
        <x:f>IF('全量明细'!E13="","",'全量明细'!E13)</x:f>
        <x:v>0.25689924000000003</x:v>
      </x:c>
      <x:c r="D31" s="12" t="n">
        <x:f>IF('全量明细'!F13="","",'全量明细'!F13)</x:f>
        <x:v>19477</x:v>
      </x:c>
      <x:c r="E31" s="11" t="n">
        <x:f>IF('全量明细'!G13="","",'全量明细'!G13)</x:f>
        <x:v>0.1618</x:v>
      </x:c>
      <x:c r="F31" s="11" t="n">
        <x:f>IF('全量明细'!H13="","",'全量明细'!H13)</x:f>
        <x:v>0.30870000000000003</x:v>
      </x:c>
      <x:c r="G31" s="11" t="n">
        <x:f>IF('全量明细'!I13="","",'全量明细'!I13)</x:f>
        <x:v>0.2469</x:v>
      </x:c>
      <x:c r="H31" s="14" t="n">
        <x:f>IF('全量明细'!J13="","",'全量明细'!J13)</x:f>
        <x:v>6.180000000000002</x:v>
      </x:c>
      <x:c r="I31" s="28" t="n">
        <x:f>IF('全量明细'!E502="","",'全量明细'!E502)</x:f>
        <x:v>0.3410795</x:v>
      </x:c>
      <x:c r="J31" s="12" t="n">
        <x:f>IF('全量明细'!F502="","",'全量明细'!F502)</x:f>
        <x:v>7968</x:v>
      </x:c>
      <x:c r="K31" s="11" t="n">
        <x:f>IF('全量明细'!G502="","",'全量明细'!G502)</x:f>
        <x:v>0.1825</x:v>
      </x:c>
      <x:c r="L31" s="11" t="n">
        <x:f>IF('全量明细'!H502="","",'全量明细'!H502)</x:f>
        <x:v>0.40369999999999995</x:v>
      </x:c>
      <x:c r="M31" s="11" t="n">
        <x:f>IF('全量明细'!I502="","",'全量明细'!I502)</x:f>
        <x:v>0.3271</x:v>
      </x:c>
      <x:c r="N31" s="14" t="n">
        <x:f>IF('全量明细'!J502="","",'全量明细'!J502)</x:f>
        <x:v>7.659999999999995</x:v>
      </x:c>
      <x:c r="O31" s="14" t="n">
        <x:f>IF(AND(ISNUMBER(C31),ISNUMBER(I31)),(I31-C31)*100,"")</x:f>
        <x:v>8.418025999999996</x:v>
      </x:c>
      <x:c r="P31" s="17" t="str"/>
    </x:row>
    <x:row r="32" ht="25" customHeight="1">
      <x:c r="A32" s="2" t="str">
        <x:v>涅奥</x:v>
      </x:c>
      <x:c r="B32" s="2" t="str">
        <x:v>营养牡蛎</x:v>
      </x:c>
      <x:c r="C32" s="28" t="n">
        <x:f>IF('全量明细'!E21="","",'全量明细'!E21)</x:f>
        <x:v>0.25222644</x:v>
      </x:c>
      <x:c r="D32" s="12" t="n">
        <x:f>IF('全量明细'!F21="","",'全量明细'!F21)</x:f>
        <x:v>9956</x:v>
      </x:c>
      <x:c r="E32" s="11" t="n">
        <x:f>IF('全量明细'!G21="","",'全量明细'!G21)</x:f>
        <x:v>0.0751</x:v>
      </x:c>
      <x:c r="F32" s="11" t="n">
        <x:f>IF('全量明细'!H21="","",'全量明细'!H21)</x:f>
        <x:v>0.2193</x:v>
      </x:c>
      <x:c r="G32" s="11" t="n">
        <x:f>IF('全量明细'!I21="","",'全量明细'!I21)</x:f>
        <x:v>0.25489999999999996</x:v>
      </x:c>
      <x:c r="H32" s="14" t="n">
        <x:f>IF('全量明细'!J21="","",'全量明细'!J21)</x:f>
        <x:v>-3.5599999999999965</x:v>
      </x:c>
      <x:c r="I32" s="28" t="n">
        <x:f>IF('全量明细'!E523="","",'全量明细'!E523)</x:f>
        <x:v>0.32390388000000003</x:v>
      </x:c>
      <x:c r="J32" s="12" t="n">
        <x:f>IF('全量明细'!F523="","",'全量明细'!F523)</x:f>
        <x:v>4332</x:v>
      </x:c>
      <x:c r="K32" s="11" t="n">
        <x:f>IF('全量明细'!G523="","",'全量明细'!G523)</x:f>
        <x:v>0.0799</x:v>
      </x:c>
      <x:c r="L32" s="11" t="n">
        <x:f>IF('全量明细'!H523="","",'全量明细'!H523)</x:f>
        <x:v>0.2514</x:v>
      </x:c>
      <x:c r="M32" s="11" t="n">
        <x:f>IF('全量明细'!I523="","",'全量明细'!I523)</x:f>
        <x:v>0.33020000000000005</x:v>
      </x:c>
      <x:c r="N32" s="14" t="n">
        <x:f>IF('全量明细'!J523="","",'全量明细'!J523)</x:f>
        <x:v>-7.8800000000000034</x:v>
      </x:c>
      <x:c r="O32" s="14" t="n">
        <x:f>IF(AND(ISNUMBER(C32),ISNUMBER(I32)),(I32-C32)*100,"")</x:f>
        <x:v>7.1677440000000034</x:v>
      </x:c>
      <x:c r="P32" s="17" t="str"/>
    </x:row>
    <x:row r="33" ht="25" customHeight="1">
      <x:c r="A33" s="2" t="str">
        <x:v>涅奥</x:v>
      </x:c>
      <x:c r="B33" s="2" t="str">
        <x:v>羽翼之靴</x:v>
      </x:c>
      <x:c r="C33" s="28" t="n">
        <x:f>IF('全量明细'!E23="","",'全量明细'!E23)</x:f>
        <x:v>0.25110808</x:v>
      </x:c>
      <x:c r="D33" s="12" t="n">
        <x:f>IF('全量明细'!F23="","",'全量明细'!F23)</x:f>
        <x:v>19612</x:v>
      </x:c>
      <x:c r="E33" s="11" t="n">
        <x:f>IF('全量明细'!G23="","",'全量明细'!G23)</x:f>
        <x:v>0.20980000000000001</x:v>
      </x:c>
      <x:c r="F33" s="11" t="n">
        <x:f>IF('全量明细'!H23="","",'全量明细'!H23)</x:f>
        <x:v>0.2824</x:v>
      </x:c>
      <x:c r="G33" s="11" t="n">
        <x:f>IF('全量明细'!I23="","",'全量明细'!I23)</x:f>
        <x:v>0.24280000000000002</x:v>
      </x:c>
      <x:c r="H33" s="14" t="n">
        <x:f>IF('全量明细'!J23="","",'全量明细'!J23)</x:f>
        <x:v>3.959999999999997</x:v>
      </x:c>
      <x:c r="I33" s="28" t="n">
        <x:f>IF('全量明细'!E526="","",'全量明细'!E526)</x:f>
        <x:v>0.31684736999999996</x:v>
      </x:c>
      <x:c r="J33" s="12" t="n">
        <x:f>IF('全量明细'!F526="","",'全量明细'!F526)</x:f>
        <x:v>9007</x:v>
      </x:c>
      <x:c r="K33" s="11" t="n">
        <x:f>IF('全量明细'!G526="","",'全量明细'!G526)</x:f>
        <x:v>0.2047</x:v>
      </x:c>
      <x:c r="L33" s="11" t="n">
        <x:f>IF('全量明细'!H526="","",'全量明细'!H526)</x:f>
        <x:v>0.33840000000000003</x:v>
      </x:c>
      <x:c r="M33" s="11" t="n">
        <x:f>IF('全量明细'!I526="","",'全量明细'!I526)</x:f>
        <x:v>0.31129999999999997</x:v>
      </x:c>
      <x:c r="N33" s="14" t="n">
        <x:f>IF('全量明细'!J526="","",'全量明细'!J526)</x:f>
        <x:v>2.710000000000007</x:v>
      </x:c>
      <x:c r="O33" s="14" t="n">
        <x:f>IF(AND(ISNUMBER(C33),ISNUMBER(I33)),(I33-C33)*100,"")</x:f>
        <x:v>6.573928999999995</x:v>
      </x:c>
      <x:c r="P33" s="17" t="str"/>
    </x:row>
    <x:row r="34" ht="25" customHeight="1">
      <x:c r="A34" s="2" t="str">
        <x:v>涅奥</x:v>
      </x:c>
      <x:c r="B34" s="2" t="str">
        <x:v>诅咒珍珠</x:v>
      </x:c>
      <x:c r="C34" s="28" t="n">
        <x:f>IF('全量明细'!E27="","",'全量明细'!E27)</x:f>
        <x:v>0.24713543999999998</x:v>
      </x:c>
      <x:c r="D34" s="12" t="n">
        <x:f>IF('全量明细'!F27="","",'全量明细'!F27)</x:f>
        <x:v>18763</x:v>
      </x:c>
      <x:c r="E34" s="11" t="n">
        <x:f>IF('全量明细'!G27="","",'全量明细'!G27)</x:f>
        <x:v>0.5372</x:v>
      </x:c>
      <x:c r="F34" s="11" t="n">
        <x:f>IF('全量明细'!H27="","",'全量明细'!H27)</x:f>
        <x:v>0.2426</x:v>
      </x:c>
      <x:c r="G34" s="11" t="n">
        <x:f>IF('全量明细'!I27="","",'全量明细'!I27)</x:f>
        <x:v>0.25239999999999996</x:v>
      </x:c>
      <x:c r="H34" s="14" t="n">
        <x:f>IF('全量明细'!J27="","",'全量明细'!J27)</x:f>
        <x:v>-0.9799999999999948</x:v>
      </x:c>
      <x:c r="I34" s="28" t="n">
        <x:f>IF('全量明细'!E525="","",'全量明细'!E525)</x:f>
        <x:v>0.32116848</x:v>
      </x:c>
      <x:c r="J34" s="12" t="n">
        <x:f>IF('全量明细'!F525="","",'全量明细'!F525)</x:f>
        <x:v>6897</x:v>
      </x:c>
      <x:c r="K34" s="11" t="n">
        <x:f>IF('全量明细'!G525="","",'全量明细'!G525)</x:f>
        <x:v>0.5584</x:v>
      </x:c>
      <x:c r="L34" s="11" t="n">
        <x:f>IF('全量明细'!H525="","",'全量明细'!H525)</x:f>
        <x:v>0.3111</x:v>
      </x:c>
      <x:c r="M34" s="11" t="n">
        <x:f>IF('全量明细'!I525="","",'全量明细'!I525)</x:f>
        <x:v>0.33390000000000003</x:v>
      </x:c>
      <x:c r="N34" s="14" t="n">
        <x:f>IF('全量明细'!J525="","",'全量明细'!J525)</x:f>
        <x:v>-2.2800000000000042</x:v>
      </x:c>
      <x:c r="O34" s="14" t="n">
        <x:f>IF(AND(ISNUMBER(C34),ISNUMBER(I34)),(I34-C34)*100,"")</x:f>
        <x:v>7.403303999999999</x:v>
      </x:c>
      <x:c r="P34" s="17" t="str"/>
    </x:row>
    <x:row r="35" ht="25" customHeight="1">
      <x:c r="A35" s="20" t="str">
        <x:v>欧洛巴斯</x:v>
      </x:c>
      <x:c r="B35" s="20" t="str">
        <x:v>玻璃眼珠</x:v>
      </x:c>
      <x:c r="C35" s="27" t="n">
        <x:f>IF('全量明细'!E40="","",'全量明细'!E40)</x:f>
        <x:v>0.35626033999999995</x:v>
      </x:c>
      <x:c r="D35" s="23" t="n">
        <x:f>IF('全量明细'!F40="","",'全量明细'!F40)</x:f>
        <x:v>7550</x:v>
      </x:c>
      <x:c r="E35" s="22" t="n">
        <x:f>IF('全量明细'!G40="","",'全量明细'!G40)</x:f>
        <x:v>0.33590000000000003</x:v>
      </x:c>
      <x:c r="F35" s="22" t="n">
        <x:f>IF('全量明细'!H40="","",'全量明细'!H40)</x:f>
        <x:v>0.3115</x:v>
      </x:c>
      <x:c r="G35" s="22" t="n">
        <x:f>IF('全量明细'!I40="","",'全量明细'!I40)</x:f>
        <x:v>0.3789</x:v>
      </x:c>
      <x:c r="H35" s="24" t="n">
        <x:f>IF('全量明细'!J40="","",'全量明细'!J40)</x:f>
        <x:v>-6.740000000000002</x:v>
      </x:c>
      <x:c r="I35" s="27" t="n">
        <x:f>IF('全量明细'!E536="","",'全量明细'!E536)</x:f>
        <x:v>0.44213026</x:v>
      </x:c>
      <x:c r="J35" s="23" t="n">
        <x:f>IF('全量明细'!F536="","",'全量明细'!F536)</x:f>
        <x:v>4732</x:v>
      </x:c>
      <x:c r="K35" s="22" t="n">
        <x:f>IF('全量明细'!G536="","",'全量明细'!G536)</x:f>
        <x:v>0.34590000000000004</x:v>
      </x:c>
      <x:c r="L35" s="22" t="n">
        <x:f>IF('全量明细'!H536="","",'全量明细'!H536)</x:f>
        <x:v>0.40380000000000005</x:v>
      </x:c>
      <x:c r="M35" s="22" t="n">
        <x:f>IF('全量明细'!I536="","",'全量明细'!I536)</x:f>
        <x:v>0.46240000000000003</x:v>
      </x:c>
      <x:c r="N35" s="24" t="n">
        <x:f>IF('全量明细'!J536="","",'全量明细'!J536)</x:f>
        <x:v>-5.8599999999999985</x:v>
      </x:c>
      <x:c r="O35" s="24" t="n">
        <x:f>IF(AND(ISNUMBER(C35),ISNUMBER(I35)),(I35-C35)*100,"")</x:f>
        <x:v>8.586992000000004</x:v>
      </x:c>
      <x:c r="P35" s="31" t="str"/>
    </x:row>
    <x:row r="36" ht="25" customHeight="1">
      <x:c r="A36" s="2" t="str">
        <x:v>欧洛巴斯</x:v>
      </x:c>
      <x:c r="B36" s="2" t="str">
        <x:v>发光珍珠</x:v>
      </x:c>
      <x:c r="C36" s="28" t="n">
        <x:f>IF('全量明细'!E37="","",'全量明细'!E37)</x:f>
        <x:v>0.3637088</x:v>
      </x:c>
      <x:c r="D36" s="12" t="n">
        <x:f>IF('全量明细'!F37="","",'全量明细'!F37)</x:f>
        <x:v>8337</x:v>
      </x:c>
      <x:c r="E36" s="11" t="n">
        <x:f>IF('全量明细'!G37="","",'全量明细'!G37)</x:f>
        <x:v>0.1815</x:v>
      </x:c>
      <x:c r="F36" s="11" t="n">
        <x:f>IF('全量明细'!H37="","",'全量明细'!H37)</x:f>
        <x:v>0.45799999999999996</x:v>
      </x:c>
      <x:c r="G36" s="11" t="n">
        <x:f>IF('全量明细'!I37="","",'全量明细'!I37)</x:f>
        <x:v>0.3428</x:v>
      </x:c>
      <x:c r="H36" s="14" t="n">
        <x:f>IF('全量明细'!J37="","",'全量明细'!J37)</x:f>
        <x:v>11.519999999999996</x:v>
      </x:c>
      <x:c r="I36" s="28" t="n">
        <x:f>IF('全量明细'!E534="","",'全量明细'!E534)</x:f>
        <x:v>0.46481167999999995</x:v>
      </x:c>
      <x:c r="J36" s="12" t="n">
        <x:f>IF('全量明细'!F534="","",'全量明细'!F534)</x:f>
        <x:v>2840</x:v>
      </x:c>
      <x:c r="K36" s="11" t="n">
        <x:f>IF('全量明细'!G534="","",'全量明细'!G534)</x:f>
        <x:v>0.22920000000000001</x:v>
      </x:c>
      <x:c r="L36" s="11" t="n">
        <x:f>IF('全量明细'!H534="","",'全量明细'!H534)</x:f>
        <x:v>0.5422</x:v>
      </x:c>
      <x:c r="M36" s="11" t="n">
        <x:f>IF('全量明细'!I534="","",'全量明细'!I534)</x:f>
        <x:v>0.44179999999999997</x:v>
      </x:c>
      <x:c r="N36" s="14" t="n">
        <x:f>IF('全量明细'!J534="","",'全量明细'!J534)</x:f>
        <x:v>10.040000000000004</x:v>
      </x:c>
      <x:c r="O36" s="14" t="n">
        <x:f>IF(AND(ISNUMBER(C36),ISNUMBER(I36)),(I36-C36)*100,"")</x:f>
        <x:v>10.110287999999995</x:v>
      </x:c>
      <x:c r="P36" s="17" t="str"/>
    </x:row>
    <x:row r="37" ht="25" customHeight="1">
      <x:c r="A37" s="2" t="str">
        <x:v>欧洛巴斯</x:v>
      </x:c>
      <x:c r="B37" s="2" t="str">
        <x:v>放电异虾</x:v>
      </x:c>
      <x:c r="C37" s="28" t="n">
        <x:f>IF('全量明细'!E39="","",'全量明细'!E39)</x:f>
        <x:v>0.35992829000000004</x:v>
      </x:c>
      <x:c r="D37" s="12" t="n">
        <x:f>IF('全量明细'!F39="","",'全量明细'!F39)</x:f>
        <x:v>7548</x:v>
      </x:c>
      <x:c r="E37" s="11" t="n">
        <x:f>IF('全量明细'!G39="","",'全量明细'!G39)</x:f>
        <x:v>0.1779</x:v>
      </x:c>
      <x:c r="F37" s="11" t="n">
        <x:f>IF('全量明细'!H39="","",'全量明细'!H39)</x:f>
        <x:v>0.35590000000000005</x:v>
      </x:c>
      <x:c r="G37" s="11" t="n">
        <x:f>IF('全量明细'!I39="","",'全量明细'!I39)</x:f>
        <x:v>0.3608</x:v>
      </x:c>
      <x:c r="H37" s="14" t="n">
        <x:f>IF('全量明细'!J39="","",'全量明细'!J39)</x:f>
        <x:v>-0.489999999999996</x:v>
      </x:c>
      <x:c r="I37" s="28" t="n">
        <x:f>IF('全量明细'!E531="","",'全量明细'!E531)</x:f>
        <x:v>0.47207808</x:v>
      </x:c>
      <x:c r="J37" s="12" t="n">
        <x:f>IF('全量明细'!F531="","",'全量明细'!F531)</x:f>
        <x:v>4730</x:v>
      </x:c>
      <x:c r="K37" s="11" t="n">
        <x:f>IF('全量明细'!G531="","",'全量明细'!G531)</x:f>
        <x:v>0.1968</x:v>
      </x:c>
      <x:c r="L37" s="11" t="n">
        <x:f>IF('全量明细'!H531="","",'全量明细'!H531)</x:f>
        <x:v>0.5328</x:v>
      </x:c>
      <x:c r="M37" s="11" t="n">
        <x:f>IF('全量明细'!I531="","",'全量明细'!I531)</x:f>
        <x:v>0.4572</x:v>
      </x:c>
      <x:c r="N37" s="14" t="n">
        <x:f>IF('全量明细'!J531="","",'全量明细'!J531)</x:f>
        <x:v>7.560000000000006</x:v>
      </x:c>
      <x:c r="O37" s="14" t="n">
        <x:f>IF(AND(ISNUMBER(C37),ISNUMBER(I37)),(I37-C37)*100,"")</x:f>
        <x:v>11.214978999999998</x:v>
      </x:c>
      <x:c r="P37" s="17" t="str"/>
    </x:row>
    <x:row r="38" ht="25" customHeight="1">
      <x:c r="A38" s="2" t="str">
        <x:v>欧洛巴斯</x:v>
      </x:c>
      <x:c r="B38" s="2" t="str">
        <x:v>浮木</x:v>
      </x:c>
      <x:c r="C38" s="28" t="n">
        <x:f>IF('全量明细'!E38="","",'全量明细'!E38)</x:f>
        <x:v>0.36094648</x:v>
      </x:c>
      <x:c r="D38" s="12" t="n">
        <x:f>IF('全量明细'!F38="","",'全量明细'!F38)</x:f>
        <x:v>8198</x:v>
      </x:c>
      <x:c r="E38" s="11" t="n">
        <x:f>IF('全量明细'!G38="","",'全量明细'!G38)</x:f>
        <x:v>0.1678</x:v>
      </x:c>
      <x:c r="F38" s="11" t="n">
        <x:f>IF('全量明细'!H38="","",'全量明细'!H38)</x:f>
        <x:v>0.37060000000000004</x:v>
      </x:c>
      <x:c r="G38" s="11" t="n">
        <x:f>IF('全量明细'!I38="","",'全量明细'!I38)</x:f>
        <x:v>0.359</x:v>
      </x:c>
      <x:c r="H38" s="14" t="n">
        <x:f>IF('全量明细'!J38="","",'全量明细'!J38)</x:f>
        <x:v>1.1600000000000055</x:v>
      </x:c>
      <x:c r="I38" s="28" t="n">
        <x:f>IF('全量明细'!E537="","",'全量明细'!E537)</x:f>
        <x:v>0.42726016999999994</x:v>
      </x:c>
      <x:c r="J38" s="12" t="n">
        <x:f>IF('全量明细'!F537="","",'全量明细'!F537)</x:f>
        <x:v>2661</x:v>
      </x:c>
      <x:c r="K38" s="11" t="n">
        <x:f>IF('全量明细'!G537="","",'全量明细'!G537)</x:f>
        <x:v>0.1507</x:v>
      </x:c>
      <x:c r="L38" s="11" t="n">
        <x:f>IF('全量明细'!H537="","",'全量明细'!H537)</x:f>
        <x:v>0.4214</x:v>
      </x:c>
      <x:c r="M38" s="11" t="n">
        <x:f>IF('全量明细'!I537="","",'全量明细'!I537)</x:f>
        <x:v>0.42829999999999996</x:v>
      </x:c>
      <x:c r="N38" s="14" t="n">
        <x:f>IF('全量明细'!J537="","",'全量明细'!J537)</x:f>
        <x:v>-0.6899999999999962</x:v>
      </x:c>
      <x:c r="O38" s="14" t="n">
        <x:f>IF(AND(ISNUMBER(C38),ISNUMBER(I38)),(I38-C38)*100,"")</x:f>
        <x:v>6.631368999999992</x:v>
      </x:c>
      <x:c r="P38" s="17" t="str"/>
    </x:row>
    <x:row r="39" ht="25" customHeight="1">
      <x:c r="A39" s="2" t="str">
        <x:v>欧洛巴斯</x:v>
      </x:c>
      <x:c r="B39" s="2" t="str">
        <x:v>古老牙齿</x:v>
      </x:c>
      <x:c r="C39" s="28" t="n">
        <x:f>IF('全量明细'!E34="","",'全量明细'!E34)</x:f>
        <x:v>0.38982399999999995</x:v>
      </x:c>
      <x:c r="D39" s="12" t="n">
        <x:f>IF('全量明细'!F34="","",'全量明细'!F34)</x:f>
        <x:v>12524</x:v>
      </x:c>
      <x:c r="E39" s="11" t="n">
        <x:f>IF('全量明细'!G34="","",'全量明细'!G34)</x:f>
        <x:v>0.8134999999999999</x:v>
      </x:c>
      <x:c r="F39" s="11" t="n">
        <x:f>IF('全量明细'!H34="","",'全量明细'!H34)</x:f>
        <x:v>0.3943</x:v>
      </x:c>
      <x:c r="G39" s="11" t="n">
        <x:f>IF('全量明细'!I34="","",'全量明细'!I34)</x:f>
        <x:v>0.3703</x:v>
      </x:c>
      <x:c r="H39" s="14" t="n">
        <x:f>IF('全量明细'!J34="","",'全量明细'!J34)</x:f>
        <x:v>2.399999999999997</x:v>
      </x:c>
      <x:c r="I39" s="28" t="n">
        <x:f>IF('全量明细'!E530="","",'全量明细'!E530)</x:f>
        <x:v>0.47465952</x:v>
      </x:c>
      <x:c r="J39" s="12" t="n">
        <x:f>IF('全量明细'!F530="","",'全量明细'!F530)</x:f>
        <x:v>5467</x:v>
      </x:c>
      <x:c r="K39" s="11" t="n">
        <x:f>IF('全量明细'!G530="","",'全量明细'!G530)</x:f>
        <x:v>0.7408</x:v>
      </x:c>
      <x:c r="L39" s="11" t="n">
        <x:f>IF('全量明细'!H530="","",'全量明细'!H530)</x:f>
        <x:v>0.4758</x:v>
      </x:c>
      <x:c r="M39" s="11" t="n">
        <x:f>IF('全量明细'!I530="","",'全量明细'!I530)</x:f>
        <x:v>0.4714</x:v>
      </x:c>
      <x:c r="N39" s="14" t="n">
        <x:f>IF('全量明细'!J530="","",'全量明细'!J530)</x:f>
        <x:v>0.4400000000000015</x:v>
      </x:c>
      <x:c r="O39" s="14" t="n">
        <x:f>IF(AND(ISNUMBER(C39),ISNUMBER(I39)),(I39-C39)*100,"")</x:f>
        <x:v>8.483552000000005</x:v>
      </x:c>
      <x:c r="P39" s="17" t="str"/>
    </x:row>
    <x:row r="40" ht="25" customHeight="1">
      <x:c r="A40" s="2" t="str">
        <x:v>欧洛巴斯</x:v>
      </x:c>
      <x:c r="B40" s="2" t="str">
        <x:v>棱彩宝石</x:v>
      </x:c>
      <x:c r="C40" s="28" t="n">
        <x:f>IF('全量明细'!E33="","",'全量明细'!E33)</x:f>
        <x:v>0.39969744</x:v>
      </x:c>
      <x:c r="D40" s="12" t="n">
        <x:f>IF('全量明细'!F33="","",'全量明细'!F33)</x:f>
        <x:v>2442</x:v>
      </x:c>
      <x:c r="E40" s="11" t="n">
        <x:f>IF('全量明细'!G33="","",'全量明细'!G33)</x:f>
        <x:v>0.3452</x:v>
      </x:c>
      <x:c r="F40" s="11" t="n">
        <x:f>IF('全量明细'!H33="","",'全量明细'!H33)</x:f>
        <x:v>0.4437</x:v>
      </x:c>
      <x:c r="G40" s="11" t="n">
        <x:f>IF('全量明细'!I33="","",'全量明细'!I33)</x:f>
        <x:v>0.3765</x:v>
      </x:c>
      <x:c r="H40" s="14" t="n">
        <x:f>IF('全量明细'!J33="","",'全量明细'!J33)</x:f>
        <x:v>6.719999999999998</x:v>
      </x:c>
      <x:c r="I40" s="28" t="n">
        <x:f>IF('全量明细'!E532="","",'全量明细'!E532)</x:f>
        <x:v>0.4700936</x:v>
      </x:c>
      <x:c r="J40" s="12" t="n">
        <x:f>IF('全量明细'!F532="","",'全量明细'!F532)</x:f>
        <x:v>1523</x:v>
      </x:c>
      <x:c r="K40" s="11" t="n">
        <x:f>IF('全量明细'!G532="","",'全量明细'!G532)</x:f>
        <x:v>0.392</x:v>
      </x:c>
      <x:c r="L40" s="11" t="n">
        <x:f>IF('全量明细'!H532="","",'全量明细'!H532)</x:f>
        <x:v>0.5025</x:v>
      </x:c>
      <x:c r="M40" s="11" t="n">
        <x:f>IF('全量明细'!I532="","",'全量明细'!I532)</x:f>
        <x:v>0.44920000000000004</x:v>
      </x:c>
      <x:c r="N40" s="14" t="n">
        <x:f>IF('全量明细'!J532="","",'全量明细'!J532)</x:f>
        <x:v>5.32999999999999</x:v>
      </x:c>
      <x:c r="O40" s="14" t="n">
        <x:f>IF(AND(ISNUMBER(C40),ISNUMBER(I40)),(I40-C40)*100,"")</x:f>
        <x:v>7.039615999999999</x:v>
      </x:c>
      <x:c r="P40" s="17" t="str"/>
    </x:row>
    <x:row r="41" ht="25" customHeight="1">
      <x:c r="A41" s="2" t="str">
        <x:v>欧洛巴斯</x:v>
      </x:c>
      <x:c r="B41" s="2" t="str">
        <x:v>炼金箱</x:v>
      </x:c>
      <x:c r="C41" s="28" t="n">
        <x:f>IF('全量明细'!E35="","",'全量明细'!E35)</x:f>
        <x:v>0.37284152000000004</x:v>
      </x:c>
      <x:c r="D41" s="12" t="n">
        <x:f>IF('全量明细'!F35="","",'全量明细'!F35)</x:f>
        <x:v>8487</x:v>
      </x:c>
      <x:c r="E41" s="11" t="n">
        <x:f>IF('全量明细'!G35="","",'全量明细'!G35)</x:f>
        <x:v>0.1962</x:v>
      </x:c>
      <x:c r="F41" s="11" t="n">
        <x:f>IF('全量明细'!H35="","",'全量明细'!H35)</x:f>
        <x:v>0.45289999999999997</x:v>
      </x:c>
      <x:c r="G41" s="11" t="n">
        <x:f>IF('全量明细'!I35="","",'全量明细'!I35)</x:f>
        <x:v>0.3533</x:v>
      </x:c>
      <x:c r="H41" s="14" t="n">
        <x:f>IF('全量明细'!J35="","",'全量明细'!J35)</x:f>
        <x:v>9.959999999999997</x:v>
      </x:c>
      <x:c r="I41" s="28" t="n">
        <x:f>IF('全量明细'!E529="","",'全量明细'!E529)</x:f>
        <x:v>0.4755676</x:v>
      </x:c>
      <x:c r="J41" s="12" t="n">
        <x:f>IF('全量明细'!F529="","",'全量明细'!F529)</x:f>
        <x:v>2742</x:v>
      </x:c>
      <x:c r="K41" s="11" t="n">
        <x:f>IF('全量明细'!G529="","",'全量明细'!G529)</x:f>
        <x:v>0.2214</x:v>
      </x:c>
      <x:c r="L41" s="11" t="n">
        <x:f>IF('全量明细'!H529="","",'全量明细'!H529)</x:f>
        <x:v>0.5799</x:v>
      </x:c>
      <x:c r="M41" s="11" t="n">
        <x:f>IF('全量明细'!I529="","",'全量明细'!I529)</x:f>
        <x:v>0.4459</x:v>
      </x:c>
      <x:c r="N41" s="14" t="n">
        <x:f>IF('全量明细'!J529="","",'全量明细'!J529)</x:f>
        <x:v>13.399999999999995</x:v>
      </x:c>
      <x:c r="O41" s="14" t="n">
        <x:f>IF(AND(ISNUMBER(C41),ISNUMBER(I41)),(I41-C41)*100,"")</x:f>
        <x:v>10.272607999999995</x:v>
      </x:c>
      <x:c r="P41" s="17" t="str"/>
    </x:row>
    <x:row r="42" ht="25" customHeight="1">
      <x:c r="A42" s="2" t="str">
        <x:v>欧洛巴斯</x:v>
      </x:c>
      <x:c r="B42" s="2" t="str">
        <x:v>欧洛巴斯之触</x:v>
      </x:c>
      <x:c r="C42" s="28" t="n">
        <x:f>IF('全量明细'!E41="","",'全量明细'!E41)</x:f>
        <x:v>0.3417752</x:v>
      </x:c>
      <x:c r="D42" s="12" t="n">
        <x:f>IF('全量明细'!F41="","",'全量明细'!F41)</x:f>
        <x:v>12505</x:v>
      </x:c>
      <x:c r="E42" s="11" t="n">
        <x:f>IF('全量明细'!G41="","",'全量明细'!G41)</x:f>
        <x:v>0.32789999999999997</x:v>
      </x:c>
      <x:c r="F42" s="11" t="n">
        <x:f>IF('全量明细'!H41="","",'全量明细'!H41)</x:f>
        <x:v>0.26649999999999996</x:v>
      </x:c>
      <x:c r="G42" s="11" t="n">
        <x:f>IF('全量明细'!I41="","",'全量明细'!I41)</x:f>
        <x:v>0.3785</x:v>
      </x:c>
      <x:c r="H42" s="14" t="n">
        <x:f>IF('全量明细'!J41="","",'全量明细'!J41)</x:f>
        <x:v>-11.200000000000005</x:v>
      </x:c>
      <x:c r="I42" s="28" t="n">
        <x:f>IF('全量明细'!E535="","",'全量明细'!E535)</x:f>
        <x:v>0.44290056999999994</x:v>
      </x:c>
      <x:c r="J42" s="12" t="n">
        <x:f>IF('全量明细'!F535="","",'全量明细'!F535)</x:f>
        <x:v>5525</x:v>
      </x:c>
      <x:c r="K42" s="11" t="n">
        <x:f>IF('全量明细'!G535="","",'全量明细'!G535)</x:f>
        <x:v>0.2871</x:v>
      </x:c>
      <x:c r="L42" s="11" t="n">
        <x:f>IF('全量明细'!H535="","",'全量明细'!H535)</x:f>
        <x:v>0.355</x:v>
      </x:c>
      <x:c r="M42" s="11" t="n">
        <x:f>IF('全量明细'!I535="","",'全量明细'!I535)</x:f>
        <x:v>0.4783</x:v>
      </x:c>
      <x:c r="N42" s="14" t="n">
        <x:f>IF('全量明细'!J535="","",'全量明细'!J535)</x:f>
        <x:v>-12.330000000000002</x:v>
      </x:c>
      <x:c r="O42" s="14" t="n">
        <x:f>IF(AND(ISNUMBER(C42),ISNUMBER(I42)),(I42-C42)*100,"")</x:f>
        <x:v>10.112536999999994</x:v>
      </x:c>
      <x:c r="P42" s="17" t="str"/>
    </x:row>
    <x:row r="43" ht="25" customHeight="1">
      <x:c r="A43" s="2" t="str">
        <x:v>欧洛巴斯</x:v>
      </x:c>
      <x:c r="B43" s="2" t="str">
        <x:v>沙堡</x:v>
      </x:c>
      <x:c r="C43" s="28" t="n">
        <x:f>IF('全量明细'!E36="","",'全量明细'!E36)</x:f>
        <x:v>0.3695732</x:v>
      </x:c>
      <x:c r="D43" s="12" t="n">
        <x:f>IF('全量明细'!F36="","",'全量明细'!F36)</x:f>
        <x:v>7490</x:v>
      </x:c>
      <x:c r="E43" s="11" t="n">
        <x:f>IF('全量明细'!G36="","",'全量明细'!G36)</x:f>
        <x:v>0.19440000000000002</x:v>
      </x:c>
      <x:c r="F43" s="11" t="n">
        <x:f>IF('全量明细'!H36="","",'全量明细'!H36)</x:f>
        <x:v>0.3015</x:v>
      </x:c>
      <x:c r="G43" s="11" t="n">
        <x:f>IF('全量明细'!I36="","",'全量明细'!I36)</x:f>
        <x:v>0.386</x:v>
      </x:c>
      <x:c r="H43" s="14" t="n">
        <x:f>IF('全量明细'!J36="","",'全量明细'!J36)</x:f>
        <x:v>-8.450000000000003</x:v>
      </x:c>
      <x:c r="I43" s="28" t="n">
        <x:f>IF('全量明细'!E533="","",'全量明细'!E533)</x:f>
        <x:v>0.46513967999999994</x:v>
      </x:c>
      <x:c r="J43" s="12" t="n">
        <x:f>IF('全量明细'!F533="","",'全量明细'!F533)</x:f>
        <x:v>2756</x:v>
      </x:c>
      <x:c r="K43" s="11" t="n">
        <x:f>IF('全量明细'!G533="","",'全量明细'!G533)</x:f>
        <x:v>0.1912</x:v>
      </x:c>
      <x:c r="L43" s="11" t="n">
        <x:f>IF('全量明细'!H533="","",'全量明细'!H533)</x:f>
        <x:v>0.41369999999999996</x:v>
      </x:c>
      <x:c r="M43" s="11" t="n">
        <x:f>IF('全量明细'!I533="","",'全量明细'!I533)</x:f>
        <x:v>0.47729999999999995</x:v>
      </x:c>
      <x:c r="N43" s="14" t="n">
        <x:f>IF('全量明细'!J533="","",'全量明细'!J533)</x:f>
        <x:v>-6.359999999999999</x:v>
      </x:c>
      <x:c r="O43" s="14" t="n">
        <x:f>IF(AND(ISNUMBER(C43),ISNUMBER(I43)),(I43-C43)*100,"")</x:f>
        <x:v>9.556647999999996</x:v>
      </x:c>
      <x:c r="P43" s="17" t="str"/>
    </x:row>
    <x:row r="44" ht="25" customHeight="1">
      <x:c r="A44" s="20" t="str">
        <x:v>佩尔</x:v>
      </x:c>
      <x:c r="B44" s="20" t="str">
        <x:v>佩尔的士兵</x:v>
      </x:c>
      <x:c r="C44" s="27" t="n">
        <x:f>IF('全量明细'!E44="","",'全量明细'!E44)</x:f>
        <x:v>0.38084995</x:v>
      </x:c>
      <x:c r="D44" s="23" t="n">
        <x:f>IF('全量明细'!F44="","",'全量明细'!F44)</x:f>
        <x:v>10237</x:v>
      </x:c>
      <x:c r="E44" s="22" t="n">
        <x:f>IF('全量明细'!G44="","",'全量明细'!G44)</x:f>
        <x:v>0.5657</x:v>
      </x:c>
      <x:c r="F44" s="22" t="n">
        <x:f>IF('全量明细'!H44="","",'全量明细'!H44)</x:f>
        <x:v>0.42579999999999996</x:v>
      </x:c>
      <x:c r="G44" s="22" t="n">
        <x:f>IF('全量明细'!I44="","",'全量明细'!I44)</x:f>
        <x:v>0.3223</x:v>
      </x:c>
      <x:c r="H44" s="24" t="n">
        <x:f>IF('全量明细'!J44="","",'全量明细'!J44)</x:f>
        <x:v>10.349999999999998</x:v>
      </x:c>
      <x:c r="I44" s="27" t="n">
        <x:f>IF('全量明细'!E542="","",'全量明细'!E542)</x:f>
        <x:v>0.4956754</x:v>
      </x:c>
      <x:c r="J44" s="23" t="n">
        <x:f>IF('全量明细'!F542="","",'全量明细'!F542)</x:f>
        <x:v>4773</x:v>
      </x:c>
      <x:c r="K44" s="22" t="n">
        <x:f>IF('全量明细'!G542="","",'全量明细'!G542)</x:f>
        <x:v>0.5535</x:v>
      </x:c>
      <x:c r="L44" s="22" t="n">
        <x:f>IF('全量明细'!H542="","",'全量明细'!H542)</x:f>
        <x:v>0.5155</x:v>
      </x:c>
      <x:c r="M44" s="22" t="n">
        <x:f>IF('全量明细'!I542="","",'全量明细'!I542)</x:f>
        <x:v>0.4711</x:v>
      </x:c>
      <x:c r="N44" s="24" t="n">
        <x:f>IF('全量明细'!J542="","",'全量明细'!J542)</x:f>
        <x:v>4.439999999999994</x:v>
      </x:c>
      <x:c r="O44" s="24" t="n">
        <x:f>IF(AND(ISNUMBER(C44),ISNUMBER(I44)),(I44-C44)*100,"")</x:f>
        <x:v>11.482545</x:v>
      </x:c>
      <x:c r="P44" s="31" t="str"/>
    </x:row>
    <x:row r="45" ht="25" customHeight="1">
      <x:c r="A45" s="2" t="str">
        <x:v>佩尔</x:v>
      </x:c>
      <x:c r="B45" s="2" t="str">
        <x:v>佩尔的增生组织</x:v>
      </x:c>
      <x:c r="C45" s="28" t="n">
        <x:f>IF('全量明细'!E43="","",'全量明细'!E43)</x:f>
        <x:v>0.40863650999999995</x:v>
      </x:c>
      <x:c r="D45" s="12" t="n">
        <x:f>IF('全量明细'!F43="","",'全量明细'!F43)</x:f>
        <x:v>4552</x:v>
      </x:c>
      <x:c r="E45" s="11" t="n">
        <x:f>IF('全量明细'!G43="","",'全量明细'!G43)</x:f>
        <x:v>0.2797</x:v>
      </x:c>
      <x:c r="F45" s="11" t="n">
        <x:f>IF('全量明细'!H43="","",'全量明细'!H43)</x:f>
        <x:v>0.3786</x:v>
      </x:c>
      <x:c r="G45" s="11" t="n">
        <x:f>IF('全量明细'!I43="","",'全量明细'!I43)</x:f>
        <x:v>0.4203</x:v>
      </x:c>
      <x:c r="H45" s="14" t="n">
        <x:f>IF('全量明细'!J43="","",'全量明细'!J43)</x:f>
        <x:v>-4.170000000000002</x:v>
      </x:c>
      <x:c r="I45" s="28" t="n">
        <x:f>IF('全量明细'!E539="","",'全量明细'!E539)</x:f>
        <x:v>0.5104964399999999</x:v>
      </x:c>
      <x:c r="J45" s="12" t="n">
        <x:f>IF('全量明细'!F539="","",'全量明细'!F539)</x:f>
        <x:v>2102</x:v>
      </x:c>
      <x:c r="K45" s="11" t="n">
        <x:f>IF('全量明细'!G539="","",'全量明细'!G539)</x:f>
        <x:v>0.2702</x:v>
      </x:c>
      <x:c r="L45" s="11" t="n">
        <x:f>IF('全量明细'!H539="","",'全量明细'!H539)</x:f>
        <x:v>0.5194</x:v>
      </x:c>
      <x:c r="M45" s="11" t="n">
        <x:f>IF('全量明细'!I539="","",'全量明细'!I539)</x:f>
        <x:v>0.5072</x:v>
      </x:c>
      <x:c r="N45" s="14" t="n">
        <x:f>IF('全量明细'!J539="","",'全量明细'!J539)</x:f>
        <x:v>1.2199999999999989</x:v>
      </x:c>
      <x:c r="O45" s="14" t="n">
        <x:f>IF(AND(ISNUMBER(C45),ISNUMBER(I45)),(I45-C45)*100,"")</x:f>
        <x:v>10.185992999999998</x:v>
      </x:c>
      <x:c r="P45" s="17" t="str"/>
    </x:row>
    <x:row r="46" ht="25" customHeight="1">
      <x:c r="A46" s="2" t="str">
        <x:v>佩尔</x:v>
      </x:c>
      <x:c r="B46" s="2" t="str">
        <x:v>佩尔之角</x:v>
      </x:c>
      <x:c r="C46" s="28" t="n">
        <x:f>IF('全量明细'!E47="","",'全量明细'!E47)</x:f>
        <x:v>0.3786773</x:v>
      </x:c>
      <x:c r="D46" s="12" t="n">
        <x:f>IF('全量明细'!F47="","",'全量明细'!F47)</x:f>
        <x:v>9996</x:v>
      </x:c>
      <x:c r="E46" s="11" t="n">
        <x:f>IF('全量明细'!G47="","",'全量明细'!G47)</x:f>
        <x:v>0.0953</x:v>
      </x:c>
      <x:c r="F46" s="11" t="n">
        <x:f>IF('全量明细'!H47="","",'全量明细'!H47)</x:f>
        <x:v>0.32530000000000003</x:v>
      </x:c>
      <x:c r="G46" s="11" t="n">
        <x:f>IF('全量明细'!I47="","",'全量明细'!I47)</x:f>
        <x:v>0.3843</x:v>
      </x:c>
      <x:c r="H46" s="14" t="n">
        <x:f>IF('全量明细'!J47="","",'全量明细'!J47)</x:f>
        <x:v>-5.899999999999994</x:v>
      </x:c>
      <x:c r="I46" s="28" t="n">
        <x:f>IF('全量明细'!E541="","",'全量明细'!E541)</x:f>
        <x:v>0.49710412</x:v>
      </x:c>
      <x:c r="J46" s="12" t="n">
        <x:f>IF('全量明细'!F541="","",'全量明细'!F541)</x:f>
        <x:v>4784</x:v>
      </x:c>
      <x:c r="K46" s="11" t="n">
        <x:f>IF('全量明细'!G541="","",'全量明细'!G541)</x:f>
        <x:v>0.17579999999999998</x:v>
      </x:c>
      <x:c r="L46" s="11" t="n">
        <x:f>IF('全量明细'!H541="","",'全量明细'!H541)</x:f>
        <x:v>0.5065</x:v>
      </x:c>
      <x:c r="M46" s="11" t="n">
        <x:f>IF('全量明细'!I541="","",'全量明细'!I541)</x:f>
        <x:v>0.4951</x:v>
      </x:c>
      <x:c r="N46" s="14" t="n">
        <x:f>IF('全量明细'!J541="","",'全量明细'!J541)</x:f>
        <x:v>1.1399999999999966</x:v>
      </x:c>
      <x:c r="O46" s="14" t="n">
        <x:f>IF(AND(ISNUMBER(C46),ISNUMBER(I46)),(I46-C46)*100,"")</x:f>
        <x:v>11.842681999999998</x:v>
      </x:c>
      <x:c r="P46" s="17" t="str"/>
    </x:row>
    <x:row r="47" ht="25" customHeight="1">
      <x:c r="A47" s="2" t="str">
        <x:v>佩尔</x:v>
      </x:c>
      <x:c r="B47" s="2" t="str">
        <x:v>佩尔之泪</x:v>
      </x:c>
      <x:c r="C47" s="28" t="n">
        <x:f>IF('全量明细'!E46="","",'全量明细'!E46)</x:f>
        <x:v>0.37927613</x:v>
      </x:c>
      <x:c r="D47" s="12" t="n">
        <x:f>IF('全量明细'!F46="","",'全量明细'!F46)</x:f>
        <x:v>10302</x:v>
      </x:c>
      <x:c r="E47" s="11" t="n">
        <x:f>IF('全量明细'!G46="","",'全量明细'!G46)</x:f>
        <x:v>0.2813</x:v>
      </x:c>
      <x:c r="F47" s="11" t="n">
        <x:f>IF('全量明细'!H46="","",'全量明细'!H46)</x:f>
        <x:v>0.3506</x:v>
      </x:c>
      <x:c r="G47" s="11" t="n">
        <x:f>IF('全量明细'!I46="","",'全量明细'!I46)</x:f>
        <x:v>0.39049999999999996</x:v>
      </x:c>
      <x:c r="H47" s="14" t="n">
        <x:f>IF('全量明细'!J46="","",'全量明细'!J46)</x:f>
        <x:v>-3.9899999999999936</x:v>
      </x:c>
      <x:c r="I47" s="28" t="n">
        <x:f>IF('全量明细'!E545="","",'全量明细'!E545)</x:f>
        <x:v>0.48555046</x:v>
      </x:c>
      <x:c r="J47" s="12" t="n">
        <x:f>IF('全量明细'!F545="","",'全量明细'!F545)</x:f>
        <x:v>4768</x:v>
      </x:c>
      <x:c r="K47" s="11" t="n">
        <x:f>IF('全量明细'!G545="","",'全量明细'!G545)</x:f>
        <x:v>0.3427</x:v>
      </x:c>
      <x:c r="L47" s="11" t="n">
        <x:f>IF('全量明细'!H545="","",'全量明细'!H545)</x:f>
        <x:v>0.4657</x:v>
      </x:c>
      <x:c r="M47" s="11" t="n">
        <x:f>IF('全量明细'!I545="","",'全量明细'!I545)</x:f>
        <x:v>0.4959</x:v>
      </x:c>
      <x:c r="N47" s="14" t="n">
        <x:f>IF('全量明细'!J545="","",'全量明细'!J545)</x:f>
        <x:v>-3.0200000000000005</x:v>
      </x:c>
      <x:c r="O47" s="14" t="n">
        <x:f>IF(AND(ISNUMBER(C47),ISNUMBER(I47)),(I47-C47)*100,"")</x:f>
        <x:v>10.627433000000003</x:v>
      </x:c>
      <x:c r="P47" s="17" t="str"/>
    </x:row>
    <x:row r="48" ht="25" customHeight="1">
      <x:c r="A48" s="2" t="str">
        <x:v>佩尔</x:v>
      </x:c>
      <x:c r="B48" s="2" t="str">
        <x:v>佩尔之肉</x:v>
      </x:c>
      <x:c r="C48" s="28" t="n">
        <x:f>IF('全量明细'!E48="","",'全量明细'!E48)</x:f>
        <x:v>0.37450688</x:v>
      </x:c>
      <x:c r="D48" s="12" t="n">
        <x:f>IF('全量明细'!F48="","",'全量明细'!F48)</x:f>
        <x:v>10414</x:v>
      </x:c>
      <x:c r="E48" s="11" t="n">
        <x:f>IF('全量明细'!G48="","",'全量明细'!G48)</x:f>
        <x:v>0.2756</x:v>
      </x:c>
      <x:c r="F48" s="11" t="n">
        <x:f>IF('全量明细'!H48="","",'全量明细'!H48)</x:f>
        <x:v>0.2983</x:v>
      </x:c>
      <x:c r="G48" s="11" t="n">
        <x:f>IF('全量明细'!I48="","",'全量明细'!I48)</x:f>
        <x:v>0.4035</x:v>
      </x:c>
      <x:c r="H48" s="14" t="n">
        <x:f>IF('全量明细'!J48="","",'全量明细'!J48)</x:f>
        <x:v>-10.520000000000001</x:v>
      </x:c>
      <x:c r="I48" s="28" t="n">
        <x:f>IF('全量明细'!E543="","",'全量明细'!E543)</x:f>
        <x:v>0.49242328</x:v>
      </x:c>
      <x:c r="J48" s="12" t="n">
        <x:f>IF('全量明细'!F543="","",'全量明细'!F543)</x:f>
        <x:v>4833</x:v>
      </x:c>
      <x:c r="K48" s="11" t="n">
        <x:f>IF('全量明细'!G543="","",'全量明细'!G543)</x:f>
        <x:v>0.3151</x:v>
      </x:c>
      <x:c r="L48" s="11" t="n">
        <x:f>IF('全量明细'!H543="","",'全量明细'!H543)</x:f>
        <x:v>0.43270000000000003</x:v>
      </x:c>
      <x:c r="M48" s="11" t="n">
        <x:f>IF('全量明细'!I543="","",'全量明细'!I543)</x:f>
        <x:v>0.5199</x:v>
      </x:c>
      <x:c r="N48" s="14" t="n">
        <x:f>IF('全量明细'!J543="","",'全量明细'!J543)</x:f>
        <x:v>-8.72</x:v>
      </x:c>
      <x:c r="O48" s="14" t="n">
        <x:f>IF(AND(ISNUMBER(C48),ISNUMBER(I48)),(I48-C48)*100,"")</x:f>
        <x:v>11.791640000000003</x:v>
      </x:c>
      <x:c r="P48" s="17" t="str"/>
    </x:row>
    <x:row r="49" ht="25" customHeight="1">
      <x:c r="A49" s="2" t="str">
        <x:v>佩尔</x:v>
      </x:c>
      <x:c r="B49" s="2" t="str">
        <x:v>佩尔之血</x:v>
      </x:c>
      <x:c r="C49" s="28" t="n">
        <x:f>IF('全量明细'!E42="","",'全量明细'!E42)</x:f>
        <x:v>0.42310204000000007</x:v>
      </x:c>
      <x:c r="D49" s="12" t="n">
        <x:f>IF('全量明细'!F42="","",'全量明细'!F42)</x:f>
        <x:v>10173</x:v>
      </x:c>
      <x:c r="E49" s="11" t="n">
        <x:f>IF('全量明细'!G42="","",'全量明细'!G42)</x:f>
        <x:v>0.6092</x:v>
      </x:c>
      <x:c r="F49" s="11" t="n">
        <x:f>IF('全量明细'!H42="","",'全量明细'!H42)</x:f>
        <x:v>0.4988</x:v>
      </x:c>
      <x:c r="G49" s="11" t="n">
        <x:f>IF('全量明细'!I42="","",'全量明细'!I42)</x:f>
        <x:v>0.30510000000000004</x:v>
      </x:c>
      <x:c r="H49" s="14" t="n">
        <x:f>IF('全量明细'!J42="","",'全量明细'!J42)</x:f>
        <x:v>19.369999999999997</x:v>
      </x:c>
      <x:c r="I49" s="28" t="n">
        <x:f>IF('全量明细'!E538="","",'全量明细'!E538)</x:f>
        <x:v>0.532764</x:v>
      </x:c>
      <x:c r="J49" s="12" t="n">
        <x:f>IF('全量明细'!F538="","",'全量明细'!F538)</x:f>
        <x:v>4916</x:v>
      </x:c>
      <x:c r="K49" s="11" t="n">
        <x:f>IF('全量明细'!G538="","",'全量明细'!G538)</x:f>
        <x:v>0.5936</x:v>
      </x:c>
      <x:c r="L49" s="11" t="n">
        <x:f>IF('全量明细'!H538="","",'全量明细'!H538)</x:f>
        <x:v>0.6049</x:v>
      </x:c>
      <x:c r="M49" s="11" t="n">
        <x:f>IF('全量明细'!I538="","",'全量明细'!I538)</x:f>
        <x:v>0.4274</x:v>
      </x:c>
      <x:c r="N49" s="14" t="n">
        <x:f>IF('全量明细'!J538="","",'全量明细'!J538)</x:f>
        <x:v>17.75</x:v>
      </x:c>
      <x:c r="O49" s="14" t="n">
        <x:f>IF(AND(ISNUMBER(C49),ISNUMBER(I49)),(I49-C49)*100,"")</x:f>
        <x:v>10.966195999999995</x:v>
      </x:c>
      <x:c r="P49" s="17" t="str"/>
    </x:row>
    <x:row r="50" ht="25" customHeight="1">
      <x:c r="A50" s="2" t="str">
        <x:v>佩尔</x:v>
      </x:c>
      <x:c r="B50" s="2" t="str">
        <x:v>佩尔之牙</x:v>
      </x:c>
      <x:c r="C50" s="28" t="n">
        <x:f>IF('全量明细'!E50="","",'全量明细'!E50)</x:f>
        <x:v>0.36733383000000003</x:v>
      </x:c>
      <x:c r="D50" s="12" t="n">
        <x:f>IF('全量明细'!F50="","",'全量明细'!F50)</x:f>
        <x:v>8891</x:v>
      </x:c>
      <x:c r="E50" s="11" t="n">
        <x:f>IF('全量明细'!G50="","",'全量明细'!G50)</x:f>
        <x:v>0.1351</x:v>
      </x:c>
      <x:c r="F50" s="11" t="n">
        <x:f>IF('全量明细'!H50="","",'全量明细'!H50)</x:f>
        <x:v>0.2664</x:v>
      </x:c>
      <x:c r="G50" s="11" t="n">
        <x:f>IF('全量明细'!I50="","",'全量明细'!I50)</x:f>
        <x:v>0.3831</x:v>
      </x:c>
      <x:c r="H50" s="14" t="n">
        <x:f>IF('全量明细'!J50="","",'全量明细'!J50)</x:f>
        <x:v>-11.669999999999996</x:v>
      </x:c>
      <x:c r="I50" s="28" t="n">
        <x:f>IF('全量明细'!E544="","",'全量明细'!E544)</x:f>
        <x:v>0.49002546</x:v>
      </x:c>
      <x:c r="J50" s="12" t="n">
        <x:f>IF('全量明细'!F544="","",'全量明细'!F544)</x:f>
        <x:v>4212</x:v>
      </x:c>
      <x:c r="K50" s="11" t="n">
        <x:f>IF('全量明细'!G544="","",'全量明细'!G544)</x:f>
        <x:v>0.1038</x:v>
      </x:c>
      <x:c r="L50" s="11" t="n">
        <x:f>IF('全量明细'!H544="","",'全量明细'!H544)</x:f>
        <x:v>0.3616</x:v>
      </x:c>
      <x:c r="M50" s="11" t="n">
        <x:f>IF('全量明细'!I544="","",'全量明细'!I544)</x:f>
        <x:v>0.5049</x:v>
      </x:c>
      <x:c r="N50" s="14" t="n">
        <x:f>IF('全量明细'!J544="","",'全量明细'!J544)</x:f>
        <x:v>-14.330000000000004</x:v>
      </x:c>
      <x:c r="O50" s="14" t="n">
        <x:f>IF(AND(ISNUMBER(C50),ISNUMBER(I50)),(I50-C50)*100,"")</x:f>
        <x:v>12.269162999999999</x:v>
      </x:c>
      <x:c r="P50" s="17" t="str"/>
    </x:row>
    <x:row r="51" ht="25" customHeight="1">
      <x:c r="A51" s="2" t="str">
        <x:v>佩尔</x:v>
      </x:c>
      <x:c r="B51" s="2" t="str">
        <x:v>佩尔之眼</x:v>
      </x:c>
      <x:c r="C51" s="28" t="n">
        <x:f>IF('全量明细'!E51="","",'全量明细'!E51)</x:f>
        <x:v>0.32948960000000005</x:v>
      </x:c>
      <x:c r="D51" s="12" t="n">
        <x:f>IF('全量明细'!F51="","",'全量明细'!F51)</x:f>
        <x:v>10320</x:v>
      </x:c>
      <x:c r="E51" s="11" t="n">
        <x:f>IF('全量明细'!G51="","",'全量明细'!G51)</x:f>
        <x:v>0.3632</x:v>
      </x:c>
      <x:c r="F51" s="11" t="n">
        <x:f>IF('全量明细'!H51="","",'全量明细'!H51)</x:f>
        <x:v>0.33140000000000003</x:v>
      </x:c>
      <x:c r="G51" s="11" t="n">
        <x:f>IF('全量明细'!I51="","",'全量明细'!I51)</x:f>
        <x:v>0.3284</x:v>
      </x:c>
      <x:c r="H51" s="14" t="n">
        <x:f>IF('全量明细'!J51="","",'全量明细'!J51)</x:f>
        <x:v>0.30000000000000027</x:v>
      </x:c>
      <x:c r="I51" s="28" t="n">
        <x:f>IF('全量明细'!E547="","",'全量明细'!E547)</x:f>
        <x:v>0.44465892</x:v>
      </x:c>
      <x:c r="J51" s="12" t="n">
        <x:f>IF('全量明细'!F547="","",'全量明细'!F547)</x:f>
        <x:v>4696</x:v>
      </x:c>
      <x:c r="K51" s="11" t="n">
        <x:f>IF('全量明细'!G547="","",'全量明细'!G547)</x:f>
        <x:v>0.3458</x:v>
      </x:c>
      <x:c r="L51" s="11" t="n">
        <x:f>IF('全量明细'!H547="","",'全量明细'!H547)</x:f>
        <x:v>0.4495</x:v>
      </x:c>
      <x:c r="M51" s="11" t="n">
        <x:f>IF('全量明细'!I547="","",'全量明细'!I547)</x:f>
        <x:v>0.4421</x:v>
      </x:c>
      <x:c r="N51" s="14" t="n">
        <x:f>IF('全量明细'!J547="","",'全量明细'!J547)</x:f>
        <x:v>0.7400000000000018</x:v>
      </x:c>
      <x:c r="O51" s="14" t="n">
        <x:f>IF(AND(ISNUMBER(C51),ISNUMBER(I51)),(I51-C51)*100,"")</x:f>
        <x:v>11.516931999999997</x:v>
      </x:c>
      <x:c r="P51" s="17" t="str"/>
    </x:row>
    <x:row r="52" ht="25" customHeight="1">
      <x:c r="A52" s="2" t="str">
        <x:v>佩尔</x:v>
      </x:c>
      <x:c r="B52" s="2" t="str">
        <x:v>佩尔之翼</x:v>
      </x:c>
      <x:c r="C52" s="28" t="n">
        <x:f>IF('全量明细'!E49="","",'全量明细'!E49)</x:f>
        <x:v>0.37093035</x:v>
      </x:c>
      <x:c r="D52" s="12" t="n">
        <x:f>IF('全量明细'!F49="","",'全量明细'!F49)</x:f>
        <x:v>8926</x:v>
      </x:c>
      <x:c r="E52" s="11" t="n">
        <x:f>IF('全量明细'!G49="","",'全量明细'!G49)</x:f>
        <x:v>0.3615</x:v>
      </x:c>
      <x:c r="F52" s="11" t="n">
        <x:f>IF('全量明细'!H49="","",'全量明细'!H49)</x:f>
        <x:v>0.28850000000000003</x:v>
      </x:c>
      <x:c r="G52" s="11" t="n">
        <x:f>IF('全量明细'!I49="","",'全量明细'!I49)</x:f>
        <x:v>0.41759999999999997</x:v>
      </x:c>
      <x:c r="H52" s="14" t="n">
        <x:f>IF('全量明细'!J49="","",'全量明细'!J49)</x:f>
        <x:v>-12.909999999999993</x:v>
      </x:c>
      <x:c r="I52" s="28" t="n">
        <x:f>IF('全量明细'!E540="","",'全量明细'!E540)</x:f>
        <x:v>0.49740276</x:v>
      </x:c>
      <x:c r="J52" s="12" t="n">
        <x:f>IF('全量明细'!F540="","",'全量明细'!F540)</x:f>
        <x:v>4184</x:v>
      </x:c>
      <x:c r="K52" s="11" t="n">
        <x:f>IF('全量明细'!G540="","",'全量明细'!G540)</x:f>
        <x:v>0.2937</x:v>
      </x:c>
      <x:c r="L52" s="11" t="n">
        <x:f>IF('全量明细'!H540="","",'全量明细'!H540)</x:f>
        <x:v>0.42310000000000003</x:v>
      </x:c>
      <x:c r="M52" s="11" t="n">
        <x:f>IF('全量明细'!I540="","",'全量明细'!I540)</x:f>
        <x:v>0.5283</x:v>
      </x:c>
      <x:c r="N52" s="14" t="n">
        <x:f>IF('全量明细'!J540="","",'全量明细'!J540)</x:f>
        <x:v>-10.519999999999996</x:v>
      </x:c>
      <x:c r="O52" s="14" t="n">
        <x:f>IF(AND(ISNUMBER(C52),ISNUMBER(I52)),(I52-C52)*100,"")</x:f>
        <x:v>12.647240999999998</x:v>
      </x:c>
      <x:c r="P52" s="17" t="str"/>
    </x:row>
    <x:row r="53" ht="25" customHeight="1">
      <x:c r="A53" s="2" t="str">
        <x:v>佩尔</x:v>
      </x:c>
      <x:c r="B53" s="2" t="str">
        <x:v>佩尔之爪</x:v>
      </x:c>
      <x:c r="C53" s="28" t="n">
        <x:f>IF('全量明细'!E45="","",'全量明细'!E45)</x:f>
        <x:v>0.37979123000000004</x:v>
      </x:c>
      <x:c r="D53" s="12" t="n">
        <x:f>IF('全量明细'!F45="","",'全量明细'!F45)</x:f>
        <x:v>8417</x:v>
      </x:c>
      <x:c r="E53" s="11" t="n">
        <x:f>IF('全量明细'!G45="","",'全量明细'!G45)</x:f>
        <x:v>0.2923</x:v>
      </x:c>
      <x:c r="F53" s="11" t="n">
        <x:f>IF('全量明细'!H45="","",'全量明细'!H45)</x:f>
        <x:v>0.33740000000000003</x:v>
      </x:c>
      <x:c r="G53" s="11" t="n">
        <x:f>IF('全量明细'!I45="","",'全量明细'!I45)</x:f>
        <x:v>0.3973</x:v>
      </x:c>
      <x:c r="H53" s="14" t="n">
        <x:f>IF('全量明细'!J45="","",'全量明细'!J45)</x:f>
        <x:v>-5.989999999999995</x:v>
      </x:c>
      <x:c r="I53" s="28" t="n">
        <x:f>IF('全量明细'!E546="","",'全量明细'!E546)</x:f>
        <x:v>0.47670272</x:v>
      </x:c>
      <x:c r="J53" s="12" t="n">
        <x:f>IF('全量明细'!F546="","",'全量明细'!F546)</x:f>
        <x:v>3902</x:v>
      </x:c>
      <x:c r="K53" s="11" t="n">
        <x:f>IF('全量明细'!G546="","",'全量明细'!G546)</x:f>
        <x:v>0.2396</x:v>
      </x:c>
      <x:c r="L53" s="11" t="n">
        <x:f>IF('全量明细'!H546="","",'全量明细'!H546)</x:f>
        <x:v>0.4107</x:v>
      </x:c>
      <x:c r="M53" s="11" t="n">
        <x:f>IF('全量明细'!I546="","",'全量明细'!I546)</x:f>
        <x:v>0.4975</x:v>
      </x:c>
      <x:c r="N53" s="14" t="n">
        <x:f>IF('全量明细'!J546="","",'全量明细'!J546)</x:f>
        <x:v>-8.68</x:v>
      </x:c>
      <x:c r="O53" s="14" t="n">
        <x:f>IF(AND(ISNUMBER(C53),ISNUMBER(I53)),(I53-C53)*100,"")</x:f>
        <x:v>9.691149</x:v>
      </x:c>
      <x:c r="P53" s="17" t="str"/>
    </x:row>
    <x:row r="54" ht="25" customHeight="1">
      <x:c r="A54" s="20" t="str">
        <x:v>特兹卡塔拉</x:v>
      </x:c>
      <x:c r="B54" s="20" t="str">
        <x:v>大～抱抱</x:v>
      </x:c>
      <x:c r="C54" s="27" t="n">
        <x:f>IF('全量明细'!E59="","",'全量明细'!E59)</x:f>
        <x:v>0.38440799999999997</x:v>
      </x:c>
      <x:c r="D54" s="23" t="n">
        <x:f>IF('全量明细'!F59="","",'全量明细'!F59)</x:f>
        <x:v>10245</x:v>
      </x:c>
      <x:c r="E54" s="22" t="n">
        <x:f>IF('全量明细'!G59="","",'全量明细'!G59)</x:f>
        <x:v>0.24</x:v>
      </x:c>
      <x:c r="F54" s="22" t="n">
        <x:f>IF('全量明细'!H59="","",'全量明细'!H59)</x:f>
        <x:v>0.44079999999999997</x:v>
      </x:c>
      <x:c r="G54" s="22" t="n">
        <x:f>IF('全量明细'!I59="","",'全量明细'!I59)</x:f>
        <x:v>0.3666</x:v>
      </x:c>
      <x:c r="H54" s="24" t="n">
        <x:f>IF('全量明细'!J59="","",'全量明细'!J59)</x:f>
        <x:v>7.419999999999999</x:v>
      </x:c>
      <x:c r="I54" s="27" t="n">
        <x:f>IF('全量明细'!E556="","",'全量明细'!E556)</x:f>
        <x:v>0.48787165999999993</x:v>
      </x:c>
      <x:c r="J54" s="23" t="n">
        <x:f>IF('全量明细'!F556="","",'全量明细'!F556)</x:f>
        <x:v>4870</x:v>
      </x:c>
      <x:c r="K54" s="22" t="n">
        <x:f>IF('全量明细'!G556="","",'全量明细'!G556)</x:f>
        <x:v>0.2758</x:v>
      </x:c>
      <x:c r="L54" s="22" t="n">
        <x:f>IF('全量明细'!H556="","",'全量明细'!H556)</x:f>
        <x:v>0.5368999999999999</x:v>
      </x:c>
      <x:c r="M54" s="22" t="n">
        <x:f>IF('全量明细'!I556="","",'全量明细'!I556)</x:f>
        <x:v>0.4692</x:v>
      </x:c>
      <x:c r="N54" s="24" t="n">
        <x:f>IF('全量明细'!J556="","",'全量明细'!J556)</x:f>
        <x:v>6.7699999999999925</x:v>
      </x:c>
      <x:c r="O54" s="24" t="n">
        <x:f>IF(AND(ISNUMBER(C54),ISNUMBER(I54)),(I54-C54)*100,"")</x:f>
        <x:v>10.346365999999996</x:v>
      </x:c>
      <x:c r="P54" s="31" t="str"/>
    </x:row>
    <x:row r="55" ht="25" customHeight="1">
      <x:c r="A55" s="2" t="str">
        <x:v>特兹卡塔拉</x:v>
      </x:c>
      <x:c r="B55" s="2" t="str">
        <x:v>故事书</x:v>
      </x:c>
      <x:c r="C55" s="28" t="n">
        <x:f>IF('全量明细'!E52="","",'全量明细'!E52)</x:f>
        <x:v>0.43342476</x:v>
      </x:c>
      <x:c r="D55" s="12" t="n">
        <x:f>IF('全量明细'!F52="","",'全量明细'!F52)</x:f>
        <x:v>10369</x:v>
      </x:c>
      <x:c r="E55" s="11" t="n">
        <x:f>IF('全量明细'!G52="","",'全量明细'!G52)</x:f>
        <x:v>0.7188</x:v>
      </x:c>
      <x:c r="F55" s="11" t="n">
        <x:f>IF('全量明细'!H52="","",'全量明细'!H52)</x:f>
        <x:v>0.48479999999999995</x:v>
      </x:c>
      <x:c r="G55" s="11" t="n">
        <x:f>IF('全量明细'!I52="","",'全量明细'!I52)</x:f>
        <x:v>0.30210000000000004</x:v>
      </x:c>
      <x:c r="H55" s="14" t="n">
        <x:f>IF('全量明细'!J52="","",'全量明细'!J52)</x:f>
        <x:v>18.269999999999992</x:v>
      </x:c>
      <x:c r="I55" s="28" t="n">
        <x:f>IF('全量明细'!E552="","",'全量明细'!E552)</x:f>
        <x:v>0.4988864</x:v>
      </x:c>
      <x:c r="J55" s="12" t="n">
        <x:f>IF('全量明细'!F552="","",'全量明细'!F552)</x:f>
        <x:v>4881</x:v>
      </x:c>
      <x:c r="K55" s="11" t="n">
        <x:f>IF('全量明细'!G552="","",'全量明细'!G552)</x:f>
        <x:v>0.2928</x:v>
      </x:c>
      <x:c r="L55" s="11" t="n">
        <x:f>IF('全量明细'!H552="","",'全量明细'!H552)</x:f>
        <x:v>0.5346</x:v>
      </x:c>
      <x:c r="M55" s="11" t="n">
        <x:f>IF('全量明细'!I552="","",'全量明细'!I552)</x:f>
        <x:v>0.4841</x:v>
      </x:c>
      <x:c r="N55" s="14" t="n">
        <x:f>IF('全量明细'!J552="","",'全量明细'!J552)</x:f>
        <x:v>5.049999999999999</x:v>
      </x:c>
      <x:c r="O55" s="14" t="n">
        <x:f>IF(AND(ISNUMBER(C55),ISNUMBER(I55)),(I55-C55)*100,"")</x:f>
        <x:v>6.546163999999999</x:v>
      </x:c>
      <x:c r="P55" s="17" t="str"/>
    </x:row>
    <x:row r="56" ht="25" customHeight="1">
      <x:c r="A56" s="2" t="str">
        <x:v>特兹卡塔拉</x:v>
      </x:c>
      <x:c r="B56" s="2" t="str">
        <x:v>烘焙手套</x:v>
      </x:c>
      <x:c r="C56" s="28" t="n">
        <x:f>IF('全量明细'!E61="","",'全量明细'!E61)</x:f>
        <x:v>0.3654964</x:v>
      </x:c>
      <x:c r="D56" s="12" t="n">
        <x:f>IF('全量明细'!F61="","",'全量明细'!F61)</x:f>
        <x:v>10510</x:v>
      </x:c>
      <x:c r="E56" s="11" t="n">
        <x:f>IF('全量明细'!G61="","",'全量明细'!G61)</x:f>
        <x:v>0.0546</x:v>
      </x:c>
      <x:c r="F56" s="11" t="n">
        <x:f>IF('全量明细'!H61="","",'全量明细'!H61)</x:f>
        <x:v>0.3031</x:v>
      </x:c>
      <x:c r="G56" s="11" t="n">
        <x:f>IF('全量明细'!I61="","",'全量明细'!I61)</x:f>
        <x:v>0.3691</x:v>
      </x:c>
      <x:c r="H56" s="14" t="n">
        <x:f>IF('全量明细'!J61="","",'全量明细'!J61)</x:f>
        <x:v>-6.6000000000000005</x:v>
      </x:c>
      <x:c r="I56" s="28" t="n">
        <x:f>IF('全量明细'!E549="","",'全量明细'!E549)</x:f>
        <x:v>0.51462466</x:v>
      </x:c>
      <x:c r="J56" s="12" t="n">
        <x:f>IF('全量明细'!F549="","",'全量明细'!F549)</x:f>
        <x:v>4951</x:v>
      </x:c>
      <x:c r="K56" s="11" t="n">
        <x:f>IF('全量明细'!G549="","",'全量明细'!G549)</x:f>
        <x:v>0.4633</x:v>
      </x:c>
      <x:c r="L56" s="11" t="n">
        <x:f>IF('全量明细'!H549="","",'全量明细'!H549)</x:f>
        <x:v>0.5362</x:v>
      </x:c>
      <x:c r="M56" s="11" t="n">
        <x:f>IF('全量明细'!I549="","",'全量明细'!I549)</x:f>
        <x:v>0.496</x:v>
      </x:c>
      <x:c r="N56" s="14" t="n">
        <x:f>IF('全量明细'!J549="","",'全量明细'!J549)</x:f>
        <x:v>4.020000000000001</x:v>
      </x:c>
      <x:c r="O56" s="14" t="n">
        <x:f>IF(AND(ISNUMBER(C56),ISNUMBER(I56)),(I56-C56)*100,"")</x:f>
        <x:v>14.912825999999995</x:v>
      </x:c>
      <x:c r="P56" s="17" t="str"/>
    </x:row>
    <x:row r="57" ht="25" customHeight="1">
      <x:c r="A57" s="2" t="str">
        <x:v>特兹卡塔拉</x:v>
      </x:c>
      <x:c r="B57" s="2" t="str">
        <x:v>黄金罗盘</x:v>
      </x:c>
      <x:c r="C57" s="28" t="n">
        <x:f>IF('全量明细'!E56="","",'全量明细'!E56)</x:f>
        <x:v>0.39567904000000004</x:v>
      </x:c>
      <x:c r="D57" s="12" t="n">
        <x:f>IF('全量明细'!F56="","",'全量明细'!F56)</x:f>
        <x:v>8272</x:v>
      </x:c>
      <x:c r="E57" s="11" t="n">
        <x:f>IF('全量明细'!G56="","",'全量明细'!G56)</x:f>
        <x:v>0.2626</x:v>
      </x:c>
      <x:c r="F57" s="11" t="n">
        <x:f>IF('全量明细'!H56="","",'全量明细'!H56)</x:f>
        <x:v>0.3886</x:v>
      </x:c>
      <x:c r="G57" s="11" t="n">
        <x:f>IF('全量明细'!I56="","",'全量明细'!I56)</x:f>
        <x:v>0.3982</x:v>
      </x:c>
      <x:c r="H57" s="14" t="n">
        <x:f>IF('全量明细'!J56="","",'全量明细'!J56)</x:f>
        <x:v>-0.9599999999999997</x:v>
      </x:c>
      <x:c r="I57" s="28" t="n">
        <x:f>IF('全量明细'!E553="","",'全量明细'!E553)</x:f>
        <x:v>0.49730096000000007</x:v>
      </x:c>
      <x:c r="J57" s="12" t="n">
        <x:f>IF('全量明细'!F553="","",'全量明细'!F553)</x:f>
        <x:v>3694</x:v>
      </x:c>
      <x:c r="K57" s="11" t="n">
        <x:f>IF('全量明细'!G553="","",'全量明细'!G553)</x:f>
        <x:v>0.21059999999999998</x:v>
      </x:c>
      <x:c r="L57" s="11" t="n">
        <x:f>IF('全量明细'!H553="","",'全量明细'!H553)</x:f>
        <x:v>0.4512</x:v>
      </x:c>
      <x:c r="M57" s="11" t="n">
        <x:f>IF('全量明细'!I553="","",'全量明细'!I553)</x:f>
        <x:v>0.5096</x:v>
      </x:c>
      <x:c r="N57" s="14" t="n">
        <x:f>IF('全量明细'!J553="","",'全量明细'!J553)</x:f>
        <x:v>-5.840000000000006</x:v>
      </x:c>
      <x:c r="O57" s="14" t="n">
        <x:f>IF(AND(ISNUMBER(C57),ISNUMBER(I57)),(I57-C57)*100,"")</x:f>
        <x:v>10.162192000000003</x:v>
      </x:c>
      <x:c r="P57" s="17" t="str"/>
    </x:row>
    <x:row r="58" ht="25" customHeight="1">
      <x:c r="A58" s="2" t="str">
        <x:v>特兹卡塔拉</x:v>
      </x:c>
      <x:c r="B58" s="2" t="str">
        <x:v>黄金印</x:v>
      </x:c>
      <x:c r="C58" s="28" t="n">
        <x:f>IF('全量明细'!E55="","",'全量明细'!E55)</x:f>
        <x:v>0.39810393000000005</x:v>
      </x:c>
      <x:c r="D58" s="12" t="n">
        <x:f>IF('全量明细'!F55="","",'全量明细'!F55)</x:f>
        <x:v>7662</x:v>
      </x:c>
      <x:c r="E58" s="11" t="n">
        <x:f>IF('全量明细'!G55="","",'全量明细'!G55)</x:f>
        <x:v>0.1303</x:v>
      </x:c>
      <x:c r="F58" s="11" t="n">
        <x:f>IF('全量明细'!H55="","",'全量明细'!H55)</x:f>
        <x:v>0.4008</x:v>
      </x:c>
      <x:c r="G58" s="11" t="n">
        <x:f>IF('全量明细'!I55="","",'全量明细'!I55)</x:f>
        <x:v>0.39770000000000005</x:v>
      </x:c>
      <x:c r="H58" s="14" t="n">
        <x:f>IF('全量明细'!J55="","",'全量明细'!J55)</x:f>
        <x:v>0.3099999999999936</x:v>
      </x:c>
      <x:c r="I58" s="28" t="n">
        <x:f>IF('全量明细'!E548="","",'全量明细'!E548)</x:f>
        <x:v>0.5146769600000001</x:v>
      </x:c>
      <x:c r="J58" s="12" t="n">
        <x:f>IF('全量明细'!F548="","",'全量明细'!F548)</x:f>
        <x:v>3723</x:v>
      </x:c>
      <x:c r="K58" s="11" t="n">
        <x:f>IF('全量明细'!G548="","",'全量明细'!G548)</x:f>
        <x:v>0.2434</x:v>
      </x:c>
      <x:c r="L58" s="11" t="n">
        <x:f>IF('全量明细'!H548="","",'全量明细'!H548)</x:f>
        <x:v>0.5861</x:v>
      </x:c>
      <x:c r="M58" s="11" t="n">
        <x:f>IF('全量明细'!I548="","",'全量明细'!I548)</x:f>
        <x:v>0.4917</x:v>
      </x:c>
      <x:c r="N58" s="14" t="n">
        <x:f>IF('全量明细'!J548="","",'全量明细'!J548)</x:f>
        <x:v>9.439999999999992</x:v>
      </x:c>
      <x:c r="O58" s="14" t="n">
        <x:f>IF(AND(ISNUMBER(C58),ISNUMBER(I58)),(I58-C58)*100,"")</x:f>
        <x:v>11.657303000000002</x:v>
      </x:c>
      <x:c r="P58" s="17" t="str"/>
    </x:row>
    <x:row r="59" ht="25" customHeight="1">
      <x:c r="A59" s="2" t="str">
        <x:v>特兹卡塔拉</x:v>
      </x:c>
      <x:c r="B59" s="2" t="str">
        <x:v>美味饼干</x:v>
      </x:c>
      <x:c r="C59" s="28" t="n">
        <x:f>IF('全量明细'!E60="","",'全量明细'!E60)</x:f>
        <x:v>0.3717434</x:v>
      </x:c>
      <x:c r="D59" s="12" t="n">
        <x:f>IF('全量明细'!F60="","",'全量明细'!F60)</x:f>
        <x:v>10622</x:v>
      </x:c>
      <x:c r="E59" s="11" t="n">
        <x:f>IF('全量明细'!G60="","",'全量明细'!G60)</x:f>
        <x:v>0.4673</x:v>
      </x:c>
      <x:c r="F59" s="11" t="n">
        <x:f>IF('全量明细'!H60="","",'全量明细'!H60)</x:f>
        <x:v>0.2961</x:v>
      </x:c>
      <x:c r="G59" s="11" t="n">
        <x:f>IF('全量明细'!I60="","",'全量明细'!I60)</x:f>
        <x:v>0.43810000000000004</x:v>
      </x:c>
      <x:c r="H59" s="14" t="n">
        <x:f>IF('全量明细'!J60="","",'全量明细'!J60)</x:f>
        <x:v>-14.200000000000006</x:v>
      </x:c>
      <x:c r="I59" s="28" t="n">
        <x:f>IF('全量明细'!E557="","",'全量明细'!E557)</x:f>
        <x:v>0.48717257999999997</x:v>
      </x:c>
      <x:c r="J59" s="12" t="n">
        <x:f>IF('全量明细'!F557="","",'全量明细'!F557)</x:f>
        <x:v>4877</x:v>
      </x:c>
      <x:c r="K59" s="11" t="n">
        <x:f>IF('全量明细'!G557="","",'全量明细'!G557)</x:f>
        <x:v>0.3982</x:v>
      </x:c>
      <x:c r="L59" s="11" t="n">
        <x:f>IF('全量明细'!H557="","",'全量明细'!H557)</x:f>
        <x:v>0.41609999999999997</x:v>
      </x:c>
      <x:c r="M59" s="11" t="n">
        <x:f>IF('全量明细'!I557="","",'全量明细'!I557)</x:f>
        <x:v>0.5342</x:v>
      </x:c>
      <x:c r="N59" s="14" t="n">
        <x:f>IF('全量明细'!J557="","",'全量明细'!J557)</x:f>
        <x:v>-11.810000000000004</x:v>
      </x:c>
      <x:c r="O59" s="14" t="n">
        <x:f>IF(AND(ISNUMBER(C59),ISNUMBER(I59)),(I59-C59)*100,"")</x:f>
        <x:v>11.542917999999997</x:v>
      </x:c>
      <x:c r="P59" s="17" t="str"/>
    </x:row>
    <x:row r="60" ht="25" customHeight="1">
      <x:c r="A60" s="2" t="str">
        <x:v>特兹卡塔拉</x:v>
      </x:c>
      <x:c r="B60" s="2" t="str">
        <x:v>南瓜蜡烛</x:v>
      </x:c>
      <x:c r="C60" s="28" t="n">
        <x:f>IF('全量明细'!E57="","",'全量明细'!E57)</x:f>
        <x:v>0.39326989</x:v>
      </x:c>
      <x:c r="D60" s="12" t="n">
        <x:f>IF('全量明细'!F57="","",'全量明细'!F57)</x:f>
        <x:v>7573</x:v>
      </x:c>
      <x:c r="E60" s="11" t="n">
        <x:f>IF('全量明细'!G57="","",'全量明细'!G57)</x:f>
        <x:v>0.2913</x:v>
      </x:c>
      <x:c r="F60" s="11" t="n">
        <x:f>IF('全量明细'!H57="","",'全量明细'!H57)</x:f>
        <x:v>0.41119999999999995</x:v>
      </x:c>
      <x:c r="G60" s="11" t="n">
        <x:f>IF('全量明细'!I57="","",'全量明细'!I57)</x:f>
        <x:v>0.3859</x:v>
      </x:c>
      <x:c r="H60" s="14" t="n">
        <x:f>IF('全量明细'!J57="","",'全量明细'!J57)</x:f>
        <x:v>2.529999999999993</x:v>
      </x:c>
      <x:c r="I60" s="28" t="n">
        <x:f>IF('全量明细'!E555="","",'全量明细'!E555)</x:f>
        <x:v>0.49341864</x:v>
      </x:c>
      <x:c r="J60" s="12" t="n">
        <x:f>IF('全量明细'!F555="","",'全量明细'!F555)</x:f>
        <x:v>3557</x:v>
      </x:c>
      <x:c r="K60" s="11" t="n">
        <x:f>IF('全量明细'!G555="","",'全量明细'!G555)</x:f>
        <x:v>0.3272</x:v>
      </x:c>
      <x:c r="L60" s="11" t="n">
        <x:f>IF('全量明细'!H555="","",'全量明细'!H555)</x:f>
        <x:v>0.506</x:v>
      </x:c>
      <x:c r="M60" s="11" t="n">
        <x:f>IF('全量明细'!I555="","",'全量明细'!I555)</x:f>
        <x:v>0.48729999999999996</x:v>
      </x:c>
      <x:c r="N60" s="14" t="n">
        <x:f>IF('全量明细'!J555="","",'全量明细'!J555)</x:f>
        <x:v>1.870000000000005</x:v>
      </x:c>
      <x:c r="O60" s="14" t="n">
        <x:f>IF(AND(ISNUMBER(C60),ISNUMBER(I60)),(I60-C60)*100,"")</x:f>
        <x:v>10.014875</x:v>
      </x:c>
      <x:c r="P60" s="17" t="str"/>
    </x:row>
    <x:row r="61" ht="25" customHeight="1">
      <x:c r="A61" s="2" t="str">
        <x:v>特兹卡塔拉</x:v>
      </x:c>
      <x:c r="B61" s="2" t="str">
        <x:v>烫嘴可可</x:v>
      </x:c>
      <x:c r="C61" s="28" t="n">
        <x:f>IF('全量明细'!E54="","",'全量明细'!E54)</x:f>
        <x:v>0.3997062</x:v>
      </x:c>
      <x:c r="D61" s="12" t="n">
        <x:f>IF('全量明细'!F54="","",'全量明细'!F54)</x:f>
        <x:v>10308</x:v>
      </x:c>
      <x:c r="E61" s="11" t="n">
        <x:f>IF('全量明细'!G54="","",'全量明细'!G54)</x:f>
        <x:v>0.43799999999999994</x:v>
      </x:c>
      <x:c r="F61" s="11" t="n">
        <x:f>IF('全量明细'!H54="","",'全量明细'!H54)</x:f>
        <x:v>0.3575</x:v>
      </x:c>
      <x:c r="G61" s="11" t="n">
        <x:f>IF('全量明细'!I54="","",'全量明细'!I54)</x:f>
        <x:v>0.4326</x:v>
      </x:c>
      <x:c r="H61" s="14" t="n">
        <x:f>IF('全量明细'!J54="","",'全量明细'!J54)</x:f>
        <x:v>-7.51</x:v>
      </x:c>
      <x:c r="I61" s="28" t="n">
        <x:f>IF('全量明细'!E551="","",'全量明细'!E551)</x:f>
        <x:v>0.5002883</x:v>
      </x:c>
      <x:c r="J61" s="12" t="n">
        <x:f>IF('全量明细'!F551="","",'全量明细'!F551)</x:f>
        <x:v>4869</x:v>
      </x:c>
      <x:c r="K61" s="11" t="n">
        <x:f>IF('全量明细'!G551="","",'全量明细'!G551)</x:f>
        <x:v>0.35100000000000003</x:v>
      </x:c>
      <x:c r="L61" s="11" t="n">
        <x:f>IF('全量明细'!H551="","",'全量明细'!H551)</x:f>
        <x:v>0.457</x:v>
      </x:c>
      <x:c r="M61" s="11" t="n">
        <x:f>IF('全量明细'!I551="","",'全量明细'!I551)</x:f>
        <x:v>0.5236999999999999</x:v>
      </x:c>
      <x:c r="N61" s="14" t="n">
        <x:f>IF('全量明细'!J551="","",'全量明细'!J551)</x:f>
        <x:v>-6.669999999999993</x:v>
      </x:c>
      <x:c r="O61" s="14" t="n">
        <x:f>IF(AND(ISNUMBER(C61),ISNUMBER(I61)),(I61-C61)*100,"")</x:f>
        <x:v>10.05821</x:v>
      </x:c>
      <x:c r="P61" s="17" t="str"/>
    </x:row>
    <x:row r="62" ht="25" customHeight="1">
      <x:c r="A62" s="2" t="str">
        <x:v>特兹卡塔拉</x:v>
      </x:c>
      <x:c r="B62" s="2" t="str">
        <x:v>玩具盒</x:v>
      </x:c>
      <x:c r="C62" s="28" t="n">
        <x:f>IF('全量明细'!E58="","",'全量明细'!E58)</x:f>
        <x:v>0.3872965500000001</x:v>
      </x:c>
      <x:c r="D62" s="12" t="n">
        <x:f>IF('全量明细'!F58="","",'全量明细'!F58)</x:f>
        <x:v>7689</x:v>
      </x:c>
      <x:c r="E62" s="11" t="n">
        <x:f>IF('全量明细'!G58="","",'全量明细'!G58)</x:f>
        <x:v>0.1877</x:v>
      </x:c>
      <x:c r="F62" s="11" t="n">
        <x:f>IF('全量明细'!H58="","",'全量明细'!H58)</x:f>
        <x:v>0.3479</x:v>
      </x:c>
      <x:c r="G62" s="11" t="n">
        <x:f>IF('全量明细'!I58="","",'全量明细'!I58)</x:f>
        <x:v>0.39640000000000003</x:v>
      </x:c>
      <x:c r="H62" s="14" t="n">
        <x:f>IF('全量明细'!J58="","",'全量明细'!J58)</x:f>
        <x:v>-4.850000000000004</x:v>
      </x:c>
      <x:c r="I62" s="28" t="n">
        <x:f>IF('全量明细'!E554="","",'全量明细'!E554)</x:f>
        <x:v>0.49667171000000004</x:v>
      </x:c>
      <x:c r="J62" s="12" t="n">
        <x:f>IF('全量明细'!F554="","",'全量明细'!F554)</x:f>
        <x:v>3749</x:v>
      </x:c>
      <x:c r="K62" s="11" t="n">
        <x:f>IF('全量明细'!G554="","",'全量明细'!G554)</x:f>
        <x:v>0.2627</x:v>
      </x:c>
      <x:c r="L62" s="11" t="n">
        <x:f>IF('全量明细'!H554="","",'全量明细'!H554)</x:f>
        <x:v>0.5168</x:v>
      </x:c>
      <x:c r="M62" s="11" t="n">
        <x:f>IF('全量明细'!I554="","",'全量明细'!I554)</x:f>
        <x:v>0.48950000000000005</x:v>
      </x:c>
      <x:c r="N62" s="14" t="n">
        <x:f>IF('全量明细'!J554="","",'全量明细'!J554)</x:f>
        <x:v>2.729999999999999</x:v>
      </x:c>
      <x:c r="O62" s="14" t="n">
        <x:f>IF(AND(ISNUMBER(C62),ISNUMBER(I62)),(I62-C62)*100,"")</x:f>
        <x:v>10.937515999999997</x:v>
      </x:c>
      <x:c r="P62" s="17" t="str"/>
    </x:row>
    <x:row r="63" ht="25" customHeight="1">
      <x:c r="A63" s="2" t="str">
        <x:v>特兹卡塔拉</x:v>
      </x:c>
      <x:c r="B63" s="2" t="str">
        <x:v>营养汤</x:v>
      </x:c>
      <x:c r="C63" s="28" t="n">
        <x:f>IF('全量明细'!E53="","",'全量明细'!E53)</x:f>
        <x:v>0.41156222</x:v>
      </x:c>
      <x:c r="D63" s="12" t="n">
        <x:f>IF('全量明细'!F53="","",'全量明细'!F53)</x:f>
        <x:v>10208</x:v>
      </x:c>
      <x:c r="E63" s="11" t="n">
        <x:f>IF('全量明细'!G53="","",'全量明细'!G53)</x:f>
        <x:v>0.41229999999999994</x:v>
      </x:c>
      <x:c r="F63" s="11" t="n">
        <x:f>IF('全量明细'!H53="","",'全量明细'!H53)</x:f>
        <x:v>0.38299999999999995</x:v>
      </x:c>
      <x:c r="G63" s="11" t="n">
        <x:f>IF('全量明细'!I53="","",'全量明细'!I53)</x:f>
        <x:v>0.4316</x:v>
      </x:c>
      <x:c r="H63" s="14" t="n">
        <x:f>IF('全量明细'!J53="","",'全量明细'!J53)</x:f>
        <x:v>-4.860000000000003</x:v>
      </x:c>
      <x:c r="I63" s="28" t="n">
        <x:f>IF('全量明细'!E550="","",'全量明细'!E550)</x:f>
        <x:v>0.5139962600000001</x:v>
      </x:c>
      <x:c r="J63" s="12" t="n">
        <x:f>IF('全量明细'!F550="","",'全量明细'!F550)</x:f>
        <x:v>4957</x:v>
      </x:c>
      <x:c r="K63" s="11" t="n">
        <x:f>IF('全量明细'!G550="","",'全量明细'!G550)</x:f>
        <x:v>0.4263</x:v>
      </x:c>
      <x:c r="L63" s="11" t="n">
        <x:f>IF('全量明细'!H550="","",'全量明细'!H550)</x:f>
        <x:v>0.49689999999999995</x:v>
      </x:c>
      <x:c r="M63" s="11" t="n">
        <x:f>IF('全量明细'!I550="","",'全量明细'!I550)</x:f>
        <x:v>0.5267000000000001</x:v>
      </x:c>
      <x:c r="N63" s="14" t="n">
        <x:f>IF('全量明细'!J550="","",'全量明细'!J550)</x:f>
        <x:v>-2.98000000000001</x:v>
      </x:c>
      <x:c r="O63" s="14" t="n">
        <x:f>IF(AND(ISNUMBER(C63),ISNUMBER(I63)),(I63-C63)*100,"")</x:f>
        <x:v>10.243404000000012</x:v>
      </x:c>
      <x:c r="P63" s="17" t="str"/>
    </x:row>
    <x:row r="64" ht="25" customHeight="1">
      <x:c r="A64" s="20" t="str">
        <x:v>诺奴佩普</x:v>
      </x:c>
      <x:c r="B64" s="20" t="str">
        <x:v>布质果实</x:v>
      </x:c>
      <x:c r="C64" s="27" t="n">
        <x:f>IF('全量明细'!E64="","",'全量明细'!E64)</x:f>
        <x:v>0.60603296</x:v>
      </x:c>
      <x:c r="D64" s="23" t="n">
        <x:f>IF('全量明细'!F64="","",'全量明细'!F64)</x:f>
        <x:v>6183</x:v>
      </x:c>
      <x:c r="E64" s="22" t="n">
        <x:f>IF('全量明细'!G64="","",'全量明细'!G64)</x:f>
        <x:v>0.3013</x:v>
      </x:c>
      <x:c r="F64" s="22" t="n">
        <x:f>IF('全量明细'!H64="","",'全量明细'!H64)</x:f>
        <x:v>0.5915</x:v>
      </x:c>
      <x:c r="G64" s="22" t="n">
        <x:f>IF('全量明细'!I64="","",'全量明细'!I64)</x:f>
        <x:v>0.6123</x:v>
      </x:c>
      <x:c r="H64" s="24" t="n">
        <x:f>IF('全量明细'!J64="","",'全量明细'!J64)</x:f>
        <x:v>-2.079999999999993</x:v>
      </x:c>
      <x:c r="I64" s="27" t="n">
        <x:f>IF('全量明细'!E564="","",'全量明细'!E564)</x:f>
        <x:v>0.68661456</x:v>
      </x:c>
      <x:c r="J64" s="23" t="n">
        <x:f>IF('全量明细'!F564="","",'全量明细'!F564)</x:f>
        <x:v>3114</x:v>
      </x:c>
      <x:c r="K64" s="22" t="n">
        <x:f>IF('全量明细'!G564="","",'全量明细'!G564)</x:f>
        <x:v>0.2688</x:v>
      </x:c>
      <x:c r="L64" s="22" t="n">
        <x:f>IF('全量明细'!H564="","",'全量明细'!H564)</x:f>
        <x:v>0.6618999999999999</x:v>
      </x:c>
      <x:c r="M64" s="22" t="n">
        <x:f>IF('全量明细'!I564="","",'全量明细'!I564)</x:f>
        <x:v>0.6957</x:v>
      </x:c>
      <x:c r="N64" s="24" t="n">
        <x:f>IF('全量明细'!J564="","",'全量明细'!J564)</x:f>
        <x:v>-3.3800000000000052</x:v>
      </x:c>
      <x:c r="O64" s="24" t="n">
        <x:f>IF(AND(ISNUMBER(C64),ISNUMBER(I64)),(I64-C64)*100,"")</x:f>
        <x:v>8.058160000000003</x:v>
      </x:c>
      <x:c r="P64" s="31" t="str"/>
    </x:row>
    <x:row r="65" ht="25" customHeight="1">
      <x:c r="A65" s="2" t="str">
        <x:v>诺奴佩普</x:v>
      </x:c>
      <x:c r="B65" s="2" t="str">
        <x:v>赐福鹿角</x:v>
      </x:c>
      <x:c r="C65" s="28" t="n">
        <x:f>IF('全量明细'!E70="","",'全量明细'!E70)</x:f>
        <x:v>0.58431624</x:v>
      </x:c>
      <x:c r="D65" s="12" t="n">
        <x:f>IF('全量明细'!F70="","",'全量明细'!F70)</x:f>
        <x:v>6247</x:v>
      </x:c>
      <x:c r="E65" s="11" t="n">
        <x:f>IF('全量明细'!G70="","",'全量明细'!G70)</x:f>
        <x:v>0.2726</x:v>
      </x:c>
      <x:c r="F65" s="11" t="n">
        <x:f>IF('全量明细'!H70="","",'全量明细'!H70)</x:f>
        <x:v>0.4915</x:v>
      </x:c>
      <x:c r="G65" s="11" t="n">
        <x:f>IF('全量明细'!I70="","",'全量明细'!I70)</x:f>
        <x:v>0.6191</x:v>
      </x:c>
      <x:c r="H65" s="14" t="n">
        <x:f>IF('全量明细'!J70="","",'全量明细'!J70)</x:f>
        <x:v>-12.76</x:v>
      </x:c>
      <x:c r="I65" s="28" t="n">
        <x:f>IF('全量明细'!E567="","",'全量明细'!E567)</x:f>
        <x:v>0.6701945</x:v>
      </x:c>
      <x:c r="J65" s="12" t="n">
        <x:f>IF('全量明细'!F567="","",'全量明细'!F567)</x:f>
        <x:v>3126</x:v>
      </x:c>
      <x:c r="K65" s="11" t="n">
        <x:f>IF('全量明细'!G567="","",'全量明细'!G567)</x:f>
        <x:v>0.2969</x:v>
      </x:c>
      <x:c r="L65" s="11" t="n">
        <x:f>IF('全量明细'!H567="","",'全量明细'!H567)</x:f>
        <x:v>0.6034</x:v>
      </x:c>
      <x:c r="M65" s="11" t="n">
        <x:f>IF('全量明细'!I567="","",'全量明细'!I567)</x:f>
        <x:v>0.6984</x:v>
      </x:c>
      <x:c r="N65" s="14" t="n">
        <x:f>IF('全量明细'!J567="","",'全量明细'!J567)</x:f>
        <x:v>-9.499999999999996</x:v>
      </x:c>
      <x:c r="O65" s="14" t="n">
        <x:f>IF(AND(ISNUMBER(C65),ISNUMBER(I65)),(I65-C65)*100,"")</x:f>
        <x:v>8.587825999999998</x:v>
      </x:c>
      <x:c r="P65" s="17" t="str"/>
    </x:row>
    <x:row r="66" ht="25" customHeight="1">
      <x:c r="A66" s="2" t="str">
        <x:v>诺奴佩普</x:v>
      </x:c>
      <x:c r="B66" s="2" t="str">
        <x:v>华美手镯</x:v>
      </x:c>
      <x:c r="C66" s="28" t="n">
        <x:f>IF('全量明细'!E62="","",'全量明细'!E62)</x:f>
        <x:v>0.64342482</x:v>
      </x:c>
      <x:c r="D66" s="12" t="n">
        <x:f>IF('全量明细'!F62="","",'全量明细'!F62)</x:f>
        <x:v>6156</x:v>
      </x:c>
      <x:c r="E66" s="11" t="n">
        <x:f>IF('全量明细'!G62="","",'全量明细'!G62)</x:f>
        <x:v>0.5439</x:v>
      </x:c>
      <x:c r="F66" s="11" t="n">
        <x:f>IF('全量明细'!H62="","",'全量明细'!H62)</x:f>
        <x:v>0.7454999999999999</x:v>
      </x:c>
      <x:c r="G66" s="11" t="n">
        <x:f>IF('全量明细'!I62="","",'全量明细'!I62)</x:f>
        <x:v>0.5217</x:v>
      </x:c>
      <x:c r="H66" s="14" t="n">
        <x:f>IF('全量明细'!J62="","",'全量明细'!J62)</x:f>
        <x:v>22.37999999999999</x:v>
      </x:c>
      <x:c r="I66" s="28" t="n">
        <x:f>IF('全量明细'!E562="","",'全量明细'!E562)</x:f>
        <x:v>0.6931430000000001</x:v>
      </x:c>
      <x:c r="J66" s="12" t="n">
        <x:f>IF('全量明细'!F562="","",'全量明细'!F562)</x:f>
        <x:v>3112</x:v>
      </x:c>
      <x:c r="K66" s="11" t="n">
        <x:f>IF('全量明细'!G562="","",'全量明细'!G562)</x:f>
        <x:v>0.385</x:v>
      </x:c>
      <x:c r="L66" s="11" t="n">
        <x:f>IF('全量明细'!H562="","",'全量明细'!H562)</x:f>
        <x:v>0.7495999999999999</x:v>
      </x:c>
      <x:c r="M66" s="11" t="n">
        <x:f>IF('全量明细'!I562="","",'全量明细'!I562)</x:f>
        <x:v>0.6578</x:v>
      </x:c>
      <x:c r="N66" s="14" t="n">
        <x:f>IF('全量明细'!J562="","",'全量明细'!J562)</x:f>
        <x:v>9.179999999999989</x:v>
      </x:c>
      <x:c r="O66" s="14" t="n">
        <x:f>IF(AND(ISNUMBER(C66),ISNUMBER(I66)),(I66-C66)*100,"")</x:f>
        <x:v>4.971818000000006</x:v>
      </x:c>
      <x:c r="P66" s="17" t="str"/>
    </x:row>
    <x:row r="67" ht="25" customHeight="1">
      <x:c r="A67" s="2" t="str">
        <x:v>诺奴佩普</x:v>
      </x:c>
      <x:c r="B67" s="2" t="str">
        <x:v>娇嫩蕨草</x:v>
      </x:c>
      <x:c r="C67" s="28" t="n">
        <x:f>IF('全量明细'!E65="","",'全量明细'!E65)</x:f>
        <x:v>0.59720134</x:v>
      </x:c>
      <x:c r="D67" s="12" t="n">
        <x:f>IF('全量明细'!F65="","",'全量明细'!F65)</x:f>
        <x:v>6316</x:v>
      </x:c>
      <x:c r="E67" s="11" t="n">
        <x:f>IF('全量明细'!G65="","",'全量明细'!G65)</x:f>
        <x:v>0.1702</x:v>
      </x:c>
      <x:c r="F67" s="11" t="n">
        <x:f>IF('全量明细'!H65="","",'全量明细'!H65)</x:f>
        <x:v>0.6484000000000001</x:v>
      </x:c>
      <x:c r="G67" s="11" t="n">
        <x:f>IF('全量明细'!I65="","",'全量明细'!I65)</x:f>
        <x:v>0.5867</x:v>
      </x:c>
      <x:c r="H67" s="14" t="n">
        <x:f>IF('全量明细'!J65="","",'全量明细'!J65)</x:f>
        <x:v>6.170000000000009</x:v>
      </x:c>
      <x:c r="I67" s="28" t="n">
        <x:f>IF('全量明细'!E563="","",'全量明细'!E563)</x:f>
        <x:v>0.68905647</x:v>
      </x:c>
      <x:c r="J67" s="12" t="n">
        <x:f>IF('全量明细'!F563="","",'全量明细'!F563)</x:f>
        <x:v>3132</x:v>
      </x:c>
      <x:c r="K67" s="11" t="n">
        <x:f>IF('全量明细'!G563="","",'全量明细'!G563)</x:f>
        <x:v>0.16510000000000002</x:v>
      </x:c>
      <x:c r="L67" s="11" t="n">
        <x:f>IF('全量明细'!H563="","",'全量明细'!H563)</x:f>
        <x:v>0.7389</x:v>
      </x:c>
      <x:c r="M67" s="11" t="n">
        <x:f>IF('全量明细'!I563="","",'全量明细'!I563)</x:f>
        <x:v>0.6792</x:v>
      </x:c>
      <x:c r="N67" s="14" t="n">
        <x:f>IF('全量明细'!J563="","",'全量明细'!J563)</x:f>
        <x:v>5.969999999999997</x:v>
      </x:c>
      <x:c r="O67" s="14" t="n">
        <x:f>IF(AND(ISNUMBER(C67),ISNUMBER(I67)),(I67-C67)*100,"")</x:f>
        <x:v>9.185513</x:v>
      </x:c>
      <x:c r="P67" s="17" t="str"/>
    </x:row>
    <x:row r="68" ht="25" customHeight="1">
      <x:c r="A68" s="2" t="str">
        <x:v>诺奴佩普</x:v>
      </x:c>
      <x:c r="B68" s="2" t="str">
        <x:v>亮片</x:v>
      </x:c>
      <x:c r="C68" s="28" t="n">
        <x:f>IF('全量明细'!E68="","",'全量明细'!E68)</x:f>
        <x:v>0.589388</x:v>
      </x:c>
      <x:c r="D68" s="12" t="n">
        <x:f>IF('全量明细'!F68="","",'全量明细'!F68)</x:f>
        <x:v>6293</x:v>
      </x:c>
      <x:c r="E68" s="11" t="n">
        <x:f>IF('全量明细'!G68="","",'全量明细'!G68)</x:f>
        <x:v>0.42</x:v>
      </x:c>
      <x:c r="F68" s="11" t="n">
        <x:f>IF('全量明细'!H68="","",'全量明细'!H68)</x:f>
        <x:v>0.5640999999999999</x:v>
      </x:c>
      <x:c r="G68" s="11" t="n">
        <x:f>IF('全量明细'!I68="","",'全量明细'!I68)</x:f>
        <x:v>0.6077</x:v>
      </x:c>
      <x:c r="H68" s="14" t="n">
        <x:f>IF('全量明细'!J68="","",'全量明细'!J68)</x:f>
        <x:v>-4.360000000000008</x:v>
      </x:c>
      <x:c r="I68" s="28" t="n">
        <x:f>IF('全量明细'!E560="","",'全量明细'!E560)</x:f>
        <x:v>0.69607912</x:v>
      </x:c>
      <x:c r="J68" s="12" t="n">
        <x:f>IF('全量明细'!F560="","",'全量明细'!F560)</x:f>
        <x:v>3083</x:v>
      </x:c>
      <x:c r="K68" s="11" t="n">
        <x:f>IF('全量明细'!G560="","",'全量明细'!G560)</x:f>
        <x:v>0.4424</x:v>
      </x:c>
      <x:c r="L68" s="11" t="n">
        <x:f>IF('全量明细'!H560="","",'全量明细'!H560)</x:f>
        <x:v>0.6745</x:v>
      </x:c>
      <x:c r="M68" s="11" t="n">
        <x:f>IF('全量明细'!I560="","",'全量明细'!I560)</x:f>
        <x:v>0.7132</x:v>
      </x:c>
      <x:c r="N68" s="14" t="n">
        <x:f>IF('全量明细'!J560="","",'全量明细'!J560)</x:f>
        <x:v>-3.8699999999999957</x:v>
      </x:c>
      <x:c r="O68" s="14" t="n">
        <x:f>IF(AND(ISNUMBER(C68),ISNUMBER(I68)),(I68-C68)*100,"")</x:f>
        <x:v>10.669112000000002</x:v>
      </x:c>
      <x:c r="P68" s="17" t="str"/>
    </x:row>
    <x:row r="69" ht="25" customHeight="1">
      <x:c r="A69" s="2" t="str">
        <x:v>诺奴佩普</x:v>
      </x:c>
      <x:c r="B69" s="2" t="str">
        <x:v>皮草大衣</x:v>
      </x:c>
      <x:c r="C69" s="28" t="n">
        <x:f>IF('全量明细'!E71="","",'全量明细'!E71)</x:f>
        <x:v>0.5826422600000001</x:v>
      </x:c>
      <x:c r="D69" s="12" t="n">
        <x:f>IF('全量明细'!F71="","",'全量明细'!F71)</x:f>
        <x:v>6208</x:v>
      </x:c>
      <x:c r="E69" s="11" t="n">
        <x:f>IF('全量明细'!G71="","",'全量明细'!G71)</x:f>
        <x:v>0.3157</x:v>
      </x:c>
      <x:c r="F69" s="11" t="n">
        <x:f>IF('全量明细'!H71="","",'全量明细'!H71)</x:f>
        <x:v>0.4607</x:v>
      </x:c>
      <x:c r="G69" s="11" t="n">
        <x:f>IF('全量明细'!I71="","",'全量明细'!I71)</x:f>
        <x:v>0.6389</x:v>
      </x:c>
      <x:c r="H69" s="14" t="n">
        <x:f>IF('全量明细'!J71="","",'全量明细'!J71)</x:f>
        <x:v>-17.820000000000004</x:v>
      </x:c>
      <x:c r="I69" s="28" t="n">
        <x:f>IF('全量明细'!E566="","",'全量明细'!E566)</x:f>
        <x:v>0.6787308000000001</x:v>
      </x:c>
      <x:c r="J69" s="12" t="n">
        <x:f>IF('全量明细'!F566="","",'全量明细'!F566)</x:f>
        <x:v>3116</x:v>
      </x:c>
      <x:c r="K69" s="11" t="n">
        <x:f>IF('全量明细'!G566="","",'全量明细'!G566)</x:f>
        <x:v>0.29109999999999997</x:v>
      </x:c>
      <x:c r="L69" s="11" t="n">
        <x:f>IF('全量明细'!H566="","",'全量明细'!H566)</x:f>
        <x:v>0.5568</x:v>
      </x:c>
      <x:c r="M69" s="11" t="n">
        <x:f>IF('全量明细'!I566="","",'全量明细'!I566)</x:f>
        <x:v>0.7288</x:v>
      </x:c>
      <x:c r="N69" s="14" t="n">
        <x:f>IF('全量明细'!J566="","",'全量明细'!J566)</x:f>
        <x:v>-17.200000000000003</x:v>
      </x:c>
      <x:c r="O69" s="14" t="n">
        <x:f>IF(AND(ISNUMBER(C69),ISNUMBER(I69)),(I69-C69)*100,"")</x:f>
        <x:v>9.608854000000001</x:v>
      </x:c>
      <x:c r="P69" s="17" t="str"/>
    </x:row>
    <x:row r="70" ht="25" customHeight="1">
      <x:c r="A70" s="2" t="str">
        <x:v>诺奴佩普</x:v>
      </x:c>
      <x:c r="B70" s="2" t="str">
        <x:v>图章戒指</x:v>
      </x:c>
      <x:c r="C70" s="28" t="n">
        <x:f>IF('全量明细'!E63="","",'全量明细'!E63)</x:f>
        <x:v>0.6105816399999999</x:v>
      </x:c>
      <x:c r="D70" s="12" t="n">
        <x:f>IF('全量明细'!F63="","",'全量明细'!F63)</x:f>
        <x:v>6312</x:v>
      </x:c>
      <x:c r="E70" s="11" t="n">
        <x:f>IF('全量明细'!G63="","",'全量明细'!G63)</x:f>
        <x:v>0.5158</x:v>
      </x:c>
      <x:c r="F70" s="11" t="n">
        <x:f>IF('全量明细'!H63="","",'全量明细'!H63)</x:f>
        <x:v>0.6376</x:v>
      </x:c>
      <x:c r="G70" s="11" t="n">
        <x:f>IF('全量明细'!I63="","",'全量明细'!I63)</x:f>
        <x:v>0.5818</x:v>
      </x:c>
      <x:c r="H70" s="14" t="n">
        <x:f>IF('全量明细'!J63="","",'全量明细'!J63)</x:f>
        <x:v>5.5799999999999965</x:v>
      </x:c>
      <x:c r="I70" s="28" t="n">
        <x:f>IF('全量明细'!E558="","",'全量明细'!E558)</x:f>
        <x:v>0.7081292</x:v>
      </x:c>
      <x:c r="J70" s="12" t="n">
        <x:f>IF('全量明细'!F558="","",'全量明细'!F558)</x:f>
        <x:v>3142</x:v>
      </x:c>
      <x:c r="K70" s="11" t="n">
        <x:f>IF('全量明细'!G558="","",'全量明细'!G558)</x:f>
        <x:v>0.499</x:v>
      </x:c>
      <x:c r="L70" s="11" t="n">
        <x:f>IF('全量明细'!H558="","",'全量明细'!H558)</x:f>
        <x:v>0.7436</x:v>
      </x:c>
      <x:c r="M70" s="11" t="n">
        <x:f>IF('全量明细'!I558="","",'全量明细'!I558)</x:f>
        <x:v>0.6728000000000001</x:v>
      </x:c>
      <x:c r="N70" s="14" t="n">
        <x:f>IF('全量明细'!J558="","",'全量明细'!J558)</x:f>
        <x:v>7.079999999999997</x:v>
      </x:c>
      <x:c r="O70" s="14" t="n">
        <x:f>IF(AND(ISNUMBER(C70),ISNUMBER(I70)),(I70-C70)*100,"")</x:f>
        <x:v>9.75475600000001</x:v>
      </x:c>
      <x:c r="P70" s="17" t="str"/>
    </x:row>
    <x:row r="71" ht="25" customHeight="1">
      <x:c r="A71" s="2" t="str">
        <x:v>诺奴佩普</x:v>
      </x:c>
      <x:c r="B71" s="2" t="str">
        <x:v>艳丽围巾</x:v>
      </x:c>
      <x:c r="C71" s="28" t="n">
        <x:f>IF('全量明细'!E69="","",'全量明细'!E69)</x:f>
        <x:v>0.58815774</x:v>
      </x:c>
      <x:c r="D71" s="12" t="n">
        <x:f>IF('全量明细'!F69="","",'全量明细'!F69)</x:f>
        <x:v>6170</x:v>
      </x:c>
      <x:c r="E71" s="11" t="n">
        <x:f>IF('全量明细'!G69="","",'全量明细'!G69)</x:f>
        <x:v>0.2721</x:v>
      </x:c>
      <x:c r="F71" s="11" t="n">
        <x:f>IF('全量明细'!H69="","",'全量明细'!H69)</x:f>
        <x:v>0.595</x:v>
      </x:c>
      <x:c r="G71" s="11" t="n">
        <x:f>IF('全量明细'!I69="","",'全量明细'!I69)</x:f>
        <x:v>0.5856</x:v>
      </x:c>
      <x:c r="H71" s="14" t="n">
        <x:f>IF('全量明细'!J69="","",'全量明细'!J69)</x:f>
        <x:v>0.9399999999999964</x:v>
      </x:c>
      <x:c r="I71" s="28" t="n">
        <x:f>IF('全量明细'!E565="","",'全量明细'!E565)</x:f>
        <x:v>0.68476415</x:v>
      </x:c>
      <x:c r="J71" s="12" t="n">
        <x:f>IF('全量明细'!F565="","",'全量明细'!F565)</x:f>
        <x:v>3131</x:v>
      </x:c>
      <x:c r="K71" s="11" t="n">
        <x:f>IF('全量明细'!G565="","",'全量明细'!G565)</x:f>
        <x:v>0.35450000000000004</x:v>
      </x:c>
      <x:c r="L71" s="11" t="n">
        <x:f>IF('全量明细'!H565="","",'全量明细'!H565)</x:f>
        <x:v>0.7162000000000001</x:v>
      </x:c>
      <x:c r="M71" s="11" t="n">
        <x:f>IF('全量明细'!I565="","",'全量明细'!I565)</x:f>
        <x:v>0.6675</x:v>
      </x:c>
      <x:c r="N71" s="14" t="n">
        <x:f>IF('全量明细'!J565="","",'全量明细'!J565)</x:f>
        <x:v>4.870000000000008</x:v>
      </x:c>
      <x:c r="O71" s="14" t="n">
        <x:f>IF(AND(ISNUMBER(C71),ISNUMBER(I71)),(I71-C71)*100,"")</x:f>
        <x:v>9.660641000000004</x:v>
      </x:c>
      <x:c r="P71" s="17" t="str"/>
    </x:row>
    <x:row r="72" ht="25" customHeight="1">
      <x:c r="A72" s="2" t="str">
        <x:v>诺奴佩普</x:v>
      </x:c>
      <x:c r="B72" s="2" t="str">
        <x:v>珠宝盒</x:v>
      </x:c>
      <x:c r="C72" s="28" t="n">
        <x:f>IF('全量明细'!E67="","",'全量明细'!E67)</x:f>
        <x:v>0.5924647999999999</x:v>
      </x:c>
      <x:c r="D72" s="12" t="n">
        <x:f>IF('全量明细'!F67="","",'全量明细'!F67)</x:f>
        <x:v>6110</x:v>
      </x:c>
      <x:c r="E72" s="11" t="n">
        <x:f>IF('全量明细'!G67="","",'全量明细'!G67)</x:f>
        <x:v>0.2254</x:v>
      </x:c>
      <x:c r="F72" s="11" t="n">
        <x:f>IF('全量明细'!H67="","",'全量明细'!H67)</x:f>
        <x:v>0.5243</x:v>
      </x:c>
      <x:c r="G72" s="11" t="n">
        <x:f>IF('全量明细'!I67="","",'全量明细'!I67)</x:f>
        <x:v>0.6123</x:v>
      </x:c>
      <x:c r="H72" s="14" t="n">
        <x:f>IF('全量明细'!J67="","",'全量明细'!J67)</x:f>
        <x:v>-8.799999999999997</x:v>
      </x:c>
      <x:c r="I72" s="28" t="n">
        <x:f>IF('全量明细'!E561="","",'全量明细'!E561)</x:f>
        <x:v>0.69464276</x:v>
      </x:c>
      <x:c r="J72" s="12" t="n">
        <x:f>IF('全量明细'!F561="","",'全量明细'!F561)</x:f>
        <x:v>3131</x:v>
      </x:c>
      <x:c r="K72" s="11" t="n">
        <x:f>IF('全量明细'!G561="","",'全量明细'!G561)</x:f>
        <x:v>0.1638</x:v>
      </x:c>
      <x:c r="L72" s="11" t="n">
        <x:f>IF('全量明细'!H561="","",'全量明细'!H561)</x:f>
        <x:v>0.653</x:v>
      </x:c>
      <x:c r="M72" s="11" t="n">
        <x:f>IF('全量明细'!I561="","",'全量明细'!I561)</x:f>
        <x:v>0.7028</x:v>
      </x:c>
      <x:c r="N72" s="14" t="n">
        <x:f>IF('全量明细'!J561="","",'全量明细'!J561)</x:f>
        <x:v>-4.979999999999995</x:v>
      </x:c>
      <x:c r="O72" s="14" t="n">
        <x:f>IF(AND(ISNUMBER(C72),ISNUMBER(I72)),(I72-C72)*100,"")</x:f>
        <x:v>10.217796000000012</x:v>
      </x:c>
      <x:c r="P72" s="17" t="str"/>
    </x:row>
    <x:row r="73" ht="25" customHeight="1">
      <x:c r="A73" s="2" t="str">
        <x:v>诺奴佩普</x:v>
      </x:c>
      <x:c r="B73" s="2" t="str">
        <x:v>钻石头冠</x:v>
      </x:c>
      <x:c r="C73" s="28" t="n">
        <x:f>IF('全量明细'!E66="","",'全量明细'!E66)</x:f>
        <x:v>0.5932284099999999</x:v>
      </x:c>
      <x:c r="D73" s="12" t="n">
        <x:f>IF('全量明细'!F66="","",'全量明细'!F66)</x:f>
        <x:v>6240</x:v>
      </x:c>
      <x:c r="E73" s="11" t="n">
        <x:f>IF('全量明细'!G66="","",'全量明细'!G66)</x:f>
        <x:v>0.2841</x:v>
      </x:c>
      <x:c r="F73" s="11" t="n">
        <x:f>IF('全量明细'!H66="","",'全量明细'!H66)</x:f>
        <x:v>0.5932999999999999</x:v>
      </x:c>
      <x:c r="G73" s="11" t="n">
        <x:f>IF('全量明细'!I66="","",'全量明细'!I66)</x:f>
        <x:v>0.5932</x:v>
      </x:c>
      <x:c r="H73" s="14" t="n">
        <x:f>IF('全量明细'!J66="","",'全量明细'!J66)</x:f>
        <x:v>0.009999999999998899</x:v>
      </x:c>
      <x:c r="I73" s="28" t="n">
        <x:f>IF('全量明细'!E559="","",'全量明细'!E559)</x:f>
        <x:v>0.70464276</x:v>
      </x:c>
      <x:c r="J73" s="12" t="n">
        <x:f>IF('全量明细'!F559="","",'全量明细'!F559)</x:f>
        <x:v>3169</x:v>
      </x:c>
      <x:c r="K73" s="11" t="n">
        <x:f>IF('全量明细'!G559="","",'全量明细'!G559)</x:f>
        <x:v>0.4598</x:v>
      </x:c>
      <x:c r="L73" s="11" t="n">
        <x:f>IF('全量明细'!H559="","",'全量明细'!H559)</x:f>
        <x:v>0.7295999999999999</x:v>
      </x:c>
      <x:c r="M73" s="11" t="n">
        <x:f>IF('全量明细'!I559="","",'全量明细'!I559)</x:f>
        <x:v>0.6834</x:v>
      </x:c>
      <x:c r="N73" s="14" t="n">
        <x:f>IF('全量明细'!J559="","",'全量明细'!J559)</x:f>
        <x:v>4.61999999999999</x:v>
      </x:c>
      <x:c r="O73" s="14" t="n">
        <x:f>IF(AND(ISNUMBER(C73),ISNUMBER(I73)),(I73-C73)*100,"")</x:f>
        <x:v>11.14143500000001</x:v>
      </x:c>
      <x:c r="P73" s="17" t="str"/>
    </x:row>
    <x:row r="74" ht="25" customHeight="1">
      <x:c r="A74" s="20" t="str">
        <x:v>坦克斯</x:v>
      </x:c>
      <x:c r="B74" s="20" t="str">
        <x:v>钗</x:v>
      </x:c>
      <x:c r="C74" s="27" t="n">
        <x:f>IF('全量明细'!E73="","",'全量明细'!E73)</x:f>
        <x:v>0.6156157000000001</x:v>
      </x:c>
      <x:c r="D74" s="23" t="n">
        <x:f>IF('全量明细'!F73="","",'全量明细'!F73)</x:f>
        <x:v>6377</x:v>
      </x:c>
      <x:c r="E74" s="22" t="n">
        <x:f>IF('全量明细'!G73="","",'全量明细'!G73)</x:f>
        <x:v>0.469</x:v>
      </x:c>
      <x:c r="F74" s="22" t="n">
        <x:f>IF('全量明细'!H73="","",'全量明细'!H73)</x:f>
        <x:v>0.6556000000000001</x:v>
      </x:c>
      <x:c r="G74" s="22" t="n">
        <x:f>IF('全量明细'!I73="","",'全量明细'!I73)</x:f>
        <x:v>0.5803</x:v>
      </x:c>
      <x:c r="H74" s="24" t="n">
        <x:f>IF('全量明细'!J73="","",'全量明细'!J73)</x:f>
        <x:v>7.530000000000003</x:v>
      </x:c>
      <x:c r="I74" s="27" t="n">
        <x:f>IF('全量明细'!E568="","",'全量明细'!E568)</x:f>
        <x:v>0.73103713</x:v>
      </x:c>
      <x:c r="J74" s="23" t="n">
        <x:f>IF('全量明细'!F568="","",'全量明细'!F568)</x:f>
        <x:v>3164</x:v>
      </x:c>
      <x:c r="K74" s="22" t="n">
        <x:f>IF('全量明细'!G568="","",'全量明细'!G568)</x:f>
        <x:v>0.4839</x:v>
      </x:c>
      <x:c r="L74" s="22" t="n">
        <x:f>IF('全量明细'!H568="","",'全量明细'!H568)</x:f>
        <x:v>0.7603</x:v>
      </x:c>
      <x:c r="M74" s="22" t="n">
        <x:f>IF('全量明细'!I568="","",'全量明细'!I568)</x:f>
        <x:v>0.7036</x:v>
      </x:c>
      <x:c r="N74" s="24" t="n">
        <x:f>IF('全量明细'!J568="","",'全量明细'!J568)</x:f>
        <x:v>5.669999999999997</x:v>
      </x:c>
      <x:c r="O74" s="24" t="n">
        <x:f>IF(AND(ISNUMBER(C74),ISNUMBER(I74)),(I74-C74)*100,"")</x:f>
        <x:v>11.542142999999994</x:v>
      </x:c>
      <x:c r="P74" s="31" t="str"/>
    </x:row>
    <x:row r="75" ht="25" customHeight="1">
      <x:c r="A75" s="2" t="str">
        <x:v>坦克斯</x:v>
      </x:c>
      <x:c r="B75" s="2" t="str">
        <x:v>带刺手甲</x:v>
      </x:c>
      <x:c r="C75" s="28" t="n">
        <x:f>IF('全量明细'!E81="","",'全量明细'!E81)</x:f>
        <x:v>0.5712154</x:v>
      </x:c>
      <x:c r="D75" s="12" t="n">
        <x:f>IF('全量明细'!F81="","",'全量明细'!F81)</x:f>
        <x:v>6036</x:v>
      </x:c>
      <x:c r="E75" s="11" t="n">
        <x:f>IF('全量明细'!G81="","",'全量明细'!G81)</x:f>
        <x:v>0.242</x:v>
      </x:c>
      <x:c r="F75" s="11" t="n">
        <x:f>IF('全量明细'!H81="","",'全量明细'!H81)</x:f>
        <x:v>0.5058</x:v>
      </x:c>
      <x:c r="G75" s="11" t="n">
        <x:f>IF('全量明细'!I81="","",'全量明细'!I81)</x:f>
        <x:v>0.5921</x:v>
      </x:c>
      <x:c r="H75" s="14" t="n">
        <x:f>IF('全量明细'!J81="","",'全量明细'!J81)</x:f>
        <x:v>-8.629999999999994</x:v>
      </x:c>
      <x:c r="I75" s="28" t="n">
        <x:f>IF('全量明细'!E575="","",'全量明细'!E575)</x:f>
        <x:v>0.6900836800000001</x:v>
      </x:c>
      <x:c r="J75" s="12" t="n">
        <x:f>IF('全量明细'!F575="","",'全量明细'!F575)</x:f>
        <x:v>3172</x:v>
      </x:c>
      <x:c r="K75" s="11" t="n">
        <x:f>IF('全量明细'!G575="","",'全量明细'!G575)</x:f>
        <x:v>0.21780000000000002</x:v>
      </x:c>
      <x:c r="L75" s="11" t="n">
        <x:f>IF('全量明细'!H575="","",'全量明细'!H575)</x:f>
        <x:v>0.6006</x:v>
      </x:c>
      <x:c r="M75" s="11" t="n">
        <x:f>IF('全量明细'!I575="","",'全量明细'!I575)</x:f>
        <x:v>0.715</x:v>
      </x:c>
      <x:c r="N75" s="14" t="n">
        <x:f>IF('全量明细'!J575="","",'全量明细'!J575)</x:f>
        <x:v>-11.439999999999994</x:v>
      </x:c>
      <x:c r="O75" s="14" t="n">
        <x:f>IF(AND(ISNUMBER(C75),ISNUMBER(I75)),(I75-C75)*100,"")</x:f>
        <x:v>11.886828000000005</x:v>
      </x:c>
      <x:c r="P75" s="17" t="str"/>
    </x:row>
    <x:row r="76" ht="25" customHeight="1">
      <x:c r="A76" s="2" t="str">
        <x:v>坦克斯</x:v>
      </x:c>
      <x:c r="B76" s="2" t="str">
        <x:v>利爪</x:v>
      </x:c>
      <x:c r="C76" s="28" t="n">
        <x:f>IF('全量明细'!E77="","",'全量明细'!E77)</x:f>
        <x:v>0.59193454</x:v>
      </x:c>
      <x:c r="D76" s="12" t="n">
        <x:f>IF('全量明细'!F77="","",'全量明细'!F77)</x:f>
        <x:v>6234</x:v>
      </x:c>
      <x:c r="E76" s="11" t="n">
        <x:f>IF('全量明细'!G77="","",'全量明细'!G77)</x:f>
        <x:v>0.2177</x:v>
      </x:c>
      <x:c r="F76" s="11" t="n">
        <x:f>IF('全量明细'!H77="","",'全量明细'!H77)</x:f>
        <x:v>0.45909999999999995</x:v>
      </x:c>
      <x:c r="G76" s="11" t="n">
        <x:f>IF('全量明细'!I77="","",'全量明细'!I77)</x:f>
        <x:v>0.6289</x:v>
      </x:c>
      <x:c r="H76" s="14" t="n">
        <x:f>IF('全量明细'!J77="","",'全量明细'!J77)</x:f>
        <x:v>-16.980000000000008</x:v>
      </x:c>
      <x:c r="I76" s="28" t="n">
        <x:f>IF('全量明细'!E572="","",'全量明细'!E572)</x:f>
        <x:v>0.70661662</x:v>
      </x:c>
      <x:c r="J76" s="12" t="n">
        <x:f>IF('全量明细'!F572="","",'全量明细'!F572)</x:f>
        <x:v>3119</x:v>
      </x:c>
      <x:c r="K76" s="11" t="n">
        <x:f>IF('全量明细'!G572="","",'全量明细'!G572)</x:f>
        <x:v>0.2738</x:v>
      </x:c>
      <x:c r="L76" s="11" t="n">
        <x:f>IF('全量明细'!H572="","",'全量明细'!H572)</x:f>
        <x:v>0.6194</x:v>
      </x:c>
      <x:c r="M76" s="11" t="n">
        <x:f>IF('全量明细'!I572="","",'全量明细'!I572)</x:f>
        <x:v>0.7395</x:v>
      </x:c>
      <x:c r="N76" s="14" t="n">
        <x:f>IF('全量明细'!J572="","",'全量明细'!J572)</x:f>
        <x:v>-12.010000000000009</x:v>
      </x:c>
      <x:c r="O76" s="14" t="n">
        <x:f>IF(AND(ISNUMBER(C76),ISNUMBER(I76)),(I76-C76)*100,"")</x:f>
        <x:v>11.468208000000002</x:v>
      </x:c>
      <x:c r="P76" s="17" t="str"/>
    </x:row>
    <x:row r="77" ht="25" customHeight="1">
      <x:c r="A77" s="2" t="str">
        <x:v>坦克斯</x:v>
      </x:c>
      <x:c r="B77" s="2" t="str">
        <x:v>切肉刀</x:v>
      </x:c>
      <x:c r="C77" s="28" t="n">
        <x:f>IF('全量明细'!E75="","",'全量明细'!E75)</x:f>
        <x:v>0.60451928</x:v>
      </x:c>
      <x:c r="D77" s="12" t="n">
        <x:f>IF('全量明细'!F75="","",'全量明细'!F75)</x:f>
        <x:v>6091</x:v>
      </x:c>
      <x:c r="E77" s="11" t="n">
        <x:f>IF('全量明细'!G75="","",'全量明细'!G75)</x:f>
        <x:v>0.49520000000000003</x:v>
      </x:c>
      <x:c r="F77" s="11" t="n">
        <x:f>IF('全量明细'!H75="","",'全量明细'!H75)</x:f>
        <x:v>0.6393</x:v>
      </x:c>
      <x:c r="G77" s="11" t="n">
        <x:f>IF('全量明细'!I75="","",'全量明细'!I75)</x:f>
        <x:v>0.5704</x:v>
      </x:c>
      <x:c r="H77" s="14" t="n">
        <x:f>IF('全量明细'!J75="","",'全量明细'!J75)</x:f>
        <x:v>6.889999999999996</x:v>
      </x:c>
      <x:c r="I77" s="28" t="n">
        <x:f>IF('全量明细'!E573="","",'全量明细'!E573)</x:f>
        <x:v>0.69941472</x:v>
      </x:c>
      <x:c r="J77" s="12" t="n">
        <x:f>IF('全量明细'!F573="","",'全量明细'!F573)</x:f>
        <x:v>3187</x:v>
      </x:c>
      <x:c r="K77" s="11" t="n">
        <x:f>IF('全量明细'!G573="","",'全量明细'!G573)</x:f>
        <x:v>0.4048</x:v>
      </x:c>
      <x:c r="L77" s="11" t="n">
        <x:f>IF('全量明细'!H573="","",'全量明细'!H573)</x:f>
        <x:v>0.7062</x:v>
      </x:c>
      <x:c r="M77" s="11" t="n">
        <x:f>IF('全量明细'!I573="","",'全量明细'!I573)</x:f>
        <x:v>0.6948000000000001</x:v>
      </x:c>
      <x:c r="N77" s="14" t="n">
        <x:f>IF('全量明细'!J573="","",'全量明细'!J573)</x:f>
        <x:v>1.1399999999999966</x:v>
      </x:c>
      <x:c r="O77" s="14" t="n">
        <x:f>IF(AND(ISNUMBER(C77),ISNUMBER(I77)),(I77-C77)*100,"")</x:f>
        <x:v>9.489544000000006</x:v>
      </x:c>
      <x:c r="P77" s="17" t="str"/>
    </x:row>
    <x:row r="78" ht="25" customHeight="1">
      <x:c r="A78" s="2" t="str">
        <x:v>坦克斯</x:v>
      </x:c>
      <x:c r="B78" s="2" t="str">
        <x:v>三刃回旋镖</x:v>
      </x:c>
      <x:c r="C78" s="28" t="n">
        <x:f>IF('全量明细'!E76="","",'全量明细'!E76)</x:f>
        <x:v>0.59637994</x:v>
      </x:c>
      <x:c r="D78" s="12" t="n">
        <x:f>IF('全量明细'!F76="","",'全量明细'!F76)</x:f>
        <x:v>6184</x:v>
      </x:c>
      <x:c r="E78" s="11" t="n">
        <x:f>IF('全量明细'!G76="","",'全量明细'!G76)</x:f>
        <x:v>0.5487</x:v>
      </x:c>
      <x:c r="F78" s="11" t="n">
        <x:f>IF('全量明细'!H76="","",'全量明细'!H76)</x:f>
        <x:v>0.5721</x:v>
      </x:c>
      <x:c r="G78" s="11" t="n">
        <x:f>IF('全量明细'!I76="","",'全量明细'!I76)</x:f>
        <x:v>0.6259</x:v>
      </x:c>
      <x:c r="H78" s="14" t="n">
        <x:f>IF('全量明细'!J76="","",'全量明细'!J76)</x:f>
        <x:v>-5.3799999999999955</x:v>
      </x:c>
      <x:c r="I78" s="28" t="n">
        <x:f>IF('全量明细'!E571="","",'全量明细'!E571)</x:f>
        <x:v>0.7096539499999999</x:v>
      </x:c>
      <x:c r="J78" s="12" t="n">
        <x:f>IF('全量明细'!F571="","",'全量明细'!F571)</x:f>
        <x:v>3148</x:v>
      </x:c>
      <x:c r="K78" s="11" t="n">
        <x:f>IF('全量明细'!G571="","",'全量明细'!G571)</x:f>
        <x:v>0.5435</x:v>
      </x:c>
      <x:c r="L78" s="11" t="n">
        <x:f>IF('全量明细'!H571="","",'全量明细'!H571)</x:f>
        <x:v>0.7012999999999999</x:v>
      </x:c>
      <x:c r="M78" s="11" t="n">
        <x:f>IF('全量明细'!I571="","",'全量明细'!I571)</x:f>
        <x:v>0.7195999999999999</x:v>
      </x:c>
      <x:c r="N78" s="14" t="n">
        <x:f>IF('全量明细'!J571="","",'全量明细'!J571)</x:f>
        <x:v>-1.8299999999999983</x:v>
      </x:c>
      <x:c r="O78" s="14" t="n">
        <x:f>IF(AND(ISNUMBER(C78),ISNUMBER(I78)),(I78-C78)*100,"")</x:f>
        <x:v>11.32740099999998</x:v>
      </x:c>
      <x:c r="P78" s="17" t="str"/>
    </x:row>
    <x:row r="79" ht="25" customHeight="1">
      <x:c r="A79" s="2" t="str">
        <x:v>坦克斯</x:v>
      </x:c>
      <x:c r="B79" s="2" t="str">
        <x:v>十字弓</x:v>
      </x:c>
      <x:c r="C79" s="28" t="n">
        <x:f>IF('全量明细'!E72="","",'全量明细'!E72)</x:f>
        <x:v>0.61940994</x:v>
      </x:c>
      <x:c r="D79" s="12" t="n">
        <x:f>IF('全量明细'!F72="","",'全量明细'!F72)</x:f>
        <x:v>6241</x:v>
      </x:c>
      <x:c r="E79" s="11" t="n">
        <x:f>IF('全量明细'!G72="","",'全量明细'!G72)</x:f>
        <x:v>0.22219999999999998</x:v>
      </x:c>
      <x:c r="F79" s="11" t="n">
        <x:f>IF('全量明细'!H72="","",'全量明细'!H72)</x:f>
        <x:v>0.6604000000000001</x:v>
      </x:c>
      <x:c r="G79" s="11" t="n">
        <x:f>IF('全量明细'!I72="","",'全量明细'!I72)</x:f>
        <x:v>0.6077</x:v>
      </x:c>
      <x:c r="H79" s="14" t="n">
        <x:f>IF('全量明细'!J72="","",'全量明细'!J72)</x:f>
        <x:v>5.2700000000000085</x:v>
      </x:c>
      <x:c r="I79" s="28" t="n">
        <x:f>IF('全量明细'!E569="","",'全量明细'!E569)</x:f>
        <x:v>0.7297269200000001</x:v>
      </x:c>
      <x:c r="J79" s="12" t="n">
        <x:f>IF('全量明细'!F569="","",'全量明细'!F569)</x:f>
        <x:v>3097</x:v>
      </x:c>
      <x:c r="K79" s="11" t="n">
        <x:f>IF('全量明细'!G569="","",'全量明细'!G569)</x:f>
        <x:v>0.2531</x:v>
      </x:c>
      <x:c r="L79" s="11" t="n">
        <x:f>IF('全量明细'!H569="","",'全量明细'!H569)</x:f>
        <x:v>0.7844</x:v>
      </x:c>
      <x:c r="M79" s="11" t="n">
        <x:f>IF('全量明细'!I569="","",'全量明细'!I569)</x:f>
        <x:v>0.7112</x:v>
      </x:c>
      <x:c r="N79" s="14" t="n">
        <x:f>IF('全量明细'!J569="","",'全量明细'!J569)</x:f>
        <x:v>7.319999999999993</x:v>
      </x:c>
      <x:c r="O79" s="14" t="n">
        <x:f>IF(AND(ISNUMBER(C79),ISNUMBER(I79)),(I79-C79)*100,"")</x:f>
        <x:v>11.031698</x:v>
      </x:c>
      <x:c r="P79" s="17" t="str"/>
    </x:row>
    <x:row r="80" ht="25" customHeight="1">
      <x:c r="A80" s="2" t="str">
        <x:v>坦克斯</x:v>
      </x:c>
      <x:c r="B80" s="2" t="str">
        <x:v>坦克斯的哨子</x:v>
      </x:c>
      <x:c r="C80" s="28" t="n">
        <x:f>IF('全量明细'!E80="","",'全量明细'!E80)</x:f>
        <x:v>0.5756709799999999</x:v>
      </x:c>
      <x:c r="D80" s="12" t="n">
        <x:f>IF('全量明细'!F80="","",'全量明细'!F80)</x:f>
        <x:v>6243</x:v>
      </x:c>
      <x:c r="E80" s="11" t="n">
        <x:f>IF('全量明细'!G80="","",'全量明细'!G80)</x:f>
        <x:v>0.1618</x:v>
      </x:c>
      <x:c r="F80" s="11" t="n">
        <x:f>IF('全量明细'!H80="","",'全量明细'!H80)</x:f>
        <x:v>0.4802</x:v>
      </x:c>
      <x:c r="G80" s="11" t="n">
        <x:f>IF('全量明细'!I80="","",'全量明细'!I80)</x:f>
        <x:v>0.5941</x:v>
      </x:c>
      <x:c r="H80" s="14" t="n">
        <x:f>IF('全量明细'!J80="","",'全量明细'!J80)</x:f>
        <x:v>-11.389999999999995</x:v>
      </x:c>
      <x:c r="I80" s="28" t="n">
        <x:f>IF('全量明细'!E576="","",'全量明细'!E576)</x:f>
        <x:v>0.687672</x:v>
      </x:c>
      <x:c r="J80" s="12" t="n">
        <x:f>IF('全量明细'!F576="","",'全量明细'!F576)</x:f>
        <x:v>3093</x:v>
      </x:c>
      <x:c r="K80" s="11" t="n">
        <x:f>IF('全量明细'!G576="","",'全量明细'!G576)</x:f>
        <x:v>0.21760000000000002</x:v>
      </x:c>
      <x:c r="L80" s="11" t="n">
        <x:f>IF('全量明细'!H576="","",'全量明细'!H576)</x:f>
        <x:v>0.6642</x:v>
      </x:c>
      <x:c r="M80" s="11" t="n">
        <x:f>IF('全量明细'!I576="","",'全量明细'!I576)</x:f>
        <x:v>0.6942</x:v>
      </x:c>
      <x:c r="N80" s="14" t="n">
        <x:f>IF('全量明细'!J576="","",'全量明细'!J576)</x:f>
        <x:v>-3.0000000000000027</x:v>
      </x:c>
      <x:c r="O80" s="14" t="n">
        <x:f>IF(AND(ISNUMBER(C80),ISNUMBER(I80)),(I80-C80)*100,"")</x:f>
        <x:v>11.200102000000001</x:v>
      </x:c>
      <x:c r="P80" s="17" t="str"/>
    </x:row>
    <x:row r="81" ht="25" customHeight="1">
      <x:c r="A81" s="2" t="str">
        <x:v>坦克斯</x:v>
      </x:c>
      <x:c r="B81" s="2" t="str">
        <x:v>铁棒</x:v>
      </x:c>
      <x:c r="C81" s="28" t="n">
        <x:f>IF('全量明细'!E74="","",'全量明细'!E74)</x:f>
        <x:v>0.60940748</x:v>
      </x:c>
      <x:c r="D81" s="12" t="n">
        <x:f>IF('全量明细'!F74="","",'全量明细'!F74)</x:f>
        <x:v>6124</x:v>
      </x:c>
      <x:c r="E81" s="11" t="n">
        <x:f>IF('全量明细'!G74="","",'全量明细'!G74)</x:f>
        <x:v>0.4719</x:v>
      </x:c>
      <x:c r="F81" s="11" t="n">
        <x:f>IF('全量明细'!H74="","",'全量明细'!H74)</x:f>
        <x:v>0.6881999999999999</x:v>
      </x:c>
      <x:c r="G81" s="11" t="n">
        <x:f>IF('全量明细'!I74="","",'全量明细'!I74)</x:f>
        <x:v>0.539</x:v>
      </x:c>
      <x:c r="H81" s="14" t="n">
        <x:f>IF('全量明细'!J74="","",'全量明细'!J74)</x:f>
        <x:v>14.91999999999999</x:v>
      </x:c>
      <x:c r="I81" s="28" t="n">
        <x:f>IF('全量明细'!E570="","",'全量明细'!E570)</x:f>
        <x:v>0.7202902</x:v>
      </x:c>
      <x:c r="J81" s="12" t="n">
        <x:f>IF('全量明细'!F570="","",'全量明细'!F570)</x:f>
        <x:v>3078</x:v>
      </x:c>
      <x:c r="K81" s="11" t="n">
        <x:f>IF('全量明细'!G570="","",'全量明细'!G570)</x:f>
        <x:v>0.462</x:v>
      </x:c>
      <x:c r="L81" s="11" t="n">
        <x:f>IF('全量明细'!H570="","",'全量明细'!H570)</x:f>
        <x:v>0.7806000000000001</x:v>
      </x:c>
      <x:c r="M81" s="11" t="n">
        <x:f>IF('全量明细'!I570="","",'全量明细'!I570)</x:f>
        <x:v>0.6685</x:v>
      </x:c>
      <x:c r="N81" s="14" t="n">
        <x:f>IF('全量明细'!J570="","",'全量明细'!J570)</x:f>
        <x:v>11.210000000000008</x:v>
      </x:c>
      <x:c r="O81" s="14" t="n">
        <x:f>IF(AND(ISNUMBER(C81),ISNUMBER(I81)),(I81-C81)*100,"")</x:f>
        <x:v>11.088272</x:v>
      </x:c>
      <x:c r="P81" s="17" t="str"/>
    </x:row>
    <x:row r="82" ht="25" customHeight="1">
      <x:c r="A82" s="2" t="str">
        <x:v>坦克斯</x:v>
      </x:c>
      <x:c r="B82" s="2" t="str">
        <x:v>投斧</x:v>
      </x:c>
      <x:c r="C82" s="28" t="n">
        <x:f>IF('全量明细'!E79="","",'全量明细'!E79)</x:f>
        <x:v>0.5772327500000001</x:v>
      </x:c>
      <x:c r="D82" s="12" t="n">
        <x:f>IF('全量明细'!F79="","",'全量明细'!F79)</x:f>
        <x:v>6282</x:v>
      </x:c>
      <x:c r="E82" s="11" t="n">
        <x:f>IF('全量明细'!G79="","",'全量明细'!G79)</x:f>
        <x:v>0.3325</x:v>
      </x:c>
      <x:c r="F82" s="11" t="n">
        <x:f>IF('全量明细'!H79="","",'全量明细'!H79)</x:f>
        <x:v>0.551</x:v>
      </x:c>
      <x:c r="G82" s="11" t="n">
        <x:f>IF('全量明细'!I79="","",'全量明细'!I79)</x:f>
        <x:v>0.5903</x:v>
      </x:c>
      <x:c r="H82" s="14" t="n">
        <x:f>IF('全量明细'!J79="","",'全量明细'!J79)</x:f>
        <x:v>-3.93</x:v>
      </x:c>
      <x:c r="I82" s="28" t="n">
        <x:f>IF('全量明细'!E577="","",'全量明细'!E577)</x:f>
        <x:v>0.6844506800000001</x:v>
      </x:c>
      <x:c r="J82" s="12" t="n">
        <x:f>IF('全量明细'!F577="","",'全量明细'!F577)</x:f>
        <x:v>3147</x:v>
      </x:c>
      <x:c r="K82" s="11" t="n">
        <x:f>IF('全量明细'!G577="","",'全量明细'!G577)</x:f>
        <x:v>0.31079999999999997</x:v>
      </x:c>
      <x:c r="L82" s="11" t="n">
        <x:f>IF('全量明细'!H577="","",'全量明细'!H577)</x:f>
        <x:v>0.6411</x:v>
      </x:c>
      <x:c r="M82" s="11" t="n">
        <x:f>IF('全量明细'!I577="","",'全量明细'!I577)</x:f>
        <x:v>0.7040000000000001</x:v>
      </x:c>
      <x:c r="N82" s="14" t="n">
        <x:f>IF('全量明细'!J577="","",'全量明细'!J577)</x:f>
        <x:v>-6.290000000000006</x:v>
      </x:c>
      <x:c r="O82" s="14" t="n">
        <x:f>IF(AND(ISNUMBER(C82),ISNUMBER(I82)),(I82-C82)*100,"")</x:f>
        <x:v>10.721793000000002</x:v>
      </x:c>
      <x:c r="P82" s="17" t="str"/>
    </x:row>
    <x:row r="83" ht="25" customHeight="1">
      <x:c r="A83" s="2" t="str">
        <x:v>坦克斯</x:v>
      </x:c>
      <x:c r="B83" s="2" t="str">
        <x:v>战锤</x:v>
      </x:c>
      <x:c r="C83" s="28" t="n">
        <x:f>IF('全量明细'!E78="","",'全量明细'!E78)</x:f>
        <x:v>0.58689661</x:v>
      </x:c>
      <x:c r="D83" s="12" t="n">
        <x:f>IF('全量明细'!F78="","",'全量明细'!F78)</x:f>
        <x:v>6221</x:v>
      </x:c>
      <x:c r="E83" s="11" t="n">
        <x:f>IF('全量明细'!G78="","",'全量明细'!G78)</x:f>
        <x:v>0.16570000000000001</x:v>
      </x:c>
      <x:c r="F83" s="11" t="n">
        <x:f>IF('全量明细'!H78="","",'全量明细'!H78)</x:f>
        <x:v>0.5179</x:v>
      </x:c>
      <x:c r="G83" s="11" t="n">
        <x:f>IF('全量明细'!I78="","",'全量明细'!I78)</x:f>
        <x:v>0.6006</x:v>
      </x:c>
      <x:c r="H83" s="14" t="n">
        <x:f>IF('全量明细'!J78="","",'全量明细'!J78)</x:f>
        <x:v>-8.27</x:v>
      </x:c>
      <x:c r="I83" s="28" t="n">
        <x:f>IF('全量明细'!E574="","",'全量明细'!E574)</x:f>
        <x:v>0.6922676999999999</x:v>
      </x:c>
      <x:c r="J83" s="12" t="n">
        <x:f>IF('全量明细'!F574="","",'全量明细'!F574)</x:f>
        <x:v>3087</x:v>
      </x:c>
      <x:c r="K83" s="11" t="n">
        <x:f>IF('全量明细'!G574="","",'全量明细'!G574)</x:f>
        <x:v>0.1535</x:v>
      </x:c>
      <x:c r="L83" s="11" t="n">
        <x:f>IF('全量明细'!H574="","",'全量明细'!H574)</x:f>
        <x:v>0.6772</x:v>
      </x:c>
      <x:c r="M83" s="11" t="n">
        <x:f>IF('全量明细'!I574="","",'全量明细'!I574)</x:f>
        <x:v>0.695</x:v>
      </x:c>
      <x:c r="N83" s="14" t="n">
        <x:f>IF('全量明细'!J574="","",'全量明细'!J574)</x:f>
        <x:v>-1.7799999999999927</x:v>
      </x:c>
      <x:c r="O83" s="14" t="n">
        <x:f>IF(AND(ISNUMBER(C83),ISNUMBER(I83)),(I83-C83)*100,"")</x:f>
        <x:v>10.537108999999989</x:v>
      </x:c>
      <x:c r="P83" s="17" t="str"/>
    </x:row>
    <x:row r="84" ht="25" customHeight="1">
      <x:c r="A84" s="20" t="str">
        <x:v>瓦库</x:v>
      </x:c>
      <x:c r="B84" s="20" t="str">
        <x:v>宝石面具</x:v>
      </x:c>
      <x:c r="C84" s="27" t="n">
        <x:f>IF('全量明细'!E83="","",'全量明细'!E83)</x:f>
        <x:v>0.57384689</x:v>
      </x:c>
      <x:c r="D84" s="23" t="n">
        <x:f>IF('全量明细'!F83="","",'全量明细'!F83)</x:f>
        <x:v>5247</x:v>
      </x:c>
      <x:c r="E84" s="22" t="n">
        <x:f>IF('全量明细'!G83="","",'全量明细'!G83)</x:f>
        <x:v>0.7426999999999999</x:v>
      </x:c>
      <x:c r="F84" s="22" t="n">
        <x:f>IF('全量明细'!H83="","",'全量明细'!H83)</x:f>
        <x:v>0.5766</x:v>
      </x:c>
      <x:c r="G84" s="22" t="n">
        <x:f>IF('全量明细'!I83="","",'全量明细'!I83)</x:f>
        <x:v>0.5659000000000001</x:v>
      </x:c>
      <x:c r="H84" s="24" t="n">
        <x:f>IF('全量明细'!J83="","",'全量明细'!J83)</x:f>
        <x:v>1.0699999999999932</x:v>
      </x:c>
      <x:c r="I84" s="27" t="n">
        <x:f>IF('全量明细'!E579="","",'全量明细'!E579)</x:f>
        <x:v>0.6702704199999999</x:v>
      </x:c>
      <x:c r="J84" s="23" t="n">
        <x:f>IF('全量明细'!F579="","",'全量明细'!F579)</x:f>
        <x:v>2578</x:v>
      </x:c>
      <x:c r="K84" s="22" t="n">
        <x:f>IF('全量明细'!G579="","",'全量明细'!G579)</x:f>
        <x:v>0.7614</x:v>
      </x:c>
      <x:c r="L84" s="22" t="n">
        <x:f>IF('全量明细'!H579="","",'全量明细'!H579)</x:f>
        <x:v>0.6775</x:v>
      </x:c>
      <x:c r="M84" s="22" t="n">
        <x:f>IF('全量明细'!I579="","",'全量明细'!I579)</x:f>
        <x:v>0.6472</x:v>
      </x:c>
      <x:c r="N84" s="24" t="n">
        <x:f>IF('全量明细'!J579="","",'全量明细'!J579)</x:f>
        <x:v>3.0299999999999994</x:v>
      </x:c>
      <x:c r="O84" s="24" t="n">
        <x:f>IF(AND(ISNUMBER(C84),ISNUMBER(I84)),(I84-C84)*100,"")</x:f>
        <x:v>9.642352999999993</x:v>
      </x:c>
      <x:c r="P84" s="31" t="str"/>
    </x:row>
    <x:row r="85" ht="25" customHeight="1">
      <x:c r="A85" s="2" t="str">
        <x:v>瓦库</x:v>
      </x:c>
      <x:c r="B85" s="2" t="str">
        <x:v>低语耳环</x:v>
      </x:c>
      <x:c r="C85" s="28" t="n">
        <x:f>IF('全量明细'!E87="","",'全量明细'!E87)</x:f>
        <x:v>0.54812112</x:v>
      </x:c>
      <x:c r="D85" s="12" t="n">
        <x:f>IF('全量明细'!F87="","",'全量明细'!F87)</x:f>
        <x:v>6913</x:v>
      </x:c>
      <x:c r="E85" s="11" t="n">
        <x:f>IF('全量明细'!G87="","",'全量明细'!G87)</x:f>
        <x:v>0.0958</x:v>
      </x:c>
      <x:c r="F85" s="11" t="n">
        <x:f>IF('全量明细'!H87="","",'全量明细'!H87)</x:f>
        <x:v>0.3369</x:v>
      </x:c>
      <x:c r="G85" s="11" t="n">
        <x:f>IF('全量明细'!I87="","",'全量明细'!I87)</x:f>
        <x:v>0.5705</x:v>
      </x:c>
      <x:c r="H85" s="14" t="n">
        <x:f>IF('全量明细'!J87="","",'全量明细'!J87)</x:f>
        <x:v>-23.360000000000003</x:v>
      </x:c>
      <x:c r="I85" s="28" t="n">
        <x:f>IF('全量明细'!E582="","",'全量明细'!E582)</x:f>
        <x:v>0.6461720000000001</x:v>
      </x:c>
      <x:c r="J85" s="12" t="n">
        <x:f>IF('全量明细'!F582="","",'全量明细'!F582)</x:f>
        <x:v>3420</x:v>
      </x:c>
      <x:c r="K85" s="11" t="n">
        <x:f>IF('全量明细'!G582="","",'全量明细'!G582)</x:f>
        <x:v>0.1152</x:v>
      </x:c>
      <x:c r="L85" s="11" t="n">
        <x:f>IF('全量明细'!H582="","",'全量明细'!H582)</x:f>
        <x:v>0.467</x:v>
      </x:c>
      <x:c r="M85" s="11" t="n">
        <x:f>IF('全量明细'!I582="","",'全量明细'!I582)</x:f>
        <x:v>0.6695</x:v>
      </x:c>
      <x:c r="N85" s="14" t="n">
        <x:f>IF('全量明细'!J582="","",'全量明细'!J582)</x:f>
        <x:v>-20.249999999999996</x:v>
      </x:c>
      <x:c r="O85" s="14" t="n">
        <x:f>IF(AND(ISNUMBER(C85),ISNUMBER(I85)),(I85-C85)*100,"")</x:f>
        <x:v>9.805088000000007</x:v>
      </x:c>
      <x:c r="P85" s="17" t="str"/>
    </x:row>
    <x:row r="86" ht="25" customHeight="1">
      <x:c r="A86" s="2" t="str">
        <x:v>瓦库</x:v>
      </x:c>
      <x:c r="B86" s="2" t="str">
        <x:v>领主阳伞</x:v>
      </x:c>
      <x:c r="C86" s="28" t="n">
        <x:f>IF('全量明细'!E91="","",'全量明细'!E91)</x:f>
        <x:v>0.52645292</x:v>
      </x:c>
      <x:c r="D86" s="12" t="n">
        <x:f>IF('全量明细'!F91="","",'全量明细'!F91)</x:f>
        <x:v>5163</x:v>
      </x:c>
      <x:c r="E86" s="11" t="n">
        <x:f>IF('全量明细'!G91="","",'全量明细'!G91)</x:f>
        <x:v>0.1747</x:v>
      </x:c>
      <x:c r="F86" s="11" t="n">
        <x:f>IF('全量明细'!H91="","",'全量明细'!H91)</x:f>
        <x:v>0.46340000000000003</x:v>
      </x:c>
      <x:c r="G86" s="11" t="n">
        <x:f>IF('全量明细'!I91="","",'全量明细'!I91)</x:f>
        <x:v>0.5398</x:v>
      </x:c>
      <x:c r="H86" s="14" t="n">
        <x:f>IF('全量明细'!J91="","",'全量明细'!J91)</x:f>
        <x:v>-7.639999999999992</x:v>
      </x:c>
      <x:c r="I86" s="28" t="n">
        <x:f>IF('全量明细'!E587="","",'全量明细'!E587)</x:f>
        <x:v>0.61584912</x:v>
      </x:c>
      <x:c r="J86" s="12" t="n">
        <x:f>IF('全量明细'!F587="","",'全量明细'!F587)</x:f>
        <x:v>2585</x:v>
      </x:c>
      <x:c r="K86" s="11" t="n">
        <x:f>IF('全量明细'!G587="","",'全量明细'!G587)</x:f>
        <x:v>0.1416</x:v>
      </x:c>
      <x:c r="L86" s="11" t="n">
        <x:f>IF('全量明细'!H587="","",'全量明细'!H587)</x:f>
        <x:v>0.5628</x:v>
      </x:c>
      <x:c r="M86" s="11" t="n">
        <x:f>IF('全量明细'!I587="","",'全量明细'!I587)</x:f>
        <x:v>0.6246</x:v>
      </x:c>
      <x:c r="N86" s="14" t="n">
        <x:f>IF('全量明细'!J587="","",'全量明细'!J587)</x:f>
        <x:v>-6.180000000000008</x:v>
      </x:c>
      <x:c r="O86" s="14" t="n">
        <x:f>IF(AND(ISNUMBER(C86),ISNUMBER(I86)),(I86-C86)*100,"")</x:f>
        <x:v>8.939620000000003</x:v>
      </x:c>
      <x:c r="P86" s="17" t="str"/>
    </x:row>
    <x:row r="87" ht="25" customHeight="1">
      <x:c r="A87" s="2" t="str">
        <x:v>瓦库</x:v>
      </x:c>
      <x:c r="B87" s="2" t="str">
        <x:v>小提琴</x:v>
      </x:c>
      <x:c r="C87" s="28" t="n">
        <x:f>IF('全量明细'!E85="","",'全量明细'!E85)</x:f>
        <x:v>0.5568898000000001</x:v>
      </x:c>
      <x:c r="D87" s="12" t="n">
        <x:f>IF('全量明细'!F85="","",'全量明细'!F85)</x:f>
        <x:v>6913</x:v>
      </x:c>
      <x:c r="E87" s="11" t="n">
        <x:f>IF('全量明细'!G85="","",'全量明细'!G85)</x:f>
        <x:v>0.0508</x:v>
      </x:c>
      <x:c r="F87" s="11" t="n">
        <x:f>IF('全量明细'!H85="","",'全量明细'!H85)</x:f>
        <x:v>0.4558</x:v>
      </x:c>
      <x:c r="G87" s="11" t="n">
        <x:f>IF('全量明细'!I85="","",'全量明细'!I85)</x:f>
        <x:v>0.5623</x:v>
      </x:c>
      <x:c r="H87" s="14" t="n">
        <x:f>IF('全量明细'!J85="","",'全量明细'!J85)</x:f>
        <x:v>-10.650000000000004</x:v>
      </x:c>
      <x:c r="I87" s="28" t="n">
        <x:f>IF('全量明细'!E581="","",'全量明细'!E581)</x:f>
        <x:v>0.6497788000000001</x:v>
      </x:c>
      <x:c r="J87" s="12" t="n">
        <x:f>IF('全量明细'!F581="","",'全量明细'!F581)</x:f>
        <x:v>3418</x:v>
      </x:c>
      <x:c r="K87" s="11" t="n">
        <x:f>IF('全量明细'!G581="","",'全量明细'!G581)</x:f>
        <x:v>0.08310000000000001</x:v>
      </x:c>
      <x:c r="L87" s="11" t="n">
        <x:f>IF('全量明细'!H581="","",'全量明细'!H581)</x:f>
        <x:v>0.6021</x:v>
      </x:c>
      <x:c r="M87" s="11" t="n">
        <x:f>IF('全量明细'!I581="","",'全量明细'!I581)</x:f>
        <x:v>0.6541</x:v>
      </x:c>
      <x:c r="N87" s="14" t="n">
        <x:f>IF('全量明细'!J581="","",'全量明细'!J581)</x:f>
        <x:v>-5.200000000000005</x:v>
      </x:c>
      <x:c r="O87" s="14" t="n">
        <x:f>IF(AND(ISNUMBER(C87),ISNUMBER(I87)),(I87-C87)*100,"")</x:f>
        <x:v>9.2889</x:v>
      </x:c>
      <x:c r="P87" s="17" t="str"/>
    </x:row>
    <x:row r="88" ht="25" customHeight="1">
      <x:c r="A88" s="2" t="str">
        <x:v>瓦库</x:v>
      </x:c>
      <x:c r="B88" s="2" t="str">
        <x:v>选择悖论</x:v>
      </x:c>
      <x:c r="C88" s="28" t="n">
        <x:f>IF('全量明细'!E88="","",'全量明细'!E88)</x:f>
        <x:v>0.54437085</x:v>
      </x:c>
      <x:c r="D88" s="12" t="n">
        <x:f>IF('全量明细'!F88="","",'全量明细'!F88)</x:f>
        <x:v>5217</x:v>
      </x:c>
      <x:c r="E88" s="11" t="n">
        <x:f>IF('全量明细'!G88="","",'全量明细'!G88)</x:f>
        <x:v>0.4535</x:v>
      </x:c>
      <x:c r="F88" s="11" t="n">
        <x:f>IF('全量明细'!H88="","",'全量明细'!H88)</x:f>
        <x:v>0.5406</x:v>
      </x:c>
      <x:c r="G88" s="11" t="n">
        <x:f>IF('全量明细'!I88="","",'全量明细'!I88)</x:f>
        <x:v>0.5475</x:v>
      </x:c>
      <x:c r="H88" s="14" t="n">
        <x:f>IF('全量明细'!J88="","",'全量明细'!J88)</x:f>
        <x:v>-0.6900000000000017</x:v>
      </x:c>
      <x:c r="I88" s="28" t="n">
        <x:f>IF('全量明细'!E586="","",'全量明细'!E586)</x:f>
        <x:v>0.6293678899999999</x:v>
      </x:c>
      <x:c r="J88" s="12" t="n">
        <x:f>IF('全量明细'!F586="","",'全量明细'!F586)</x:f>
        <x:v>2636</x:v>
      </x:c>
      <x:c r="K88" s="11" t="n">
        <x:f>IF('全量明细'!G586="","",'全量明细'!G586)</x:f>
        <x:v>0.4321</x:v>
      </x:c>
      <x:c r="L88" s="11" t="n">
        <x:f>IF('全量明细'!H586="","",'全量明细'!H586)</x:f>
        <x:v>0.6242</x:v>
      </x:c>
      <x:c r="M88" s="11" t="n">
        <x:f>IF('全量明细'!I586="","",'全量明细'!I586)</x:f>
        <x:v>0.6333</x:v>
      </x:c>
      <x:c r="N88" s="14" t="n">
        <x:f>IF('全量明细'!J586="","",'全量明细'!J586)</x:f>
        <x:v>-0.9099999999999997</x:v>
      </x:c>
      <x:c r="O88" s="14" t="n">
        <x:f>IF(AND(ISNUMBER(C88),ISNUMBER(I88)),(I88-C88)*100,"")</x:f>
        <x:v>8.499703999999998</x:v>
      </x:c>
      <x:c r="P88" s="17" t="str"/>
    </x:row>
    <x:row r="89" ht="25" customHeight="1">
      <x:c r="A89" s="2" t="str">
        <x:v>瓦库</x:v>
      </x:c>
      <x:c r="B89" s="2" t="str">
        <x:v>血染玫瑰</x:v>
      </x:c>
      <x:c r="C89" s="28" t="n">
        <x:f>IF('全量明细'!E86="","",'全量明细'!E86)</x:f>
        <x:v>0.55641182</x:v>
      </x:c>
      <x:c r="D89" s="12" t="n">
        <x:f>IF('全量明细'!F86="","",'全量明细'!F86)</x:f>
        <x:v>6849</x:v>
      </x:c>
      <x:c r="E89" s="11" t="n">
        <x:f>IF('全量明细'!G86="","",'全量明细'!G86)</x:f>
        <x:v>0.09140000000000001</x:v>
      </x:c>
      <x:c r="F89" s="11" t="n">
        <x:f>IF('全量明细'!H86="","",'全量明细'!H86)</x:f>
        <x:v>0.3259</x:v>
      </x:c>
      <x:c r="G89" s="11" t="n">
        <x:f>IF('全量明细'!I86="","",'全量明细'!I86)</x:f>
        <x:v>0.5796</x:v>
      </x:c>
      <x:c r="H89" s="14" t="n">
        <x:f>IF('全量明细'!J86="","",'全量明细'!J86)</x:f>
        <x:v>-25.369999999999997</x:v>
      </x:c>
      <x:c r="I89" s="28" t="n">
        <x:f>IF('全量明细'!E583="","",'全量明细'!E583)</x:f>
        <x:v>0.6439408000000001</x:v>
      </x:c>
      <x:c r="J89" s="12" t="n">
        <x:f>IF('全量明细'!F583="","",'全量明细'!F583)</x:f>
        <x:v>3483</x:v>
      </x:c>
      <x:c r="K89" s="11" t="n">
        <x:f>IF('全量明细'!G583="","",'全量明细'!G583)</x:f>
        <x:v>0.10800000000000001</x:v>
      </x:c>
      <x:c r="L89" s="11" t="n">
        <x:f>IF('全量明细'!H583="","",'全量明细'!H583)</x:f>
        <x:v>0.508</x:v>
      </x:c>
      <x:c r="M89" s="11" t="n">
        <x:f>IF('全量明细'!I583="","",'全量明细'!I583)</x:f>
        <x:v>0.6604000000000001</x:v>
      </x:c>
      <x:c r="N89" s="14" t="n">
        <x:f>IF('全量明细'!J583="","",'全量明细'!J583)</x:f>
        <x:v>-15.240000000000009</x:v>
      </x:c>
      <x:c r="O89" s="14" t="n">
        <x:f>IF(AND(ISNUMBER(C89),ISNUMBER(I89)),(I89-C89)*100,"")</x:f>
        <x:v>8.752898000000009</x:v>
      </x:c>
      <x:c r="P89" s="17" t="str"/>
    </x:row>
    <x:row r="90" ht="25" customHeight="1">
      <x:c r="A90" s="2" t="str">
        <x:v>瓦库</x:v>
      </x:c>
      <x:c r="B90" s="2" t="str">
        <x:v>腌制活雾</x:v>
      </x:c>
      <x:c r="C90" s="28" t="n">
        <x:f>IF('全量明细'!E89="","",'全量明细'!E89)</x:f>
        <x:v>0.54167995</x:v>
      </x:c>
      <x:c r="D90" s="12" t="n">
        <x:f>IF('全量明细'!F89="","",'全量明细'!F89)</x:f>
        <x:v>6847</x:v>
      </x:c>
      <x:c r="E90" s="11" t="n">
        <x:f>IF('全量明细'!G89="","",'全量明细'!G89)</x:f>
        <x:v>0.5243</x:v>
      </x:c>
      <x:c r="F90" s="11" t="n">
        <x:f>IF('全量明细'!H89="","",'全量明细'!H89)</x:f>
        <x:v>0.5638000000000001</x:v>
      </x:c>
      <x:c r="G90" s="11" t="n">
        <x:f>IF('全量明细'!I89="","",'全量明细'!I89)</x:f>
        <x:v>0.5173</x:v>
      </x:c>
      <x:c r="H90" s="14" t="n">
        <x:f>IF('全量明细'!J89="","",'全量明细'!J89)</x:f>
        <x:v>4.650000000000009</x:v>
      </x:c>
      <x:c r="I90" s="28" t="n">
        <x:f>IF('全量明细'!E585="","",'全量明细'!E585)</x:f>
        <x:v>0.6380911300000001</x:v>
      </x:c>
      <x:c r="J90" s="12" t="n">
        <x:f>IF('全量明细'!F585="","",'全量明细'!F585)</x:f>
        <x:v>3504</x:v>
      </x:c>
      <x:c r="K90" s="11" t="n">
        <x:f>IF('全量明细'!G585="","",'全量明细'!G585)</x:f>
        <x:v>0.5478999999999999</x:v>
      </x:c>
      <x:c r="L90" s="11" t="n">
        <x:f>IF('全量明细'!H585="","",'全量明细'!H585)</x:f>
        <x:v>0.6583</x:v>
      </x:c>
      <x:c r="M90" s="11" t="n">
        <x:f>IF('全量明细'!I585="","",'全量明细'!I585)</x:f>
        <x:v>0.6136</x:v>
      </x:c>
      <x:c r="N90" s="14" t="n">
        <x:f>IF('全量明细'!J585="","",'全量明细'!J585)</x:f>
        <x:v>4.469999999999996</x:v>
      </x:c>
      <x:c r="O90" s="14" t="n">
        <x:f>IF(AND(ISNUMBER(C90),ISNUMBER(I90)),(I90-C90)*100,"")</x:f>
        <x:v>9.641118000000004</x:v>
      </x:c>
      <x:c r="P90" s="17" t="str"/>
    </x:row>
    <x:row r="91" ht="25" customHeight="1">
      <x:c r="A91" s="2" t="str">
        <x:v>瓦库</x:v>
      </x:c>
      <x:c r="B91" s="2" t="str">
        <x:v>音乐盒</x:v>
      </x:c>
      <x:c r="C91" s="28" t="n">
        <x:f>IF('全量明细'!E84="","",'全量明细'!E84)</x:f>
        <x:v>0.57259968</x:v>
      </x:c>
      <x:c r="D91" s="12" t="n">
        <x:f>IF('全量明细'!F84="","",'全量明细'!F84)</x:f>
        <x:v>5138</x:v>
      </x:c>
      <x:c r="E91" s="11" t="n">
        <x:f>IF('全量明细'!G84="","",'全量明细'!G84)</x:f>
        <x:v>0.4988</x:v>
      </x:c>
      <x:c r="F91" s="11" t="n">
        <x:f>IF('全量明细'!H84="","",'全量明细'!H84)</x:f>
        <x:v>0.6145</x:v>
      </x:c>
      <x:c r="G91" s="11" t="n">
        <x:f>IF('全量明细'!I84="","",'全量明细'!I84)</x:f>
        <x:v>0.5309</x:v>
      </x:c>
      <x:c r="H91" s="14" t="n">
        <x:f>IF('全量明细'!J84="","",'全量明细'!J84)</x:f>
        <x:v>8.360000000000001</x:v>
      </x:c>
      <x:c r="I91" s="28" t="n">
        <x:f>IF('全量明细'!E578="","",'全量明细'!E578)</x:f>
        <x:v>0.67362192</x:v>
      </x:c>
      <x:c r="J91" s="12" t="n">
        <x:f>IF('全量明细'!F578="","",'全量明细'!F578)</x:f>
        <x:v>2543</x:v>
      </x:c>
      <x:c r="K91" s="11" t="n">
        <x:f>IF('全量明细'!G578="","",'全量明细'!G578)</x:f>
        <x:v>0.5088</x:v>
      </x:c>
      <x:c r="L91" s="11" t="n">
        <x:f>IF('全量明细'!H578="","",'全量明细'!H578)</x:f>
        <x:v>0.7195</x:v>
      </x:c>
      <x:c r="M91" s="11" t="n">
        <x:f>IF('全量明细'!I578="","",'全量明细'!I578)</x:f>
        <x:v>0.6261</x:v>
      </x:c>
      <x:c r="N91" s="14" t="n">
        <x:f>IF('全量明细'!J578="","",'全量明细'!J578)</x:f>
        <x:v>9.340000000000003</x:v>
      </x:c>
      <x:c r="O91" s="14" t="n">
        <x:f>IF(AND(ISNUMBER(C91),ISNUMBER(I91)),(I91-C91)*100,"")</x:f>
        <x:v>10.102223999999993</x:v>
      </x:c>
      <x:c r="P91" s="17" t="str"/>
    </x:row>
    <x:row r="92" ht="25" customHeight="1">
      <x:c r="A92" s="2" t="str">
        <x:v>瓦库</x:v>
      </x:c>
      <x:c r="B92" s="2" t="str">
        <x:v>原初之爪</x:v>
      </x:c>
      <x:c r="C92" s="28" t="n">
        <x:f>IF('全量明细'!E90="","",'全量明细'!E90)</x:f>
        <x:v>0.53671608</x:v>
      </x:c>
      <x:c r="D92" s="12" t="n">
        <x:f>IF('全量明细'!F90="","",'全量明细'!F90)</x:f>
        <x:v>7000</x:v>
      </x:c>
      <x:c r="E92" s="11" t="n">
        <x:f>IF('全量明细'!G90="","",'全量明细'!G90)</x:f>
        <x:v>0.2316</x:v>
      </x:c>
      <x:c r="F92" s="11" t="n">
        <x:f>IF('全量明细'!H90="","",'全量明细'!H90)</x:f>
        <x:v>0.5089</x:v>
      </x:c>
      <x:c r="G92" s="11" t="n">
        <x:f>IF('全量明细'!I90="","",'全量明细'!I90)</x:f>
        <x:v>0.5451</x:v>
      </x:c>
      <x:c r="H92" s="14" t="n">
        <x:f>IF('全量明细'!J90="","",'全量明细'!J90)</x:f>
        <x:v>-3.620000000000001</x:v>
      </x:c>
      <x:c r="I92" s="28" t="n">
        <x:f>IF('全量明细'!E584="","",'全量明细'!E584)</x:f>
        <x:v>0.64235436</x:v>
      </x:c>
      <x:c r="J92" s="12" t="n">
        <x:f>IF('全量明细'!F584="","",'全量明细'!F584)</x:f>
        <x:v>3400</x:v>
      </x:c>
      <x:c r="K92" s="11" t="n">
        <x:f>IF('全量明细'!G584="","",'全量明细'!G584)</x:f>
        <x:v>0.47909999999999997</x:v>
      </x:c>
      <x:c r="L92" s="11" t="n">
        <x:f>IF('全量明细'!H584="","",'全量明细'!H584)</x:f>
        <x:v>0.6734</x:v>
      </x:c>
      <x:c r="M92" s="11" t="n">
        <x:f>IF('全量明细'!I584="","",'全量明细'!I584)</x:f>
        <x:v>0.6138</x:v>
      </x:c>
      <x:c r="N92" s="14" t="n">
        <x:f>IF('全量明细'!J584="","",'全量明细'!J584)</x:f>
        <x:v>5.959999999999999</x:v>
      </x:c>
      <x:c r="O92" s="14" t="n">
        <x:f>IF(AND(ISNUMBER(C92),ISNUMBER(I92)),(I92-C92)*100,"")</x:f>
        <x:v>10.563827999999997</x:v>
      </x:c>
      <x:c r="P92" s="17" t="str"/>
    </x:row>
    <x:row r="93" ht="25" customHeight="1">
      <x:c r="A93" s="2" t="str">
        <x:v>瓦库</x:v>
      </x:c>
      <x:c r="B93" s="2" t="str">
        <x:v>卓越斗篷</x:v>
      </x:c>
      <x:c r="C93" s="28" t="n">
        <x:f>IF('全量明细'!E82="","",'全量明细'!E82)</x:f>
        <x:v>0.58491764</x:v>
      </x:c>
      <x:c r="D93" s="12" t="n">
        <x:f>IF('全量明细'!F82="","",'全量明细'!F82)</x:f>
        <x:v>6835</x:v>
      </x:c>
      <x:c r="E93" s="11" t="n">
        <x:f>IF('全量明细'!G82="","",'全量明细'!G82)</x:f>
        <x:v>0.5909</x:v>
      </x:c>
      <x:c r="F93" s="11" t="n">
        <x:f>IF('全量明细'!H82="","",'全量明细'!H82)</x:f>
        <x:v>0.6093</x:v>
      </x:c>
      <x:c r="G93" s="11" t="n">
        <x:f>IF('全量明细'!I82="","",'全量明细'!I82)</x:f>
        <x:v>0.5497</x:v>
      </x:c>
      <x:c r="H93" s="14" t="n">
        <x:f>IF('全量明细'!J82="","",'全量明细'!J82)</x:f>
        <x:v>5.959999999999999</x:v>
      </x:c>
      <x:c r="I93" s="28" t="n">
        <x:f>IF('全量明细'!E580="","",'全量明细'!E580)</x:f>
        <x:v>0.6599664900000001</x:v>
      </x:c>
      <x:c r="J93" s="12" t="n">
        <x:f>IF('全量明细'!F580="","",'全量明细'!F580)</x:f>
        <x:v>3420</x:v>
      </x:c>
      <x:c r="K93" s="11" t="n">
        <x:f>IF('全量明细'!G580="","",'全量明细'!G580)</x:f>
        <x:v>0.2751</x:v>
      </x:c>
      <x:c r="L93" s="11" t="n">
        <x:f>IF('全量明细'!H580="","",'全量明细'!H580)</x:f>
        <x:v>0.6164000000000001</x:v>
      </x:c>
      <x:c r="M93" s="11" t="n">
        <x:f>IF('全量明细'!I580="","",'全量明细'!I580)</x:f>
        <x:v>0.6765000000000001</x:v>
      </x:c>
      <x:c r="N93" s="14" t="n">
        <x:f>IF('全量明细'!J580="","",'全量明细'!J580)</x:f>
        <x:v>-6.010000000000004</x:v>
      </x:c>
      <x:c r="O93" s="14" t="n">
        <x:f>IF(AND(ISNUMBER(C93),ISNUMBER(I93)),(I93-C93)*100,"")</x:f>
        <x:v>7.504885000000005</x:v>
      </x:c>
      <x:c r="P93" s="17" t="str"/>
    </x:row>
    <x:row r="94" ht="25" customHeight="1">
      <x:c r="A94" s="20" t="str">
        <x:v>达弗</x:v>
      </x:c>
      <x:c r="B94" s="20" t="str">
        <x:v>尘封魔典</x:v>
      </x:c>
      <x:c r="C94" s="27" t="n">
        <x:f>IF('全量明细'!E97="","",'全量明细'!E97)</x:f>
        <x:v>0.45234604</x:v>
      </x:c>
      <x:c r="D94" s="23" t="n">
        <x:f>IF('全量明细'!F97="","",'全量明细'!F97)</x:f>
        <x:v>8650</x:v>
      </x:c>
      <x:c r="E94" s="22" t="n">
        <x:f>IF('全量明细'!G97="","",'全量明细'!G97)</x:f>
        <x:v>0.17579999999999998</x:v>
      </x:c>
      <x:c r="F94" s="22" t="n">
        <x:f>IF('全量明细'!H97="","",'全量明细'!H97)</x:f>
        <x:v>0.38130000000000003</x:v>
      </x:c>
      <x:c r="G94" s="22" t="n">
        <x:f>IF('全量明细'!I97="","",'全量明细'!I97)</x:f>
        <x:v>0.4675</x:v>
      </x:c>
      <x:c r="H94" s="24" t="n">
        <x:f>IF('全量明细'!J97="","",'全量明细'!J97)</x:f>
        <x:v>-8.62</x:v>
      </x:c>
      <x:c r="I94" s="27" t="n">
        <x:f>IF('全量明细'!E596="","",'全量明细'!E596)</x:f>
        <x:v>0.5419061000000001</x:v>
      </x:c>
      <x:c r="J94" s="23" t="n">
        <x:f>IF('全量明细'!F596="","",'全量明细'!F596)</x:f>
        <x:v>4006</x:v>
      </x:c>
      <x:c r="K94" s="22" t="n">
        <x:f>IF('全量明细'!G596="","",'全量明细'!G596)</x:f>
        <x:v>0.19949999999999998</x:v>
      </x:c>
      <x:c r="L94" s="22" t="n">
        <x:f>IF('全量明细'!H596="","",'全量明细'!H596)</x:f>
        <x:v>0.4681</x:v>
      </x:c>
      <x:c r="M94" s="22" t="n">
        <x:f>IF('全量明细'!I596="","",'全量明细'!I596)</x:f>
        <x:v>0.5603</x:v>
      </x:c>
      <x:c r="N94" s="24" t="n">
        <x:f>IF('全量明细'!J596="","",'全量明细'!J596)</x:f>
        <x:v>-9.22</x:v>
      </x:c>
      <x:c r="O94" s="24" t="n">
        <x:f>IF(AND(ISNUMBER(C94),ISNUMBER(I94)),(I94-C94)*100,"")</x:f>
        <x:v>8.956006000000006</x:v>
      </x:c>
      <x:c r="P94" s="31" t="str">
        <x:v>不同幕混合，勿直接解释为纯强度</x:v>
      </x:c>
    </x:row>
    <x:row r="95" ht="25" customHeight="1">
      <x:c r="A95" s="2" t="str">
        <x:v>达弗</x:v>
      </x:c>
      <x:c r="B95" s="2" t="str">
        <x:v>符文金字塔</x:v>
      </x:c>
      <x:c r="C95" s="28" t="n">
        <x:f>IF('全量明细'!E94="","",'全量明细'!E94)</x:f>
        <x:v>0.51832314</x:v>
      </x:c>
      <x:c r="D95" s="12" t="n">
        <x:f>IF('全量明细'!F94="","",'全量明细'!F94)</x:f>
        <x:v>5525</x:v>
      </x:c>
      <x:c r="E95" s="11" t="n">
        <x:f>IF('全量明细'!G94="","",'全量明细'!G94)</x:f>
        <x:v>0.6282</x:v>
      </x:c>
      <x:c r="F95" s="11" t="n">
        <x:f>IF('全量明细'!H94="","",'全量明细'!H94)</x:f>
        <x:v>0.6067</x:v>
      </x:c>
      <x:c r="G95" s="11" t="n">
        <x:f>IF('全量明细'!I94="","",'全量明细'!I94)</x:f>
        <x:v>0.369</x:v>
      </x:c>
      <x:c r="H95" s="14" t="n">
        <x:f>IF('全量明细'!J94="","",'全量明细'!J94)</x:f>
        <x:v>23.770000000000003</x:v>
      </x:c>
      <x:c r="I95" s="28" t="n">
        <x:f>IF('全量明细'!E588="","",'全量明细'!E588)</x:f>
        <x:v>0.63409848</x:v>
      </x:c>
      <x:c r="J95" s="12" t="n">
        <x:f>IF('全量明细'!F588="","",'全量明细'!F588)</x:f>
        <x:v>1954</x:v>
      </x:c>
      <x:c r="K95" s="11" t="n">
        <x:f>IF('全量明细'!G588="","",'全量明细'!G588)</x:f>
        <x:v>0.6796</x:v>
      </x:c>
      <x:c r="L95" s="11" t="n">
        <x:f>IF('全量明细'!H588="","",'全量明细'!H588)</x:f>
        <x:v>0.7026</x:v>
      </x:c>
      <x:c r="M95" s="11" t="n">
        <x:f>IF('全量明细'!I588="","",'全量明细'!I588)</x:f>
        <x:v>0.4888</x:v>
      </x:c>
      <x:c r="N95" s="14" t="n">
        <x:f>IF('全量明细'!J588="","",'全量明细'!J588)</x:f>
        <x:v>21.38</x:v>
      </x:c>
      <x:c r="O95" s="14" t="n">
        <x:f>IF(AND(ISNUMBER(C95),ISNUMBER(I95)),(I95-C95)*100,"")</x:f>
        <x:v>11.577534</x:v>
      </x:c>
      <x:c r="P95" s="17" t="str">
        <x:v>不同幕混合，勿直接解释为纯强度</x:v>
      </x:c>
    </x:row>
    <x:row r="96" ht="25" customHeight="1">
      <x:c r="A96" s="2" t="str">
        <x:v>达弗</x:v>
      </x:c>
      <x:c r="B96" s="2" t="str">
        <x:v>黑星</x:v>
      </x:c>
      <x:c r="C96" s="28" t="n">
        <x:f>IF('全量明细'!E100="","",'全量明细'!E100)</x:f>
        <x:v>0.44005632</x:v>
      </x:c>
      <x:c r="D96" s="12" t="n">
        <x:f>IF('全量明细'!F100="","",'全量明细'!F100)</x:f>
        <x:v>5470</x:v>
      </x:c>
      <x:c r="E96" s="11" t="n">
        <x:f>IF('全量明细'!G100="","",'全量明细'!G100)</x:f>
        <x:v>0.2548</x:v>
      </x:c>
      <x:c r="F96" s="11" t="n">
        <x:f>IF('全量明细'!H100="","",'全量明细'!H100)</x:f>
        <x:v>0.38670000000000004</x:v>
      </x:c>
      <x:c r="G96" s="11" t="n">
        <x:f>IF('全量明细'!I100="","",'全量明细'!I100)</x:f>
        <x:v>0.4583</x:v>
      </x:c>
      <x:c r="H96" s="14" t="n">
        <x:f>IF('全量明细'!J100="","",'全量明细'!J100)</x:f>
        <x:v>-7.159999999999994</x:v>
      </x:c>
      <x:c r="I96" s="28" t="n">
        <x:f>IF('全量明细'!E593="","",'全量明细'!E593)</x:f>
        <x:v>0.54850734</x:v>
      </x:c>
      <x:c r="J96" s="12" t="n">
        <x:f>IF('全量明细'!F593="","",'全量明细'!F593)</x:f>
        <x:v>1929</x:v>
      </x:c>
      <x:c r="K96" s="11" t="n">
        <x:f>IF('全量明细'!G593="","",'全量明细'!G593)</x:f>
        <x:v>0.3209</x:v>
      </x:c>
      <x:c r="L96" s="11" t="n">
        <x:f>IF('全量明细'!H593="","",'全量明细'!H593)</x:f>
        <x:v>0.5299</x:v>
      </x:c>
      <x:c r="M96" s="11" t="n">
        <x:f>IF('全量明细'!I593="","",'全量明细'!I593)</x:f>
        <x:v>0.5573</x:v>
      </x:c>
      <x:c r="N96" s="14" t="n">
        <x:f>IF('全量明细'!J593="","",'全量明细'!J593)</x:f>
        <x:v>-2.739999999999998</x:v>
      </x:c>
      <x:c r="O96" s="14" t="n">
        <x:f>IF(AND(ISNUMBER(C96),ISNUMBER(I96)),(I96-C96)*100,"")</x:f>
        <x:v>10.845102</x:v>
      </x:c>
      <x:c r="P96" s="17" t="str">
        <x:v>不同幕混合，勿直接解释为纯强度</x:v>
      </x:c>
    </x:row>
    <x:row r="97" ht="25" customHeight="1">
      <x:c r="A97" s="2" t="str">
        <x:v>达弗</x:v>
      </x:c>
      <x:c r="B97" s="2" t="str">
        <x:v>空鸟笼</x:v>
      </x:c>
      <x:c r="C97" s="28" t="n">
        <x:f>IF('全量明细'!E99="","",'全量明细'!E99)</x:f>
        <x:v>0.44554459999999996</x:v>
      </x:c>
      <x:c r="D97" s="12" t="n">
        <x:f>IF('全量明细'!F99="","",'全量明细'!F99)</x:f>
        <x:v>5440</x:v>
      </x:c>
      <x:c r="E97" s="11" t="n">
        <x:f>IF('全量明细'!G99="","",'全量明细'!G99)</x:f>
        <x:v>0.4046</x:v>
      </x:c>
      <x:c r="F97" s="11" t="n">
        <x:f>IF('全量明细'!H99="","",'全量明细'!H99)</x:f>
        <x:v>0.38659999999999994</x:v>
      </x:c>
      <x:c r="G97" s="11" t="n">
        <x:f>IF('全量明细'!I99="","",'全量明细'!I99)</x:f>
        <x:v>0.48560000000000003</x:v>
      </x:c>
      <x:c r="H97" s="14" t="n">
        <x:f>IF('全量明细'!J99="","",'全量明细'!J99)</x:f>
        <x:v>-9.90000000000001</x:v>
      </x:c>
      <x:c r="I97" s="28" t="n">
        <x:f>IF('全量明细'!E594="","",'全量明细'!E594)</x:f>
        <x:v>0.54777012</x:v>
      </x:c>
      <x:c r="J97" s="12" t="n">
        <x:f>IF('全量明细'!F594="","",'全量明细'!F594)</x:f>
        <x:v>1988</x:v>
      </x:c>
      <x:c r="K97" s="11" t="n">
        <x:f>IF('全量明细'!G594="","",'全量明细'!G594)</x:f>
        <x:v>0.4276</x:v>
      </x:c>
      <x:c r="L97" s="11" t="n">
        <x:f>IF('全量明细'!H594="","",'全量明细'!H594)</x:f>
        <x:v>0.48119999999999996</x:v>
      </x:c>
      <x:c r="M97" s="11" t="n">
        <x:f>IF('全量明细'!I594="","",'全量明细'!I594)</x:f>
        <x:v>0.5975</x:v>
      </x:c>
      <x:c r="N97" s="14" t="n">
        <x:f>IF('全量明细'!J594="","",'全量明细'!J594)</x:f>
        <x:v>-11.630000000000006</x:v>
      </x:c>
      <x:c r="O97" s="14" t="n">
        <x:f>IF(AND(ISNUMBER(C97),ISNUMBER(I97)),(I97-C97)*100,"")</x:f>
        <x:v>10.222552000000007</x:v>
      </x:c>
      <x:c r="P97" s="17" t="str">
        <x:v>不同幕混合，勿直接解释为纯强度</x:v>
      </x:c>
    </x:row>
    <x:row r="98" ht="25" customHeight="1">
      <x:c r="A98" s="2" t="str">
        <x:v>达弗</x:v>
      </x:c>
      <x:c r="B98" s="2" t="str">
        <x:v>灵体外质</x:v>
      </x:c>
      <x:c r="C98" s="28" t="n">
        <x:f>IF('全量明细'!E103="","",'全量明细'!E103)</x:f>
        <x:v>0.40016408000000003</x:v>
      </x:c>
      <x:c r="D98" s="12" t="n">
        <x:f>IF('全量明细'!F103="","",'全量明细'!F103)</x:f>
        <x:v>2094</x:v>
      </x:c>
      <x:c r="E98" s="11" t="n">
        <x:f>IF('全量明细'!G103="","",'全量明细'!G103)</x:f>
        <x:v>0.0812</x:v>
      </x:c>
      <x:c r="F98" s="11" t="n">
        <x:f>IF('全量明细'!H103="","",'全量明细'!H103)</x:f>
        <x:v>0.39409999999999995</x:v>
      </x:c>
      <x:c r="G98" s="11" t="n">
        <x:f>IF('全量明细'!I103="","",'全量明细'!I103)</x:f>
        <x:v>0.4007</x:v>
      </x:c>
      <x:c r="H98" s="14" t="n">
        <x:f>IF('全量明细'!J103="","",'全量明细'!J103)</x:f>
        <x:v>-0.660000000000005</x:v>
      </x:c>
      <x:c r="I98" s="28" t="n">
        <x:f>IF('全量明细'!E599="","",'全量明细'!E599)</x:f>
        <x:v>0.49693648</x:v>
      </x:c>
      <x:c r="J98" s="12" t="n">
        <x:f>IF('全量明细'!F599="","",'全量明细'!F599)</x:f>
        <x:v>1318</x:v>
      </x:c>
      <x:c r="K98" s="11" t="n">
        <x:f>IF('全量明细'!G599="","",'全量明细'!G599)</x:f>
        <x:v>0.0873</x:v>
      </x:c>
      <x:c r="L98" s="11" t="n">
        <x:f>IF('全量明细'!H599="","",'全量明细'!H599)</x:f>
        <x:v>0.513</x:v>
      </x:c>
      <x:c r="M98" s="11" t="n">
        <x:f>IF('全量明细'!I599="","",'全量明细'!I599)</x:f>
        <x:v>0.4954</x:v>
      </x:c>
      <x:c r="N98" s="14" t="n">
        <x:f>IF('全量明细'!J599="","",'全量明细'!J599)</x:f>
        <x:v>1.7600000000000005</x:v>
      </x:c>
      <x:c r="O98" s="14" t="n">
        <x:f>IF(AND(ISNUMBER(C98),ISNUMBER(I98)),(I98-C98)*100,"")</x:f>
        <x:v>9.677239999999998</x:v>
      </x:c>
      <x:c r="P98" s="17" t="str">
        <x:v>不同幕混合，勿直接解释为纯强度</x:v>
      </x:c>
    </x:row>
    <x:row r="99" ht="25" customHeight="1">
      <x:c r="A99" s="2" t="str">
        <x:v>达弗</x:v>
      </x:c>
      <x:c r="B99" s="2" t="str">
        <x:v>潘多拉魔盒</x:v>
      </x:c>
      <x:c r="C99" s="28" t="n">
        <x:f>IF('全量明细'!E95="","",'全量明细'!E95)</x:f>
        <x:v>0.47806108</x:v>
      </x:c>
      <x:c r="D99" s="12" t="n">
        <x:f>IF('全量明细'!F95="","",'全量明细'!F95)</x:f>
        <x:v>5340</x:v>
      </x:c>
      <x:c r="E99" s="11" t="n">
        <x:f>IF('全量明细'!G95="","",'全量明细'!G95)</x:f>
        <x:v>0.46630000000000005</x:v>
      </x:c>
      <x:c r="F99" s="11" t="n">
        <x:f>IF('全量明细'!H95="","",'全量明细'!H95)</x:f>
        <x:v>0.5056</x:v>
      </x:c>
      <x:c r="G99" s="11" t="n">
        <x:f>IF('全量明细'!I95="","",'全量明细'!I95)</x:f>
        <x:v>0.45399999999999996</x:v>
      </x:c>
      <x:c r="H99" s="14" t="n">
        <x:f>IF('全量明细'!J95="","",'全量明细'!J95)</x:f>
        <x:v>5.160000000000009</x:v>
      </x:c>
      <x:c r="I99" s="28" t="n">
        <x:f>IF('全量明细'!E589="","",'全量明细'!E589)</x:f>
        <x:v>0.58757685</x:v>
      </x:c>
      <x:c r="J99" s="12" t="n">
        <x:f>IF('全量明细'!F589="","",'全量明细'!F589)</x:f>
        <x:v>2015</x:v>
      </x:c>
      <x:c r="K99" s="11" t="n">
        <x:f>IF('全量明细'!G589="","",'全量明细'!G589)</x:f>
        <x:v>0.5285</x:v>
      </x:c>
      <x:c r="L99" s="11" t="n">
        <x:f>IF('全量明细'!H589="","",'全量明细'!H589)</x:f>
        <x:v>0.6178</x:v>
      </x:c>
      <x:c r="M99" s="11" t="n">
        <x:f>IF('全量明细'!I589="","",'全量明细'!I589)</x:f>
        <x:v>0.5537</x:v>
      </x:c>
      <x:c r="N99" s="14" t="n">
        <x:f>IF('全量明细'!J589="","",'全量明细'!J589)</x:f>
        <x:v>6.410000000000005</x:v>
      </x:c>
      <x:c r="O99" s="14" t="n">
        <x:f>IF(AND(ISNUMBER(C99),ISNUMBER(I99)),(I99-C99)*100,"")</x:f>
        <x:v>10.951577</x:v>
      </x:c>
      <x:c r="P99" s="17" t="str">
        <x:v>不同幕混合，勿直接解释为纯强度</x:v>
      </x:c>
    </x:row>
    <x:row r="100" ht="25" customHeight="1">
      <x:c r="A100" s="2" t="str">
        <x:v>达弗</x:v>
      </x:c>
      <x:c r="B100" s="2" t="str">
        <x:v>天鹅绒颈圈</x:v>
      </x:c>
      <x:c r="C100" s="28" t="n">
        <x:f>IF('全量明细'!E93="","",'全量明细'!E93)</x:f>
        <x:v>0.5543520000000001</x:v>
      </x:c>
      <x:c r="D100" s="12" t="n">
        <x:f>IF('全量明细'!F93="","",'全量明细'!F93)</x:f>
        <x:v>662</x:v>
      </x:c>
      <x:c r="E100" s="11" t="n">
        <x:f>IF('全量明细'!G93="","",'全量明细'!G93)</x:f>
        <x:v>0.068</x:v>
      </x:c>
      <x:c r="F100" s="11" t="n">
        <x:f>IF('全量明细'!H93="","",'全量明细'!H93)</x:f>
        <x:v>0.3111</x:v>
      </x:c>
      <x:c r="G100" s="11" t="n">
        <x:f>IF('全量明细'!I93="","",'全量明细'!I93)</x:f>
        <x:v>0.5721</x:v>
      </x:c>
      <x:c r="H100" s="14" t="n">
        <x:f>IF('全量明细'!J93="","",'全量明细'!J93)</x:f>
        <x:v>-26.100000000000005</x:v>
      </x:c>
      <x:c r="I100" s="28" t="n">
        <x:f>IF('全量明细'!E595="","",'全量明细'!E595)</x:f>
        <x:v>0.5463209</x:v>
      </x:c>
      <x:c r="J100" s="12" t="n">
        <x:f>IF('全量明细'!F595="","",'全量明细'!F595)</x:f>
        <x:v>1900</x:v>
      </x:c>
      <x:c r="K100" s="11" t="n">
        <x:f>IF('全量明细'!G595="","",'全量明细'!G595)</x:f>
        <x:v>0.0658</x:v>
      </x:c>
      <x:c r="L100" s="11" t="n">
        <x:f>IF('全量明细'!H595="","",'全量明细'!H595)</x:f>
        <x:v>0.41600000000000004</x:v>
      </x:c>
      <x:c r="M100" s="11" t="n">
        <x:f>IF('全量明细'!I595="","",'全量明细'!I595)</x:f>
        <x:v>0.5555</x:v>
      </x:c>
      <x:c r="N100" s="14" t="n">
        <x:f>IF('全量明细'!J595="","",'全量明细'!J595)</x:f>
        <x:v>-13.949999999999996</x:v>
      </x:c>
      <x:c r="O100" s="14" t="n">
        <x:f>IF(AND(ISNUMBER(C100),ISNUMBER(I100)),(I100-C100)*100,"")</x:f>
        <x:v>-0.8031100000000069</x:v>
      </x:c>
      <x:c r="P100" s="17" t="str">
        <x:v>不同幕混合，勿直接解释为纯强度</x:v>
      </x:c>
    </x:row>
    <x:row r="101" ht="25" customHeight="1">
      <x:c r="A101" s="2" t="str">
        <x:v>达弗</x:v>
      </x:c>
      <x:c r="B101" s="2" t="str">
        <x:v>添水</x:v>
      </x:c>
      <x:c r="C101" s="28" t="n">
        <x:f>IF('全量明细'!E102="","",'全量明细'!E102)</x:f>
        <x:v>0.41926325</x:v>
      </x:c>
      <x:c r="D101" s="12" t="n">
        <x:f>IF('全量明细'!F102="","",'全量明细'!F102)</x:f>
        <x:v>2106</x:v>
      </x:c>
      <x:c r="E101" s="11" t="n">
        <x:f>IF('全量明细'!G102="","",'全量明细'!G102)</x:f>
        <x:v>0.1225</x:v>
      </x:c>
      <x:c r="F101" s="11" t="n">
        <x:f>IF('全量明细'!H102="","",'全量明细'!H102)</x:f>
        <x:v>0.3488</x:v>
      </x:c>
      <x:c r="G101" s="11" t="n">
        <x:f>IF('全量明细'!I102="","",'全量明细'!I102)</x:f>
        <x:v>0.4291</x:v>
      </x:c>
      <x:c r="H101" s="14" t="n">
        <x:f>IF('全量明细'!J102="","",'全量明细'!J102)</x:f>
        <x:v>-8.029999999999998</x:v>
      </x:c>
      <x:c r="I101" s="28" t="n">
        <x:f>IF('全量明细'!E598="","",'全量明细'!E598)</x:f>
        <x:v>0.50734325</x:v>
      </x:c>
      <x:c r="J101" s="12" t="n">
        <x:f>IF('全量明细'!F598="","",'全量明细'!F598)</x:f>
        <x:v>1356</x:v>
      </x:c>
      <x:c r="K101" s="11" t="n">
        <x:f>IF('全量明细'!G598="","",'全量明细'!G598)</x:f>
        <x:v>0.1777</x:v>
      </x:c>
      <x:c r="L101" s="11" t="n">
        <x:f>IF('全量明细'!H598="","",'全量明细'!H598)</x:f>
        <x:v>0.4025</x:v>
      </x:c>
      <x:c r="M101" s="11" t="n">
        <x:f>IF('全量明细'!I598="","",'全量明细'!I598)</x:f>
        <x:v>0.53</x:v>
      </x:c>
      <x:c r="N101" s="14" t="n">
        <x:f>IF('全量明细'!J598="","",'全量明细'!J598)</x:f>
        <x:v>-12.75</x:v>
      </x:c>
      <x:c r="O101" s="14" t="n">
        <x:f>IF(AND(ISNUMBER(C101),ISNUMBER(I101)),(I101-C101)*100,"")</x:f>
        <x:v>8.808000000000005</x:v>
      </x:c>
      <x:c r="P101" s="17" t="str">
        <x:v>不同幕混合，勿直接解释为纯强度</x:v>
      </x:c>
    </x:row>
    <x:row r="102" ht="25" customHeight="1">
      <x:c r="A102" s="2" t="str">
        <x:v>达弗</x:v>
      </x:c>
      <x:c r="B102" s="2" t="str">
        <x:v>贤者之石</x:v>
      </x:c>
      <x:c r="C102" s="28" t="n">
        <x:f>IF('全量明细'!E92="","",'全量明细'!E92)</x:f>
        <x:v>0.55459002</x:v>
      </x:c>
      <x:c r="D102" s="12" t="n">
        <x:f>IF('全量明细'!F92="","",'全量明细'!F92)</x:f>
        <x:v>696</x:v>
      </x:c>
      <x:c r="E102" s="11" t="n">
        <x:f>IF('全量明细'!G92="","",'全量明细'!G92)</x:f>
        <x:v>0.3506</x:v>
      </x:c>
      <x:c r="F102" s="11" t="n">
        <x:f>IF('全量明细'!H92="","",'全量明细'!H92)</x:f>
        <x:v>0.5492</x:v>
      </x:c>
      <x:c r="G102" s="11" t="n">
        <x:f>IF('全量明细'!I92="","",'全量明细'!I92)</x:f>
        <x:v>0.5575</x:v>
      </x:c>
      <x:c r="H102" s="14" t="n">
        <x:f>IF('全量明细'!J92="","",'全量明细'!J92)</x:f>
        <x:v>-0.8299999999999974</x:v>
      </x:c>
      <x:c r="I102" s="28" t="n">
        <x:f>IF('全量明细'!E597="","",'全量明细'!E597)</x:f>
        <x:v>0.54029494</x:v>
      </x:c>
      <x:c r="J102" s="12" t="n">
        <x:f>IF('全量明细'!F597="","",'全量明细'!F597)</x:f>
        <x:v>1986</x:v>
      </x:c>
      <x:c r="K102" s="11" t="n">
        <x:f>IF('全量明细'!G597="","",'全量明细'!G597)</x:f>
        <x:v>0.4119</x:v>
      </x:c>
      <x:c r="L102" s="11" t="n">
        <x:f>IF('全量明细'!H597="","",'全量明细'!H597)</x:f>
        <x:v>0.5183</x:v>
      </x:c>
      <x:c r="M102" s="11" t="n">
        <x:f>IF('全量明细'!I597="","",'全量明细'!I597)</x:f>
        <x:v>0.5557</x:v>
      </x:c>
      <x:c r="N102" s="14" t="n">
        <x:f>IF('全量明细'!J597="","",'全量明细'!J597)</x:f>
        <x:v>-3.739999999999999</x:v>
      </x:c>
      <x:c r="O102" s="14" t="n">
        <x:f>IF(AND(ISNUMBER(C102),ISNUMBER(I102)),(I102-C102)*100,"")</x:f>
        <x:v>-1.4295080000000016</x:v>
      </x:c>
      <x:c r="P102" s="17" t="str">
        <x:v>不同幕混合，勿直接解释为纯强度</x:v>
      </x:c>
    </x:row>
    <x:row r="103" ht="25" customHeight="1">
      <x:c r="A103" s="2" t="str">
        <x:v>达弗</x:v>
      </x:c>
      <x:c r="B103" s="2" t="str">
        <x:v>星盘</x:v>
      </x:c>
      <x:c r="C103" s="28" t="n">
        <x:f>IF('全量明细'!E96="","",'全量明细'!E96)</x:f>
        <x:v>0.46316082999999997</x:v>
      </x:c>
      <x:c r="D103" s="12" t="n">
        <x:f>IF('全量明细'!F96="","",'全量明细'!F96)</x:f>
        <x:v>5506</x:v>
      </x:c>
      <x:c r="E103" s="11" t="n">
        <x:f>IF('全量明细'!G96="","",'全量明细'!G96)</x:f>
        <x:v>0.6199</x:v>
      </x:c>
      <x:c r="F103" s="11" t="n">
        <x:f>IF('全量明细'!H96="","",'全量明细'!H96)</x:f>
        <x:v>0.4372</x:v>
      </x:c>
      <x:c r="G103" s="11" t="n">
        <x:f>IF('全量明细'!I96="","",'全量明细'!I96)</x:f>
        <x:v>0.5055</x:v>
      </x:c>
      <x:c r="H103" s="14" t="n">
        <x:f>IF('全量明细'!J96="","",'全量明细'!J96)</x:f>
        <x:v>-6.829999999999997</x:v>
      </x:c>
      <x:c r="I103" s="28" t="n">
        <x:f>IF('全量明细'!E590="","",'全量明细'!E590)</x:f>
        <x:v>0.55822076</x:v>
      </x:c>
      <x:c r="J103" s="12" t="n">
        <x:f>IF('全量明细'!F590="","",'全量明细'!F590)</x:f>
        <x:v>1940</x:v>
      </x:c>
      <x:c r="K103" s="11" t="n">
        <x:f>IF('全量明细'!G590="","",'全量明细'!G590)</x:f>
        <x:v>0.6381</x:v>
      </x:c>
      <x:c r="L103" s="11" t="n">
        <x:f>IF('全量明细'!H590="","",'全量明细'!H590)</x:f>
        <x:v>0.5436</x:v>
      </x:c>
      <x:c r="M103" s="11" t="n">
        <x:f>IF('全量明细'!I590="","",'全量明细'!I590)</x:f>
        <x:v>0.584</x:v>
      </x:c>
      <x:c r="N103" s="14" t="n">
        <x:f>IF('全量明细'!J590="","",'全量明细'!J590)</x:f>
        <x:v>-4.039999999999999</x:v>
      </x:c>
      <x:c r="O103" s="14" t="n">
        <x:f>IF(AND(ISNUMBER(C103),ISNUMBER(I103)),(I103-C103)*100,"")</x:f>
        <x:v>9.505993000000002</x:v>
      </x:c>
      <x:c r="P103" s="17" t="str">
        <x:v>不同幕混合，勿直接解释为纯强度</x:v>
      </x:c>
    </x:row>
    <x:row r="104" ht="25" customHeight="1">
      <x:c r="A104" s="2" t="str">
        <x:v>达弗</x:v>
      </x:c>
      <x:c r="B104" s="2" t="str">
        <x:v>异蛇之眼</x:v>
      </x:c>
      <x:c r="C104" s="28" t="n">
        <x:f>IF('全量明细'!E98="","",'全量明细'!E98)</x:f>
        <x:v>0.45048</x:v>
      </x:c>
      <x:c r="D104" s="12" t="n">
        <x:f>IF('全量明细'!F98="","",'全量明细'!F98)</x:f>
        <x:v>5325</x:v>
      </x:c>
      <x:c r="E104" s="11" t="n">
        <x:f>IF('全量明细'!G98="","",'全量明细'!G98)</x:f>
        <x:v>0.05</x:v>
      </x:c>
      <x:c r="F104" s="11" t="n">
        <x:f>IF('全量明细'!H98="","",'全量明细'!H98)</x:f>
        <x:v>0.5489</x:v>
      </x:c>
      <x:c r="G104" s="11" t="n">
        <x:f>IF('全量明细'!I98="","",'全量明细'!I98)</x:f>
        <x:v>0.44530000000000003</x:v>
      </x:c>
      <x:c r="H104" s="14" t="n">
        <x:f>IF('全量明细'!J98="","",'全量明细'!J98)</x:f>
        <x:v>10.360000000000003</x:v>
      </x:c>
      <x:c r="I104" s="28" t="n">
        <x:f>IF('全量明细'!E591="","",'全量明细'!E591)</x:f>
        <x:v>0.55387319</x:v>
      </x:c>
      <x:c r="J104" s="12" t="n">
        <x:f>IF('全量明细'!F591="","",'全量明细'!F591)</x:f>
        <x:v>1939</x:v>
      </x:c>
      <x:c r="K104" s="11" t="n">
        <x:f>IF('全量明细'!G591="","",'全量明细'!G591)</x:f>
        <x:v>0.09230000000000001</x:v>
      </x:c>
      <x:c r="L104" s="11" t="n">
        <x:f>IF('全量明细'!H591="","",'全量明细'!H591)</x:f>
        <x:v>0.6313</x:v>
      </x:c>
      <x:c r="M104" s="11" t="n">
        <x:f>IF('全量明细'!I591="","",'全量明细'!I591)</x:f>
        <x:v>0.546</x:v>
      </x:c>
      <x:c r="N104" s="14" t="n">
        <x:f>IF('全量明细'!J591="","",'全量明细'!J591)</x:f>
        <x:v>8.529999999999994</x:v>
      </x:c>
      <x:c r="O104" s="14" t="n">
        <x:f>IF(AND(ISNUMBER(C104),ISNUMBER(I104)),(I104-C104)*100,"")</x:f>
        <x:v>10.339319000000003</x:v>
      </x:c>
      <x:c r="P104" s="17" t="str">
        <x:v>不同幕混合，勿直接解释为纯强度</x:v>
      </x:c>
    </x:row>
    <x:row r="105" ht="25" customHeight="1">
      <x:c r="A105" s="2" t="str">
        <x:v>达弗</x:v>
      </x:c>
      <x:c r="B105" s="2" t="str">
        <x:v>召唤铃铛</x:v>
      </x:c>
      <x:c r="C105" s="28" t="n">
        <x:f>IF('全量明细'!E101="","",'全量明细'!E101)</x:f>
        <x:v>0.4356832</x:v>
      </x:c>
      <x:c r="D105" s="12" t="n">
        <x:f>IF('全量明细'!F101="","",'全量明细'!F101)</x:f>
        <x:v>5422</x:v>
      </x:c>
      <x:c r="E105" s="11" t="n">
        <x:f>IF('全量明细'!G101="","",'全量明细'!G101)</x:f>
        <x:v>0.336</x:v>
      </x:c>
      <x:c r="F105" s="11" t="n">
        <x:f>IF('全量明细'!H101="","",'全量明细'!H101)</x:f>
        <x:v>0.3568</x:v>
      </x:c>
      <x:c r="G105" s="11" t="n">
        <x:f>IF('全量明细'!I101="","",'全量明细'!I101)</x:f>
        <x:v>0.4756</x:v>
      </x:c>
      <x:c r="H105" s="14" t="n">
        <x:f>IF('全量明细'!J101="","",'全量明细'!J101)</x:f>
        <x:v>-11.880000000000003</x:v>
      </x:c>
      <x:c r="I105" s="28" t="n">
        <x:f>IF('全量明细'!E592="","",'全量明细'!E592)</x:f>
        <x:v>0.54947561</x:v>
      </x:c>
      <x:c r="J105" s="12" t="n">
        <x:f>IF('全量明细'!F592="","",'全量明细'!F592)</x:f>
        <x:v>1909</x:v>
      </x:c>
      <x:c r="K105" s="11" t="n">
        <x:f>IF('全量明细'!G592="","",'全量明细'!G592)</x:f>
        <x:v>0.34990000000000004</x:v>
      </x:c>
      <x:c r="L105" s="11" t="n">
        <x:f>IF('全量明细'!H592="","",'全量明细'!H592)</x:f>
        <x:v>0.4805</x:v>
      </x:c>
      <x:c r="M105" s="11" t="n">
        <x:f>IF('全量明细'!I592="","",'全量明细'!I592)</x:f>
        <x:v>0.5866</x:v>
      </x:c>
      <x:c r="N105" s="14" t="n">
        <x:f>IF('全量明细'!J592="","",'全量明细'!J592)</x:f>
        <x:v>-10.610000000000003</x:v>
      </x:c>
      <x:c r="O105" s="14" t="n">
        <x:f>IF(AND(ISNUMBER(C105),ISNUMBER(I105)),(I105-C105)*100,"")</x:f>
        <x:v>11.379241</x:v>
      </x:c>
      <x:c r="P105" s="17" t="str">
        <x:v>不同幕混合，勿直接解释为纯强度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b5e4183c70ac438b"/>
  </x:tableParts>
</x:worksheet>
</file>

<file path=xl/worksheets/sheet4.xml><?xml version="1.0" encoding="utf-8"?>
<x:worksheet xmlns:x="http://schemas.openxmlformats.org/spreadsheetml/2006/main">
  <x:sheetPr>
    <x:tabColor rgb="FF087F8C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  <x:col min="8" max="8" width="17" hidden="0" customWidth="1"/>
    <x:col min="9" max="9" width="15" hidden="0" customWidth="1"/>
    <x:col min="10" max="10" width="15" hidden="0" customWidth="1"/>
    <x:col min="11" max="11" width="14" hidden="0" customWidth="1"/>
    <x:col min="12" max="12" width="16" hidden="0" customWidth="1"/>
    <x:col min="13" max="13" width="16" hidden="0" customWidth="1"/>
    <x:col min="14" max="14" width="17" hidden="0" customWidth="1"/>
    <x:col min="15" max="15" width="21" hidden="0" customWidth="1"/>
    <x:col min="16" max="16" width="55" hidden="0" customWidth="1"/>
  </x:cols>
  <x:sheetData>
    <x:row r="1" ht="43" customHeight="1">
      <x:c r="A1" s="4" t="str">
        <x:v>静默猎手 · 两版对照 / 按先古之民分组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5" customHeight="1">
      <x:c r="A2" s="6" t="str">
        <x:v>每个版本保留出现胜率、出现次数、选取率、选择/跳过后胜率和选跳差。空白表示该筛选下未显示记录；不按零值处理。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56" customHeight="1">
      <x:c r="A4" s="8" t="str">
        <x:v>先古之民</x:v>
      </x:c>
      <x:c r="B4" s="8" t="str">
        <x:v>遗物</x:v>
      </x:c>
      <x:c r="C4" s="29" t="str">
        <x:v>0.107
出现胜率</x:v>
      </x:c>
      <x:c r="D4" s="29" t="str">
        <x:v>0.107
出现次数</x:v>
      </x:c>
      <x:c r="E4" s="29" t="str">
        <x:v>0.107
选取率</x:v>
      </x:c>
      <x:c r="F4" s="29" t="str">
        <x:v>0.107
选择后胜率</x:v>
      </x:c>
      <x:c r="G4" s="29" t="str">
        <x:v>0.107
跳过后胜率</x:v>
      </x:c>
      <x:c r="H4" s="29" t="str">
        <x:v>0.107
选跳差(pp)</x:v>
      </x:c>
      <x:c r="I4" s="30" t="str">
        <x:v>0.111
出现胜率</x:v>
      </x:c>
      <x:c r="J4" s="30" t="str">
        <x:v>0.111
出现次数</x:v>
      </x:c>
      <x:c r="K4" s="30" t="str">
        <x:v>0.111
选取率</x:v>
      </x:c>
      <x:c r="L4" s="30" t="str">
        <x:v>0.111
选择后胜率</x:v>
      </x:c>
      <x:c r="M4" s="30" t="str">
        <x:v>0.111
跳过后胜率</x:v>
      </x:c>
      <x:c r="N4" s="30" t="str">
        <x:v>0.111
选跳差(pp)</x:v>
      </x:c>
      <x:c r="O4" s="8" t="str">
        <x:v>出现胜率变化
0.111−0.107(pp)</x:v>
      </x:c>
      <x:c r="P4" s="8" t="str">
        <x:v>备注</x:v>
      </x:c>
    </x:row>
    <x:row r="5" ht="25" customHeight="1">
      <x:c r="A5" s="20" t="str">
        <x:v>涅奥</x:v>
      </x:c>
      <x:c r="B5" s="20" t="str">
        <x:v>奥术卷轴</x:v>
      </x:c>
      <x:c r="C5" s="27" t="n">
        <x:f>IF('全量明细'!E113="","",'全量明细'!E113)</x:f>
        <x:v>0.24387877000000002</x:v>
      </x:c>
      <x:c r="D5" s="23" t="n">
        <x:f>IF('全量明细'!F113="","",'全量明细'!F113)</x:f>
        <x:v>12952</x:v>
      </x:c>
      <x:c r="E5" s="22" t="n">
        <x:f>IF('全量明细'!G113="","",'全量明细'!G113)</x:f>
        <x:v>0.4947</x:v>
      </x:c>
      <x:c r="F5" s="22" t="n">
        <x:f>IF('全量明细'!H113="","",'全量明细'!H113)</x:f>
        <x:v>0.203</x:v>
      </x:c>
      <x:c r="G5" s="22" t="n">
        <x:f>IF('全量明细'!I113="","",'全量明细'!I113)</x:f>
        <x:v>0.2839</x:v>
      </x:c>
      <x:c r="H5" s="24" t="n">
        <x:f>IF('全量明细'!J113="","",'全量明细'!J113)</x:f>
        <x:v>-8.089999999999996</x:v>
      </x:c>
      <x:c r="I5" s="27" t="n">
        <x:f>IF('全量明细'!E618="","",'全量明细'!E618)</x:f>
        <x:v>0.322476</x:v>
      </x:c>
      <x:c r="J5" s="23" t="n">
        <x:f>IF('全量明细'!F618="","",'全量明细'!F618)</x:f>
        <x:v>7985</x:v>
      </x:c>
      <x:c r="K5" s="22" t="n">
        <x:f>IF('全量明细'!G618="","",'全量明细'!G618)</x:f>
        <x:v>0.4852</x:v>
      </x:c>
      <x:c r="L5" s="22" t="n">
        <x:f>IF('全量明细'!H618="","",'全量明细'!H618)</x:f>
        <x:v>0.2607</x:v>
      </x:c>
      <x:c r="M5" s="22" t="n">
        <x:f>IF('全量明细'!I618="","",'全量明细'!I618)</x:f>
        <x:v>0.3807</x:v>
      </x:c>
      <x:c r="N5" s="24" t="n">
        <x:f>IF('全量明细'!J618="","",'全量明细'!J618)</x:f>
        <x:v>-12</x:v>
      </x:c>
      <x:c r="O5" s="24" t="n">
        <x:f>IF(AND(ISNUMBER(C5),ISNUMBER(I5)),(I5-C5)*100,"")</x:f>
        <x:v>7.859722999999996</x:v>
      </x:c>
      <x:c r="P5" s="31" t="str"/>
    </x:row>
    <x:row r="6" ht="25" customHeight="1">
      <x:c r="A6" s="2" t="str">
        <x:v>涅奥</x:v>
      </x:c>
      <x:c r="B6" s="2" t="str">
        <x:v>白银熔炉</x:v>
      </x:c>
      <x:c r="C6" s="28" t="n">
        <x:f>IF('全量明细'!E128="","",'全量明细'!E128)</x:f>
        <x:v>0.23521778000000002</x:v>
      </x:c>
      <x:c r="D6" s="12" t="n">
        <x:f>IF('全量明细'!F128="","",'全量明细'!F128)</x:f>
        <x:v>15059</x:v>
      </x:c>
      <x:c r="E6" s="11" t="n">
        <x:f>IF('全量明细'!G128="","",'全量明细'!G128)</x:f>
        <x:v>0.7123</x:v>
      </x:c>
      <x:c r="F6" s="11" t="n">
        <x:f>IF('全量明细'!H128="","",'全量明细'!H128)</x:f>
        <x:v>0.2492</x:v>
      </x:c>
      <x:c r="G6" s="11" t="n">
        <x:f>IF('全量明细'!I128="","",'全量明细'!I128)</x:f>
        <x:v>0.2006</x:v>
      </x:c>
      <x:c r="H6" s="14" t="n">
        <x:f>IF('全量明细'!J128="","",'全量明细'!J128)</x:f>
        <x:v>4.86</x:v>
      </x:c>
      <x:c r="I6" s="28" t="n">
        <x:f>IF('全量明细'!E614="","",'全量明细'!E614)</x:f>
        <x:v>0.32326632</x:v>
      </x:c>
      <x:c r="J6" s="12" t="n">
        <x:f>IF('全量明细'!F614="","",'全量明细'!F614)</x:f>
        <x:v>7303</x:v>
      </x:c>
      <x:c r="K6" s="11" t="n">
        <x:f>IF('全量明细'!G614="","",'全量明细'!G614)</x:f>
        <x:v>0.7422</x:v>
      </x:c>
      <x:c r="L6" s="11" t="n">
        <x:f>IF('全量明细'!H614="","",'全量明细'!H614)</x:f>
        <x:v>0.33759999999999996</x:v>
      </x:c>
      <x:c r="M6" s="11" t="n">
        <x:f>IF('全量明细'!I614="","",'全量明细'!I614)</x:f>
        <x:v>0.282</x:v>
      </x:c>
      <x:c r="N6" s="14" t="n">
        <x:f>IF('全量明细'!J614="","",'全量明细'!J614)</x:f>
        <x:v>5.559999999999999</x:v>
      </x:c>
      <x:c r="O6" s="14" t="n">
        <x:f>IF(AND(ISNUMBER(C6),ISNUMBER(I6)),(I6-C6)*100,"")</x:f>
        <x:v>8.804853999999999</x:v>
      </x:c>
      <x:c r="P6" s="17" t="str"/>
    </x:row>
    <x:row r="7" ht="25" customHeight="1">
      <x:c r="A7" s="2" t="str">
        <x:v>涅奥</x:v>
      </x:c>
      <x:c r="B7" s="2" t="str">
        <x:v>沉重石板</x:v>
      </x:c>
      <x:c r="C7" s="28" t="n">
        <x:f>IF('全量明细'!E131="","",'全量明细'!E131)</x:f>
        <x:v>0.21933280000000002</x:v>
      </x:c>
      <x:c r="D7" s="12" t="n">
        <x:f>IF('全量明细'!F131="","",'全量明细'!F131)</x:f>
        <x:v>13559</x:v>
      </x:c>
      <x:c r="E7" s="11" t="n">
        <x:f>IF('全量明细'!G131="","",'全量明细'!G131)</x:f>
        <x:v>0.5416</x:v>
      </x:c>
      <x:c r="F7" s="11" t="n">
        <x:f>IF('全量明细'!H131="","",'全量明细'!H131)</x:f>
        <x:v>0.16570000000000001</x:v>
      </x:c>
      <x:c r="G7" s="11" t="n">
        <x:f>IF('全量明细'!I131="","",'全量明细'!I131)</x:f>
        <x:v>0.2827</x:v>
      </x:c>
      <x:c r="H7" s="14" t="n">
        <x:f>IF('全量明细'!J131="","",'全量明细'!J131)</x:f>
        <x:v>-11.7</x:v>
      </x:c>
      <x:c r="I7" s="28" t="n">
        <x:f>IF('全量明细'!E628="","",'全量明细'!E628)</x:f>
        <x:v>0.29626716</x:v>
      </x:c>
      <x:c r="J7" s="12" t="n">
        <x:f>IF('全量明细'!F628="","",'全量明细'!F628)</x:f>
        <x:v>6524</x:v>
      </x:c>
      <x:c r="K7" s="11" t="n">
        <x:f>IF('全量明细'!G628="","",'全量明细'!G628)</x:f>
        <x:v>0.4916</x:v>
      </x:c>
      <x:c r="L7" s="11" t="n">
        <x:f>IF('全量明细'!H628="","",'全量明细'!H628)</x:f>
        <x:v>0.22260000000000002</x:v>
      </x:c>
      <x:c r="M7" s="11" t="n">
        <x:f>IF('全量明细'!I628="","",'全量明细'!I628)</x:f>
        <x:v>0.3675</x:v>
      </x:c>
      <x:c r="N7" s="14" t="n">
        <x:f>IF('全量明细'!J628="","",'全量明细'!J628)</x:f>
        <x:v>-14.489999999999997</x:v>
      </x:c>
      <x:c r="O7" s="14" t="n">
        <x:f>IF(AND(ISNUMBER(C7),ISNUMBER(I7)),(I7-C7)*100,"")</x:f>
        <x:v>7.693435999999995</x:v>
      </x:c>
      <x:c r="P7" s="17" t="str"/>
    </x:row>
    <x:row r="8" ht="25" customHeight="1">
      <x:c r="A8" s="2" t="str">
        <x:v>涅奥</x:v>
      </x:c>
      <x:c r="B8" s="2" t="str">
        <x:v>橙型香盒</x:v>
      </x:c>
      <x:c r="C8" s="28" t="n">
        <x:f>IF('全量明细'!E120="","",'全量明细'!E120)</x:f>
        <x:v>0.24166405999999999</x:v>
      </x:c>
      <x:c r="D8" s="12" t="n">
        <x:f>IF('全量明细'!F120="","",'全量明细'!F120)</x:f>
        <x:v>7381</x:v>
      </x:c>
      <x:c r="E8" s="11" t="n">
        <x:f>IF('全量明细'!G120="","",'全量明细'!G120)</x:f>
        <x:v>0.1661</x:v>
      </x:c>
      <x:c r="F8" s="11" t="n">
        <x:f>IF('全量明细'!H120="","",'全量明细'!H120)</x:f>
        <x:v>0.2455</x:v>
      </x:c>
      <x:c r="G8" s="11" t="n">
        <x:f>IF('全量明细'!I120="","",'全量明细'!I120)</x:f>
        <x:v>0.2409</x:v>
      </x:c>
      <x:c r="H8" s="14" t="n">
        <x:f>IF('全量明细'!J120="","",'全量明细'!J120)</x:f>
        <x:v>0.4599999999999993</x:v>
      </x:c>
      <x:c r="I8" s="28" t="n">
        <x:f>IF('全量明细'!E616="","",'全量明细'!E616)</x:f>
        <x:v>0.32255777999999996</x:v>
      </x:c>
      <x:c r="J8" s="12" t="n">
        <x:f>IF('全量明细'!F616="","",'全量明细'!F616)</x:f>
        <x:v>4390</x:v>
      </x:c>
      <x:c r="K8" s="11" t="n">
        <x:f>IF('全量明细'!G616="","",'全量明细'!G616)</x:f>
        <x:v>0.22510000000000002</x:v>
      </x:c>
      <x:c r="L8" s="11" t="n">
        <x:f>IF('全量明细'!H616="","",'全量明细'!H616)</x:f>
        <x:v>0.34409999999999996</x:v>
      </x:c>
      <x:c r="M8" s="11" t="n">
        <x:f>IF('全量明细'!I616="","",'全量明细'!I616)</x:f>
        <x:v>0.31629999999999997</x:v>
      </x:c>
      <x:c r="N8" s="14" t="n">
        <x:f>IF('全量明细'!J616="","",'全量明细'!J616)</x:f>
        <x:v>2.7799999999999994</x:v>
      </x:c>
      <x:c r="O8" s="14" t="n">
        <x:f>IF(AND(ISNUMBER(C8),ISNUMBER(I8)),(I8-C8)*100,"")</x:f>
        <x:v>8.089371999999997</x:v>
      </x:c>
      <x:c r="P8" s="17" t="str"/>
    </x:row>
    <x:row r="9" ht="25" customHeight="1">
      <x:c r="A9" s="2" t="str">
        <x:v>涅奥</x:v>
      </x:c>
      <x:c r="B9" s="2" t="str">
        <x:v>钓鱼竿</x:v>
      </x:c>
      <x:c r="C9" s="28" t="n">
        <x:f>IF('全量明细'!E117="","",'全量明细'!E117)</x:f>
        <x:v>0.24207296</x:v>
      </x:c>
      <x:c r="D9" s="12" t="n">
        <x:f>IF('全量明细'!F117="","",'全量明细'!F117)</x:f>
        <x:v>14477</x:v>
      </x:c>
      <x:c r="E9" s="11" t="n">
        <x:f>IF('全量明细'!G117="","",'全量明细'!G117)</x:f>
        <x:v>0.1784</x:v>
      </x:c>
      <x:c r="F9" s="11" t="n">
        <x:f>IF('全量明细'!H117="","",'全量明细'!H117)</x:f>
        <x:v>0.2005</x:v>
      </x:c>
      <x:c r="G9" s="11" t="n">
        <x:f>IF('全量明细'!I117="","",'全量明细'!I117)</x:f>
        <x:v>0.2511</x:v>
      </x:c>
      <x:c r="H9" s="14" t="n">
        <x:f>IF('全量明细'!J117="","",'全量明细'!J117)</x:f>
        <x:v>-5.059999999999998</x:v>
      </x:c>
      <x:c r="I9" s="28" t="n">
        <x:f>IF('全量明细'!E613="","",'全量明细'!E613)</x:f>
        <x:v>0.32458864</x:v>
      </x:c>
      <x:c r="J9" s="12" t="n">
        <x:f>IF('全量明细'!F613="","",'全量明细'!F613)</x:f>
        <x:v>8673</x:v>
      </x:c>
      <x:c r="K9" s="11" t="n">
        <x:f>IF('全量明细'!G613="","",'全量明细'!G613)</x:f>
        <x:v>0.1478</x:v>
      </x:c>
      <x:c r="L9" s="11" t="n">
        <x:f>IF('全量明细'!H613="","",'全量明细'!H613)</x:f>
        <x:v>0.298</x:v>
      </x:c>
      <x:c r="M9" s="11" t="n">
        <x:f>IF('全量明细'!I613="","",'全量明细'!I613)</x:f>
        <x:v>0.3292</x:v>
      </x:c>
      <x:c r="N9" s="14" t="n">
        <x:f>IF('全量明细'!J613="","",'全量明细'!J613)</x:f>
        <x:v>-3.1200000000000006</x:v>
      </x:c>
      <x:c r="O9" s="14" t="n">
        <x:f>IF(AND(ISNUMBER(C9),ISNUMBER(I9)),(I9-C9)*100,"")</x:f>
        <x:v>8.251567999999999</x:v>
      </x:c>
      <x:c r="P9" s="17" t="str"/>
    </x:row>
    <x:row r="10" ht="25" customHeight="1">
      <x:c r="A10" s="2" t="str">
        <x:v>涅奥</x:v>
      </x:c>
      <x:c r="B10" s="2" t="str">
        <x:v>轰鸣海螺</x:v>
      </x:c>
      <x:c r="C10" s="28" t="n">
        <x:f>IF('全量明细'!E109="","",'全量明细'!E109)</x:f>
        <x:v>0.24583178</x:v>
      </x:c>
      <x:c r="D10" s="12" t="n">
        <x:f>IF('全量明细'!F109="","",'全量明细'!F109)</x:f>
        <x:v>14284</x:v>
      </x:c>
      <x:c r="E10" s="11" t="n">
        <x:f>IF('全量明细'!G109="","",'全量明细'!G109)</x:f>
        <x:v>0.1278</x:v>
      </x:c>
      <x:c r="F10" s="11" t="n">
        <x:f>IF('全量明细'!H109="","",'全量明细'!H109)</x:f>
        <x:v>0.3375</x:v>
      </x:c>
      <x:c r="G10" s="11" t="n">
        <x:f>IF('全量明细'!I109="","",'全量明细'!I109)</x:f>
        <x:v>0.2324</x:v>
      </x:c>
      <x:c r="H10" s="14" t="n">
        <x:f>IF('全量明细'!J109="","",'全量明细'!J109)</x:f>
        <x:v>10.510000000000003</x:v>
      </x:c>
      <x:c r="I10" s="28" t="n">
        <x:f>IF('全量明细'!E612="","",'全量明细'!E612)</x:f>
        <x:v>0.3266078</x:v>
      </x:c>
      <x:c r="J10" s="12" t="n">
        <x:f>IF('全量明细'!F612="","",'全量明细'!F612)</x:f>
        <x:v>8621</x:v>
      </x:c>
      <x:c r="K10" s="11" t="n">
        <x:f>IF('全量明细'!G612="","",'全量明细'!G612)</x:f>
        <x:v>0.1565</x:v>
      </x:c>
      <x:c r="L10" s="11" t="n">
        <x:f>IF('全量明细'!H612="","",'全量明细'!H612)</x:f>
        <x:v>0.3951</x:v>
      </x:c>
      <x:c r="M10" s="11" t="n">
        <x:f>IF('全量明细'!I612="","",'全量明细'!I612)</x:f>
        <x:v>0.3139</x:v>
      </x:c>
      <x:c r="N10" s="14" t="n">
        <x:f>IF('全量明细'!J612="","",'全量明细'!J612)</x:f>
        <x:v>8.12</x:v>
      </x:c>
      <x:c r="O10" s="14" t="n">
        <x:f>IF(AND(ISNUMBER(C10),ISNUMBER(I10)),(I10-C10)*100,"")</x:f>
        <x:v>8.077602</x:v>
      </x:c>
      <x:c r="P10" s="17" t="str"/>
    </x:row>
    <x:row r="11" ht="25" customHeight="1">
      <x:c r="A11" s="2" t="str">
        <x:v>涅奥</x:v>
      </x:c>
      <x:c r="B11" s="2" t="str">
        <x:v>华美发束</x:v>
      </x:c>
      <x:c r="C11" s="28" t="n">
        <x:f>IF('全量明细'!E115="","",'全量明细'!E115)</x:f>
        <x:v>0.2433494</x:v>
      </x:c>
      <x:c r="D11" s="12" t="n">
        <x:f>IF('全量明细'!F115="","",'全量明细'!F115)</x:f>
        <x:v>15071</x:v>
      </x:c>
      <x:c r="E11" s="11" t="n">
        <x:f>IF('全量明细'!G115="","",'全量明细'!G115)</x:f>
        <x:v>0.7509999999999999</x:v>
      </x:c>
      <x:c r="F11" s="11" t="n">
        <x:f>IF('全量明细'!H115="","",'全量明细'!H115)</x:f>
        <x:v>0.2432</x:v>
      </x:c>
      <x:c r="G11" s="11" t="n">
        <x:f>IF('全量明细'!I115="","",'全量明细'!I115)</x:f>
        <x:v>0.2438</x:v>
      </x:c>
      <x:c r="H11" s="14" t="n">
        <x:f>IF('全量明细'!J115="","",'全量明细'!J115)</x:f>
        <x:v>-0.05999999999999894</x:v>
      </x:c>
      <x:c r="I11" s="28" t="n">
        <x:f>IF('全量明细'!E602="","",'全量明细'!E602)</x:f>
        <x:v>0.34412919</x:v>
      </x:c>
      <x:c r="J11" s="12" t="n">
        <x:f>IF('全量明细'!F602="","",'全量明细'!F602)</x:f>
        <x:v>7547</x:v>
      </x:c>
      <x:c r="K11" s="11" t="n">
        <x:f>IF('全量明细'!G602="","",'全量明细'!G602)</x:f>
        <x:v>0.7779</x:v>
      </x:c>
      <x:c r="L11" s="11" t="n">
        <x:f>IF('全量明细'!H602="","",'全量明细'!H602)</x:f>
        <x:v>0.33659999999999995</x:v>
      </x:c>
      <x:c r="M11" s="11" t="n">
        <x:f>IF('全量明细'!I602="","",'全量明细'!I602)</x:f>
        <x:v>0.3705</x:v>
      </x:c>
      <x:c r="N11" s="14" t="n">
        <x:f>IF('全量明细'!J602="","",'全量明细'!J602)</x:f>
        <x:v>-3.390000000000004</x:v>
      </x:c>
      <x:c r="O11" s="14" t="n">
        <x:f>IF(AND(ISNUMBER(C11),ISNUMBER(I11)),(I11-C11)*100,"")</x:f>
        <x:v>10.077978999999997</x:v>
      </x:c>
      <x:c r="P11" s="17" t="str"/>
    </x:row>
    <x:row r="12" ht="25" customHeight="1">
      <x:c r="A12" s="2" t="str">
        <x:v>涅奥</x:v>
      </x:c>
      <x:c r="B12" s="2" t="str">
        <x:v>金色珍珠</x:v>
      </x:c>
      <x:c r="C12" s="28" t="n">
        <x:f>IF('全量明细'!E127="","",'全量明细'!E127)</x:f>
        <x:v>0.23763700999999998</x:v>
      </x:c>
      <x:c r="D12" s="12" t="n">
        <x:f>IF('全量明细'!F127="","",'全量明细'!F127)</x:f>
        <x:v>13278</x:v>
      </x:c>
      <x:c r="E12" s="11" t="n">
        <x:f>IF('全量明细'!G127="","",'全量明细'!G127)</x:f>
        <x:v>0.3519</x:v>
      </x:c>
      <x:c r="F12" s="11" t="n">
        <x:f>IF('全量明细'!H127="","",'全量明细'!H127)</x:f>
        <x:v>0.2622</x:v>
      </x:c>
      <x:c r="G12" s="11" t="n">
        <x:f>IF('全量明细'!I127="","",'全量明细'!I127)</x:f>
        <x:v>0.2243</x:v>
      </x:c>
      <x:c r="H12" s="14" t="n">
        <x:f>IF('全量明细'!J127="","",'全量明细'!J127)</x:f>
        <x:v>3.789999999999999</x:v>
      </x:c>
      <x:c r="I12" s="28" t="n">
        <x:f>IF('全量明细'!E615="","",'全量明细'!E615)</x:f>
        <x:v>0.32317719999999994</x:v>
      </x:c>
      <x:c r="J12" s="12" t="n">
        <x:f>IF('全量明细'!F615="","",'全量明细'!F615)</x:f>
        <x:v>8401</x:v>
      </x:c>
      <x:c r="K12" s="11" t="n">
        <x:f>IF('全量明细'!G615="","",'全量明细'!G615)</x:f>
        <x:v>0.42200000000000004</x:v>
      </x:c>
      <x:c r="L12" s="11" t="n">
        <x:f>IF('全量明细'!H615="","",'全量明细'!H615)</x:f>
        <x:v>0.3478</x:v>
      </x:c>
      <x:c r="M12" s="11" t="n">
        <x:f>IF('全量明细'!I615="","",'全量明细'!I615)</x:f>
        <x:v>0.30519999999999997</x:v>
      </x:c>
      <x:c r="N12" s="14" t="n">
        <x:f>IF('全量明细'!J615="","",'全量明细'!J615)</x:f>
        <x:v>4.2600000000000025</x:v>
      </x:c>
      <x:c r="O12" s="14" t="n">
        <x:f>IF(AND(ISNUMBER(C12),ISNUMBER(I12)),(I12-C12)*100,"")</x:f>
        <x:v>8.554018999999997</x:v>
      </x:c>
      <x:c r="P12" s="17" t="str"/>
    </x:row>
    <x:row r="13" ht="25" customHeight="1">
      <x:c r="A13" s="2" t="str">
        <x:v>涅奥</x:v>
      </x:c>
      <x:c r="B13" s="2" t="str">
        <x:v>精准剪刀</x:v>
      </x:c>
      <x:c r="C13" s="28" t="n">
        <x:f>IF('全量明细'!E122="","",'全量明细'!E122)</x:f>
        <x:v>0.24114291</x:v>
      </x:c>
      <x:c r="D13" s="12" t="n">
        <x:f>IF('全量明细'!F122="","",'全量明细'!F122)</x:f>
        <x:v>12563</x:v>
      </x:c>
      <x:c r="E13" s="11" t="n">
        <x:f>IF('全量明细'!G122="","",'全量明细'!G122)</x:f>
        <x:v>0.1249</x:v>
      </x:c>
      <x:c r="F13" s="11" t="n">
        <x:f>IF('全量明细'!H122="","",'全量明细'!H122)</x:f>
        <x:v>0.1938</x:v>
      </x:c>
      <x:c r="G13" s="11" t="n">
        <x:f>IF('全量明细'!I122="","",'全量明细'!I122)</x:f>
        <x:v>0.24789999999999998</x:v>
      </x:c>
      <x:c r="H13" s="14" t="n">
        <x:f>IF('全量明细'!J122="","",'全量明细'!J122)</x:f>
        <x:v>-5.409999999999998</x:v>
      </x:c>
      <x:c r="I13" s="28" t="n">
        <x:f>IF('全量明细'!E620="","",'全量明细'!E620)</x:f>
        <x:v>0.32170696</x:v>
      </x:c>
      <x:c r="J13" s="12" t="n">
        <x:f>IF('全量明细'!F620="","",'全量明细'!F620)</x:f>
        <x:v>7830</x:v>
      </x:c>
      <x:c r="K13" s="11" t="n">
        <x:f>IF('全量明细'!G620="","",'全量明细'!G620)</x:f>
        <x:v>0.1433</x:v>
      </x:c>
      <x:c r="L13" s="11" t="n">
        <x:f>IF('全量明细'!H620="","",'全量明细'!H620)</x:f>
        <x:v>0.2799</x:v>
      </x:c>
      <x:c r="M13" s="11" t="n">
        <x:f>IF('全量明细'!I620="","",'全量明细'!I620)</x:f>
        <x:v>0.3287</x:v>
      </x:c>
      <x:c r="N13" s="14" t="n">
        <x:f>IF('全量明细'!J620="","",'全量明细'!J620)</x:f>
        <x:v>-4.880000000000001</x:v>
      </x:c>
      <x:c r="O13" s="14" t="n">
        <x:f>IF(AND(ISNUMBER(C13),ISNUMBER(I13)),(I13-C13)*100,"")</x:f>
        <x:v>8.056405</x:v>
      </x:c>
      <x:c r="P13" s="17" t="str"/>
    </x:row>
    <x:row r="14" ht="64" customHeight="1">
      <x:c r="A14" s="21" t="str">
        <x:v>涅奥</x:v>
      </x:c>
      <x:c r="B14" s="21" t="str">
        <x:v>巨大卷轴</x:v>
      </x:c>
      <x:c r="C14" s="28" t="n">
        <x:f>IF('全量明细'!E104="","",'全量明细'!E104)</x:f>
        <x:v>0.28</x:v>
      </x:c>
      <x:c r="D14" s="12" t="n">
        <x:f>IF('全量明细'!F104="","",'全量明细'!F104)</x:f>
        <x:v>25</x:v>
      </x:c>
      <x:c r="E14" s="11" t="str">
        <x:f>IF('全量明细'!G104="","",'全量明细'!G104)</x:f>
      </x:c>
      <x:c r="F14" s="11" t="str">
        <x:f>IF('全量明细'!H104="","",'全量明细'!H104)</x:f>
      </x:c>
      <x:c r="G14" s="11" t="n">
        <x:f>IF('全量明细'!I104="","",'全量明细'!I104)</x:f>
        <x:v>0.28</x:v>
      </x:c>
      <x:c r="H14" s="14" t="str">
        <x:f>IF('全量明细'!J104="","",'全量明细'!J104)</x:f>
      </x:c>
      <x:c r="I14" s="28"/>
      <x:c r="J14" s="12"/>
      <x:c r="K14" s="11"/>
      <x:c r="L14" s="11"/>
      <x:c r="M14" s="11"/>
      <x:c r="N14" s="14"/>
      <x:c r="O14" s="14" t="str">
        <x:f>IF(AND(ISNUMBER(C14),ISNUMBER(I14)),(I14-C14)*100,"")</x:f>
      </x:c>
      <x:c r="P14" s="17" t="str">
        <x:v>出现次数&lt;100；一组占比显示为零，其胜率及选跳差留空</x:v>
      </x:c>
    </x:row>
    <x:row r="15" ht="25" customHeight="1">
      <x:c r="A15" s="2" t="str">
        <x:v>涅奥</x:v>
      </x:c>
      <x:c r="B15" s="2" t="str">
        <x:v>巨大扭蛋</x:v>
      </x:c>
      <x:c r="C15" s="28" t="n">
        <x:f>IF('全量明细'!E108="","",'全量明细'!E108)</x:f>
        <x:v>0.24921928</x:v>
      </x:c>
      <x:c r="D15" s="12" t="n">
        <x:f>IF('全量明细'!F108="","",'全量明细'!F108)</x:f>
        <x:v>12755</x:v>
      </x:c>
      <x:c r="E15" s="11" t="n">
        <x:f>IF('全量明细'!G108="","",'全量明细'!G108)</x:f>
        <x:v>0.2904</x:v>
      </x:c>
      <x:c r="F15" s="11" t="n">
        <x:f>IF('全量明细'!H108="","",'全量明细'!H108)</x:f>
        <x:v>0.2781</x:v>
      </x:c>
      <x:c r="G15" s="11" t="n">
        <x:f>IF('全量明细'!I108="","",'全量明细'!I108)</x:f>
        <x:v>0.23739999999999997</x:v>
      </x:c>
      <x:c r="H15" s="14" t="n">
        <x:f>IF('全量明细'!J108="","",'全量明细'!J108)</x:f>
        <x:v>4.070000000000004</x:v>
      </x:c>
      <x:c r="I15" s="28" t="n">
        <x:f>IF('全量明细'!E608="","",'全量明细'!E608)</x:f>
        <x:v>0.33049362000000004</x:v>
      </x:c>
      <x:c r="J15" s="12" t="n">
        <x:f>IF('全量明细'!F608="","",'全量明细'!F608)</x:f>
        <x:v>6300</x:v>
      </x:c>
      <x:c r="K15" s="11" t="n">
        <x:f>IF('全量明细'!G608="","",'全量明细'!G608)</x:f>
        <x:v>0.3354</x:v>
      </x:c>
      <x:c r="L15" s="11" t="n">
        <x:f>IF('全量明细'!H608="","",'全量明细'!H608)</x:f>
        <x:v>0.36060000000000003</x:v>
      </x:c>
      <x:c r="M15" s="11" t="n">
        <x:f>IF('全量明细'!I608="","",'全量明细'!I608)</x:f>
        <x:v>0.3153</x:v>
      </x:c>
      <x:c r="N15" s="14" t="n">
        <x:f>IF('全量明细'!J608="","",'全量明细'!J608)</x:f>
        <x:v>4.530000000000001</x:v>
      </x:c>
      <x:c r="O15" s="14" t="n">
        <x:f>IF(AND(ISNUMBER(C15),ISNUMBER(I15)),(I15-C15)*100,"")</x:f>
        <x:v>8.127434000000006</x:v>
      </x:c>
      <x:c r="P15" s="17" t="str"/>
    </x:row>
    <x:row r="16" ht="25" customHeight="1">
      <x:c r="A16" s="2" t="str">
        <x:v>涅奥</x:v>
      </x:c>
      <x:c r="B16" s="2" t="str">
        <x:v>卷轴箱</x:v>
      </x:c>
      <x:c r="C16" s="28" t="n">
        <x:f>IF('全量明细'!E126="","",'全量明细'!E126)</x:f>
        <x:v>0.2378444</x:v>
      </x:c>
      <x:c r="D16" s="12" t="n">
        <x:f>IF('全量明细'!F126="","",'全量明细'!F126)</x:f>
        <x:v>14667</x:v>
      </x:c>
      <x:c r="E16" s="11" t="n">
        <x:f>IF('全量明细'!G126="","",'全量明细'!G126)</x:f>
        <x:v>0.317</x:v>
      </x:c>
      <x:c r="F16" s="11" t="n">
        <x:f>IF('全量明细'!H126="","",'全量明细'!H126)</x:f>
        <x:v>0.2332</x:v>
      </x:c>
      <x:c r="G16" s="11" t="n">
        <x:f>IF('全量明细'!I126="","",'全量明细'!I126)</x:f>
        <x:v>0.24</x:v>
      </x:c>
      <x:c r="H16" s="14" t="n">
        <x:f>IF('全量明细'!J126="","",'全量明细'!J126)</x:f>
        <x:v>-0.68</x:v>
      </x:c>
      <x:c r="I16" s="28" t="n">
        <x:f>IF('全量明细'!E622="","",'全量明细'!E622)</x:f>
        <x:v>0.31983988</x:v>
      </x:c>
      <x:c r="J16" s="12" t="n">
        <x:f>IF('全量明细'!F622="","",'全量明细'!F622)</x:f>
        <x:v>8958</x:v>
      </x:c>
      <x:c r="K16" s="11" t="n">
        <x:f>IF('全量明细'!G622="","",'全量明细'!G622)</x:f>
        <x:v>0.3332</x:v>
      </x:c>
      <x:c r="L16" s="11" t="n">
        <x:f>IF('全量明细'!H622="","",'全量明细'!H622)</x:f>
        <x:v>0.2871</x:v>
      </x:c>
      <x:c r="M16" s="11" t="n">
        <x:f>IF('全量明细'!I622="","",'全量明细'!I622)</x:f>
        <x:v>0.3362</x:v>
      </x:c>
      <x:c r="N16" s="14" t="n">
        <x:f>IF('全量明细'!J622="","",'全量明细'!J622)</x:f>
        <x:v>-4.9099999999999975</x:v>
      </x:c>
      <x:c r="O16" s="14" t="n">
        <x:f>IF(AND(ISNUMBER(C16),ISNUMBER(I16)),(I16-C16)*100,"")</x:f>
        <x:v>8.199548</x:v>
      </x:c>
      <x:c r="P16" s="17" t="str"/>
    </x:row>
    <x:row r="17" ht="25" customHeight="1">
      <x:c r="A17" s="2" t="str">
        <x:v>涅奥</x:v>
      </x:c>
      <x:c r="B17" s="2" t="str">
        <x:v>涅奥的护符</x:v>
      </x:c>
      <x:c r="C17" s="28" t="n">
        <x:f>IF('全量明细'!E130="","",'全量明细'!E130)</x:f>
        <x:v>0.23067413999999997</x:v>
      </x:c>
      <x:c r="D17" s="12" t="n">
        <x:f>IF('全量明细'!F130="","",'全量明细'!F130)</x:f>
        <x:v>7182</x:v>
      </x:c>
      <x:c r="E17" s="11" t="n">
        <x:f>IF('全量明细'!G130="","",'全量明细'!G130)</x:f>
        <x:v>0.0842</x:v>
      </x:c>
      <x:c r="F17" s="11" t="n">
        <x:f>IF('全量明细'!H130="","",'全量明细'!H130)</x:f>
        <x:v>0.2826</x:v>
      </x:c>
      <x:c r="G17" s="11" t="n">
        <x:f>IF('全量明细'!I130="","",'全量明细'!I130)</x:f>
        <x:v>0.2259</x:v>
      </x:c>
      <x:c r="H17" s="14" t="n">
        <x:f>IF('全量明细'!J130="","",'全量明细'!J130)</x:f>
        <x:v>5.670000000000003</x:v>
      </x:c>
      <x:c r="I17" s="28" t="n">
        <x:f>IF('全量明细'!E625="","",'全量明细'!E625)</x:f>
        <x:v>0.31743473</x:v>
      </x:c>
      <x:c r="J17" s="12" t="n">
        <x:f>IF('全量明细'!F625="","",'全量明细'!F625)</x:f>
        <x:v>4328</x:v>
      </x:c>
      <x:c r="K17" s="11" t="n">
        <x:f>IF('全量明细'!G625="","",'全量明细'!G625)</x:f>
        <x:v>0.0823</x:v>
      </x:c>
      <x:c r="L17" s="11" t="n">
        <x:f>IF('全量明细'!H625="","",'全量明细'!H625)</x:f>
        <x:v>0.368</x:v>
      </x:c>
      <x:c r="M17" s="11" t="n">
        <x:f>IF('全量明细'!I625="","",'全量明细'!I625)</x:f>
        <x:v>0.3129</x:v>
      </x:c>
      <x:c r="N17" s="14" t="n">
        <x:f>IF('全量明细'!J625="","",'全量明细'!J625)</x:f>
        <x:v>5.509999999999998</x:v>
      </x:c>
      <x:c r="O17" s="14" t="n">
        <x:f>IF(AND(ISNUMBER(C17),ISNUMBER(I17)),(I17-C17)*100,"")</x:f>
        <x:v>8.676059000000002</x:v>
      </x:c>
      <x:c r="P17" s="17" t="str"/>
    </x:row>
    <x:row r="18" ht="25" customHeight="1">
      <x:c r="A18" s="2" t="str">
        <x:v>涅奥</x:v>
      </x:c>
      <x:c r="B18" s="2" t="str">
        <x:v>涅奥的苦痛</x:v>
      </x:c>
      <x:c r="C18" s="28" t="n">
        <x:f>IF('全量明细'!E121="","",'全量明细'!E121)</x:f>
        <x:v>0.24128978</x:v>
      </x:c>
      <x:c r="D18" s="12" t="n">
        <x:f>IF('全量明细'!F121="","",'全量明细'!F121)</x:f>
        <x:v>14027</x:v>
      </x:c>
      <x:c r="E18" s="11" t="n">
        <x:f>IF('全量明细'!G121="","",'全量明细'!G121)</x:f>
        <x:v>0.0673</x:v>
      </x:c>
      <x:c r="F18" s="11" t="n">
        <x:f>IF('全量明细'!H121="","",'全量明细'!H121)</x:f>
        <x:v>0.3146</x:v>
      </x:c>
      <x:c r="G18" s="11" t="n">
        <x:f>IF('全量明细'!I121="","",'全量明细'!I121)</x:f>
        <x:v>0.23600000000000002</x:v>
      </x:c>
      <x:c r="H18" s="14" t="n">
        <x:f>IF('全量明细'!J121="","",'全量明细'!J121)</x:f>
        <x:v>7.859999999999998</x:v>
      </x:c>
      <x:c r="I18" s="28" t="n">
        <x:f>IF('全量明细'!E606="","",'全量明细'!E606)</x:f>
        <x:v>0.33267255999999995</x:v>
      </x:c>
      <x:c r="J18" s="12" t="n">
        <x:f>IF('全量明细'!F606="","",'全量明细'!F606)</x:f>
        <x:v>8383</x:v>
      </x:c>
      <x:c r="K18" s="11" t="n">
        <x:f>IF('全量明细'!G606="","",'全量明细'!G606)</x:f>
        <x:v>0.08310000000000001</x:v>
      </x:c>
      <x:c r="L18" s="11" t="n">
        <x:f>IF('全量明细'!H606="","",'全量明细'!H606)</x:f>
        <x:v>0.44049999999999995</x:v>
      </x:c>
      <x:c r="M18" s="11" t="n">
        <x:f>IF('全量明细'!I606="","",'全量明细'!I606)</x:f>
        <x:v>0.32289999999999996</x:v>
      </x:c>
      <x:c r="N18" s="14" t="n">
        <x:f>IF('全量明细'!J606="","",'全量明细'!J606)</x:f>
        <x:v>11.759999999999998</x:v>
      </x:c>
      <x:c r="O18" s="14" t="n">
        <x:f>IF(AND(ISNUMBER(C18),ISNUMBER(I18)),(I18-C18)*100,"")</x:f>
        <x:v>9.138277999999994</x:v>
      </x:c>
      <x:c r="P18" s="17" t="str"/>
    </x:row>
    <x:row r="19" ht="25" customHeight="1">
      <x:c r="A19" s="2" t="str">
        <x:v>涅奥</x:v>
      </x:c>
      <x:c r="B19" s="2" t="str">
        <x:v>涅奥的牺牲</x:v>
      </x:c>
      <x:c r="C19" s="28"/>
      <x:c r="D19" s="12"/>
      <x:c r="E19" s="11"/>
      <x:c r="F19" s="11"/>
      <x:c r="G19" s="11"/>
      <x:c r="H19" s="14"/>
      <x:c r="I19" s="28" t="n">
        <x:f>IF('全量明细'!E603="","",'全量明细'!E603)</x:f>
        <x:v>0.3395965</x:v>
      </x:c>
      <x:c r="J19" s="12" t="n">
        <x:f>IF('全量明细'!F603="","",'全量明细'!F603)</x:f>
        <x:v>6119</x:v>
      </x:c>
      <x:c r="K19" s="11" t="n">
        <x:f>IF('全量明细'!G603="","",'全量明细'!G603)</x:f>
        <x:v>0.1495</x:v>
      </x:c>
      <x:c r="L19" s="11" t="n">
        <x:f>IF('全量明细'!H603="","",'全量明细'!H603)</x:f>
        <x:v>0.43060000000000004</x:v>
      </x:c>
      <x:c r="M19" s="11" t="n">
        <x:f>IF('全量明细'!I603="","",'全量明细'!I603)</x:f>
        <x:v>0.3236</x:v>
      </x:c>
      <x:c r="N19" s="14" t="n">
        <x:f>IF('全量明细'!J603="","",'全量明细'!J603)</x:f>
        <x:v>10.700000000000005</x:v>
      </x:c>
      <x:c r="O19" s="14" t="str">
        <x:f>IF(AND(ISNUMBER(C19),ISNUMBER(I19)),(I19-C19)*100,"")</x:f>
      </x:c>
      <x:c r="P19" s="17" t="str"/>
    </x:row>
    <x:row r="20" ht="25" customHeight="1">
      <x:c r="A20" s="2" t="str">
        <x:v>涅奥</x:v>
      </x:c>
      <x:c r="B20" s="2" t="str">
        <x:v>涅奥骨骰</x:v>
      </x:c>
      <x:c r="C20" s="28" t="n">
        <x:f>IF('全量明细'!E116="","",'全量明细'!E116)</x:f>
        <x:v>0.2422689</x:v>
      </x:c>
      <x:c r="D20" s="12" t="n">
        <x:f>IF('全量明细'!F116="","",'全量明细'!F116)</x:f>
        <x:v>13398</x:v>
      </x:c>
      <x:c r="E20" s="11" t="n">
        <x:f>IF('全量明细'!G116="","",'全量明细'!G116)</x:f>
        <x:v>0.4595</x:v>
      </x:c>
      <x:c r="F20" s="11" t="n">
        <x:f>IF('全量明细'!H116="","",'全量明细'!H116)</x:f>
        <x:v>0.22399999999999998</x:v>
      </x:c>
      <x:c r="G20" s="11" t="n">
        <x:f>IF('全量明细'!I116="","",'全量明细'!I116)</x:f>
        <x:v>0.25780000000000003</x:v>
      </x:c>
      <x:c r="H20" s="14" t="n">
        <x:f>IF('全量明细'!J116="","",'全量明细'!J116)</x:f>
        <x:v>-3.3800000000000052</x:v>
      </x:c>
      <x:c r="I20" s="28" t="n">
        <x:f>IF('全量明细'!E627="","",'全量明细'!E627)</x:f>
        <x:v>0.31479599</x:v>
      </x:c>
      <x:c r="J20" s="12" t="n">
        <x:f>IF('全量明细'!F627="","",'全量明细'!F627)</x:f>
        <x:v>6522</x:v>
      </x:c>
      <x:c r="K20" s="11" t="n">
        <x:f>IF('全量明细'!G627="","",'全量明细'!G627)</x:f>
        <x:v>0.4943</x:v>
      </x:c>
      <x:c r="L20" s="11" t="n">
        <x:f>IF('全量明细'!H627="","",'全量明细'!H627)</x:f>
        <x:v>0.2841</x:v>
      </x:c>
      <x:c r="M20" s="11" t="n">
        <x:f>IF('全量明细'!I627="","",'全量明细'!I627)</x:f>
        <x:v>0.3448</x:v>
      </x:c>
      <x:c r="N20" s="14" t="n">
        <x:f>IF('全量明细'!J627="","",'全量明细'!J627)</x:f>
        <x:v>-6.069999999999998</x:v>
      </x:c>
      <x:c r="O20" s="14" t="n">
        <x:f>IF(AND(ISNUMBER(C20),ISNUMBER(I20)),(I20-C20)*100,"")</x:f>
        <x:v>7.252709000000001</x:v>
      </x:c>
      <x:c r="P20" s="17" t="str"/>
    </x:row>
    <x:row r="21" ht="25" customHeight="1">
      <x:c r="A21" s="2" t="str">
        <x:v>涅奥</x:v>
      </x:c>
      <x:c r="B21" s="2" t="str">
        <x:v>铅制镇纸</x:v>
      </x:c>
      <x:c r="C21" s="28" t="n">
        <x:f>IF('全量明细'!E123="","",'全量明细'!E123)</x:f>
        <x:v>0.24093483</x:v>
      </x:c>
      <x:c r="D21" s="12" t="n">
        <x:f>IF('全量明细'!F123="","",'全量明细'!F123)</x:f>
        <x:v>14712</x:v>
      </x:c>
      <x:c r="E21" s="11" t="n">
        <x:f>IF('全量明细'!G123="","",'全量明细'!G123)</x:f>
        <x:v>0.3267</x:v>
      </x:c>
      <x:c r="F21" s="11" t="n">
        <x:f>IF('全量明细'!H123="","",'全量明细'!H123)</x:f>
        <x:v>0.2577</x:v>
      </x:c>
      <x:c r="G21" s="11" t="n">
        <x:f>IF('全量明细'!I123="","",'全量明细'!I123)</x:f>
        <x:v>0.2328</x:v>
      </x:c>
      <x:c r="H21" s="14" t="n">
        <x:f>IF('全量明细'!J123="","",'全量明细'!J123)</x:f>
        <x:v>2.4899999999999975</x:v>
      </x:c>
      <x:c r="I21" s="28" t="n">
        <x:f>IF('全量明细'!E610="","",'全量明细'!E610)</x:f>
        <x:v>0.32691686000000003</x:v>
      </x:c>
      <x:c r="J21" s="12" t="n">
        <x:f>IF('全量明细'!F610="","",'全量明细'!F610)</x:f>
        <x:v>8754</x:v>
      </x:c>
      <x:c r="K21" s="11" t="n">
        <x:f>IF('全量明细'!G610="","",'全量明细'!G610)</x:f>
        <x:v>0.32530000000000003</x:v>
      </x:c>
      <x:c r="L21" s="11" t="n">
        <x:f>IF('全量明细'!H610="","",'全量明细'!H610)</x:f>
        <x:v>0.3311</x:v>
      </x:c>
      <x:c r="M21" s="11" t="n">
        <x:f>IF('全量明细'!I610="","",'全量明细'!I610)</x:f>
        <x:v>0.3249</x:v>
      </x:c>
      <x:c r="N21" s="14" t="n">
        <x:f>IF('全量明细'!J610="","",'全量明细'!J610)</x:f>
        <x:v>0.6199999999999983</x:v>
      </x:c>
      <x:c r="O21" s="14" t="n">
        <x:f>IF(AND(ISNUMBER(C21),ISNUMBER(I21)),(I21-C21)*100,"")</x:f>
        <x:v>8.598203000000005</x:v>
      </x:c>
      <x:c r="P21" s="17" t="str"/>
    </x:row>
    <x:row r="22" ht="25" customHeight="1">
      <x:c r="A22" s="2" t="str">
        <x:v>涅奥</x:v>
      </x:c>
      <x:c r="B22" s="2" t="str">
        <x:v>熔岩石</x:v>
      </x:c>
      <x:c r="C22" s="28" t="n">
        <x:f>IF('全量明细'!E129="","",'全量明细'!E129)</x:f>
        <x:v>0.23349688000000002</x:v>
      </x:c>
      <x:c r="D22" s="12" t="n">
        <x:f>IF('全量明细'!F129="","",'全量明细'!F129)</x:f>
        <x:v>6445</x:v>
      </x:c>
      <x:c r="E22" s="11" t="n">
        <x:f>IF('全量明细'!G129="","",'全量明细'!G129)</x:f>
        <x:v>0.1012</x:v>
      </x:c>
      <x:c r="F22" s="11" t="n">
        <x:f>IF('全量明细'!H129="","",'全量明细'!H129)</x:f>
        <x:v>0.2761</x:v>
      </x:c>
      <x:c r="G22" s="11" t="n">
        <x:f>IF('全量明细'!I129="","",'全量明细'!I129)</x:f>
        <x:v>0.22870000000000001</x:v>
      </x:c>
      <x:c r="H22" s="14" t="n">
        <x:f>IF('全量明细'!J129="","",'全量明细'!J129)</x:f>
        <x:v>4.74</x:v>
      </x:c>
      <x:c r="I22" s="28" t="n">
        <x:f>IF('全量明细'!E604="","",'全量明细'!E604)</x:f>
        <x:v>0.33947624</x:v>
      </x:c>
      <x:c r="J22" s="12" t="n">
        <x:f>IF('全量明细'!F604="","",'全量明细'!F604)</x:f>
        <x:v>4056</x:v>
      </x:c>
      <x:c r="K22" s="11" t="n">
        <x:f>IF('全量明细'!G604="","",'全量明细'!G604)</x:f>
        <x:v>0.1329</x:v>
      </x:c>
      <x:c r="L22" s="11" t="n">
        <x:f>IF('全量明细'!H604="","",'全量明细'!H604)</x:f>
        <x:v>0.41369999999999996</x:v>
      </x:c>
      <x:c r="M22" s="11" t="n">
        <x:f>IF('全量明细'!I604="","",'全量明细'!I604)</x:f>
        <x:v>0.3281</x:v>
      </x:c>
      <x:c r="N22" s="14" t="n">
        <x:f>IF('全量明细'!J604="","",'全量明细'!J604)</x:f>
        <x:v>8.559999999999995</x:v>
      </x:c>
      <x:c r="O22" s="14" t="n">
        <x:f>IF(AND(ISNUMBER(C22),ISNUMBER(I22)),(I22-C22)*100,"")</x:f>
        <x:v>10.597935999999997</x:v>
      </x:c>
      <x:c r="P22" s="17" t="str"/>
    </x:row>
    <x:row r="23" ht="25" customHeight="1">
      <x:c r="A23" s="2" t="str">
        <x:v>涅奥</x:v>
      </x:c>
      <x:c r="B23" s="2" t="str">
        <x:v>失物盒</x:v>
      </x:c>
      <x:c r="C23" s="28" t="n">
        <x:f>IF('全量明细'!E125="","",'全量明细'!E125)</x:f>
        <x:v>0.24019100999999998</x:v>
      </x:c>
      <x:c r="D23" s="12" t="n">
        <x:f>IF('全量明细'!F125="","",'全量明细'!F125)</x:f>
        <x:v>14332</x:v>
      </x:c>
      <x:c r="E23" s="11" t="n">
        <x:f>IF('全量明细'!G125="","",'全量明细'!G125)</x:f>
        <x:v>0.2213</x:v>
      </x:c>
      <x:c r="F23" s="11" t="n">
        <x:f>IF('全量明细'!H125="","",'全量明细'!H125)</x:f>
        <x:v>0.2384</x:v>
      </x:c>
      <x:c r="G23" s="11" t="n">
        <x:f>IF('全量明细'!I125="","",'全量明细'!I125)</x:f>
        <x:v>0.2407</x:v>
      </x:c>
      <x:c r="H23" s="14" t="n">
        <x:f>IF('全量明细'!J125="","",'全量明细'!J125)</x:f>
        <x:v>-0.22999999999999965</x:v>
      </x:c>
      <x:c r="I23" s="28" t="n">
        <x:f>IF('全量明细'!E621="","",'全量明细'!E621)</x:f>
        <x:v>0.32130749999999997</x:v>
      </x:c>
      <x:c r="J23" s="12" t="n">
        <x:f>IF('全量明细'!F621="","",'全量明细'!F621)</x:f>
        <x:v>7971</x:v>
      </x:c>
      <x:c r="K23" s="11" t="n">
        <x:f>IF('全量明细'!G621="","",'全量明细'!G621)</x:f>
        <x:v>0.2234</x:v>
      </x:c>
      <x:c r="L23" s="11" t="n">
        <x:f>IF('全量明细'!H621="","",'全量明细'!H621)</x:f>
        <x:v>0.3116</x:v>
      </x:c>
      <x:c r="M23" s="11" t="n">
        <x:f>IF('全量明细'!I621="","",'全量明细'!I621)</x:f>
        <x:v>0.32409999999999994</x:v>
      </x:c>
      <x:c r="N23" s="14" t="n">
        <x:f>IF('全量明细'!J621="","",'全量明细'!J621)</x:f>
        <x:v>-1.2499999999999956</x:v>
      </x:c>
      <x:c r="O23" s="14" t="n">
        <x:f>IF(AND(ISNUMBER(C23),ISNUMBER(I23)),(I23-C23)*100,"")</x:f>
        <x:v>8.111648999999998</x:v>
      </x:c>
      <x:c r="P23" s="17" t="str"/>
    </x:row>
    <x:row r="24" ht="25" customHeight="1">
      <x:c r="A24" s="2" t="str">
        <x:v>涅奥</x:v>
      </x:c>
      <x:c r="B24" s="2" t="str">
        <x:v>石炉加湿器</x:v>
      </x:c>
      <x:c r="C24" s="28" t="n">
        <x:f>IF('全量明细'!E118="","",'全量明细'!E118)</x:f>
        <x:v>0.24205317000000004</x:v>
      </x:c>
      <x:c r="D24" s="12" t="n">
        <x:f>IF('全量明细'!F118="","",'全量明细'!F118)</x:f>
        <x:v>7241</x:v>
      </x:c>
      <x:c r="E24" s="11" t="n">
        <x:f>IF('全量明细'!G118="","",'全量明细'!G118)</x:f>
        <x:v>0.08990000000000001</x:v>
      </x:c>
      <x:c r="F24" s="11" t="n">
        <x:f>IF('全量明细'!H118="","",'全量明细'!H118)</x:f>
        <x:v>0.1859</x:v>
      </x:c>
      <x:c r="G24" s="11" t="n">
        <x:f>IF('全量明细'!I118="","",'全量明细'!I118)</x:f>
        <x:v>0.24760000000000001</x:v>
      </x:c>
      <x:c r="H24" s="14" t="n">
        <x:f>IF('全量明细'!J118="","",'全量明细'!J118)</x:f>
        <x:v>-6.170000000000001</x:v>
      </x:c>
      <x:c r="I24" s="28" t="n">
        <x:f>IF('全量明细'!E623="","",'全量明细'!E623)</x:f>
        <x:v>0.31939802</x:v>
      </x:c>
      <x:c r="J24" s="12" t="n">
        <x:f>IF('全量明细'!F623="","",'全量明细'!F623)</x:f>
        <x:v>4274</x:v>
      </x:c>
      <x:c r="K24" s="11" t="n">
        <x:f>IF('全量明细'!G623="","",'全量明细'!G623)</x:f>
        <x:v>0.0639</x:v>
      </x:c>
      <x:c r="L24" s="11" t="n">
        <x:f>IF('全量明细'!H623="","",'全量明细'!H623)</x:f>
        <x:v>0.293</x:v>
      </x:c>
      <x:c r="M24" s="11" t="n">
        <x:f>IF('全量明细'!I623="","",'全量明细'!I623)</x:f>
        <x:v>0.3212</x:v>
      </x:c>
      <x:c r="N24" s="14" t="n">
        <x:f>IF('全量明细'!J623="","",'全量明细'!J623)</x:f>
        <x:v>-2.8200000000000003</x:v>
      </x:c>
      <x:c r="O24" s="14" t="n">
        <x:f>IF(AND(ISNUMBER(C24),ISNUMBER(I24)),(I24-C24)*100,"")</x:f>
        <x:v>7.734484999999997</x:v>
      </x:c>
      <x:c r="P24" s="17" t="str"/>
    </x:row>
    <x:row r="25" ht="25" customHeight="1">
      <x:c r="A25" s="2" t="str">
        <x:v>涅奥</x:v>
      </x:c>
      <x:c r="B25" s="2" t="str">
        <x:v>树叶药膏</x:v>
      </x:c>
      <x:c r="C25" s="28" t="n">
        <x:f>IF('全量明细'!E105="","",'全量明细'!E105)</x:f>
        <x:v>0.2669025</x:v>
      </x:c>
      <x:c r="D25" s="12" t="n">
        <x:f>IF('全量明细'!F105="","",'全量明细'!F105)</x:f>
        <x:v>13855</x:v>
      </x:c>
      <x:c r="E25" s="11" t="n">
        <x:f>IF('全量明细'!G105="","",'全量明细'!G105)</x:f>
        <x:v>0.6025</x:v>
      </x:c>
      <x:c r="F25" s="11" t="n">
        <x:f>IF('全量明细'!H105="","",'全量明细'!H105)</x:f>
        <x:v>0.2832</x:v>
      </x:c>
      <x:c r="G25" s="11" t="n">
        <x:f>IF('全量明细'!I105="","",'全量明细'!I105)</x:f>
        <x:v>0.2422</x:v>
      </x:c>
      <x:c r="H25" s="14" t="n">
        <x:f>IF('全量明细'!J105="","",'全量明细'!J105)</x:f>
        <x:v>4.1000000000000005</x:v>
      </x:c>
      <x:c r="I25" s="28" t="n">
        <x:f>IF('全量明细'!E601="","",'全量明细'!E601)</x:f>
        <x:v>0.3461216100000001</x:v>
      </x:c>
      <x:c r="J25" s="12" t="n">
        <x:f>IF('全量明细'!F601="","",'全量明细'!F601)</x:f>
        <x:v>6715</x:v>
      </x:c>
      <x:c r="K25" s="11" t="n">
        <x:f>IF('全量明细'!G601="","",'全量明细'!G601)</x:f>
        <x:v>0.6149</x:v>
      </x:c>
      <x:c r="L25" s="11" t="n">
        <x:f>IF('全量明细'!H601="","",'全量明细'!H601)</x:f>
        <x:v>0.35340000000000005</x:v>
      </x:c>
      <x:c r="M25" s="11" t="n">
        <x:f>IF('全量明细'!I601="","",'全量明细'!I601)</x:f>
        <x:v>0.3345</x:v>
      </x:c>
      <x:c r="N25" s="14" t="n">
        <x:f>IF('全量明细'!J601="","",'全量明细'!J601)</x:f>
        <x:v>1.8900000000000028</x:v>
      </x:c>
      <x:c r="O25" s="14" t="n">
        <x:f>IF(AND(ISNUMBER(C25),ISNUMBER(I25)),(I25-C25)*100,"")</x:f>
        <x:v>7.9219110000000095</x:v>
      </x:c>
      <x:c r="P25" s="17" t="str"/>
    </x:row>
    <x:row r="26" ht="25" customHeight="1">
      <x:c r="A26" s="2" t="str">
        <x:v>涅奥</x:v>
      </x:c>
      <x:c r="B26" s="2" t="str">
        <x:v>松动羊毛剪</x:v>
      </x:c>
      <x:c r="C26" s="28" t="n">
        <x:f>IF('全量明细'!E110="","",'全量明细'!E110)</x:f>
        <x:v>0.24522687999999998</x:v>
      </x:c>
      <x:c r="D26" s="12" t="n">
        <x:f>IF('全量明细'!F110="","",'全量明细'!F110)</x:f>
        <x:v>13529</x:v>
      </x:c>
      <x:c r="E26" s="11" t="n">
        <x:f>IF('全量明细'!G110="","",'全量明细'!G110)</x:f>
        <x:v>0.3096</x:v>
      </x:c>
      <x:c r="F26" s="11" t="n">
        <x:f>IF('全量明细'!H110="","",'全量明细'!H110)</x:f>
        <x:v>0.2299</x:v>
      </x:c>
      <x:c r="G26" s="11" t="n">
        <x:f>IF('全量明细'!I110="","",'全量明细'!I110)</x:f>
        <x:v>0.2521</x:v>
      </x:c>
      <x:c r="H26" s="14" t="n">
        <x:f>IF('全量明细'!J110="","",'全量明细'!J110)</x:f>
        <x:v>-2.2199999999999998</x:v>
      </x:c>
      <x:c r="I26" s="28" t="n">
        <x:f>IF('全量明细'!E626="","",'全量明细'!E626)</x:f>
        <x:v>0.31506976</x:v>
      </x:c>
      <x:c r="J26" s="12" t="n">
        <x:f>IF('全量明细'!F626="","",'全量明细'!F626)</x:f>
        <x:v>6458</x:v>
      </x:c>
      <x:c r="K26" s="11" t="n">
        <x:f>IF('全量明细'!G626="","",'全量明细'!G626)</x:f>
        <x:v>0.3383</x:v>
      </x:c>
      <x:c r="L26" s="11" t="n">
        <x:f>IF('全量明细'!H626="","",'全量明细'!H626)</x:f>
        <x:v>0.3066</x:v>
      </x:c>
      <x:c r="M26" s="11" t="n">
        <x:f>IF('全量明细'!I626="","",'全量明细'!I626)</x:f>
        <x:v>0.3194</x:v>
      </x:c>
      <x:c r="N26" s="14" t="n">
        <x:f>IF('全量明细'!J626="","",'全量明细'!J626)</x:f>
        <x:v>-1.2800000000000034</x:v>
      </x:c>
      <x:c r="O26" s="14" t="n">
        <x:f>IF(AND(ISNUMBER(C26),ISNUMBER(I26)),(I26-C26)*100,"")</x:f>
        <x:v>6.984287999999999</x:v>
      </x:c>
      <x:c r="P26" s="17" t="str"/>
    </x:row>
    <x:row r="27" ht="25" customHeight="1">
      <x:c r="A27" s="2" t="str">
        <x:v>涅奥</x:v>
      </x:c>
      <x:c r="B27" s="2" t="str">
        <x:v>万花筒</x:v>
      </x:c>
      <x:c r="C27" s="28" t="n">
        <x:f>IF('全量明细'!E106="","",'全量明细'!E106)</x:f>
        <x:v>0.2502432</x:v>
      </x:c>
      <x:c r="D27" s="12" t="n">
        <x:f>IF('全量明细'!F106="","",'全量明细'!F106)</x:f>
        <x:v>13472</x:v>
      </x:c>
      <x:c r="E27" s="11" t="n">
        <x:f>IF('全量明细'!G106="","",'全量明细'!G106)</x:f>
        <x:v>0.313</x:v>
      </x:c>
      <x:c r="F27" s="11" t="n">
        <x:f>IF('全量明细'!H106="","",'全量明细'!H106)</x:f>
        <x:v>0.2409</x:v>
      </x:c>
      <x:c r="G27" s="11" t="n">
        <x:f>IF('全量明细'!I106="","",'全量明细'!I106)</x:f>
        <x:v>0.2545</x:v>
      </x:c>
      <x:c r="H27" s="14" t="n">
        <x:f>IF('全量明细'!J106="","",'全量明细'!J106)</x:f>
        <x:v>-1.36</x:v>
      </x:c>
      <x:c r="I27" s="28" t="n">
        <x:f>IF('全量明细'!E611="","",'全量明细'!E611)</x:f>
        <x:v>0.32664525</x:v>
      </x:c>
      <x:c r="J27" s="12" t="n">
        <x:f>IF('全量明细'!F611="","",'全量明细'!F611)</x:f>
        <x:v>8504</x:v>
      </x:c>
      <x:c r="K27" s="11" t="n">
        <x:f>IF('全量明细'!G611="","",'全量明细'!G611)</x:f>
        <x:v>0.3235</x:v>
      </x:c>
      <x:c r="L27" s="11" t="n">
        <x:f>IF('全量明细'!H611="","",'全量明细'!H611)</x:f>
        <x:v>0.3006</x:v>
      </x:c>
      <x:c r="M27" s="11" t="n">
        <x:f>IF('全量明细'!I611="","",'全量明细'!I611)</x:f>
        <x:v>0.33909999999999996</x:v>
      </x:c>
      <x:c r="N27" s="14" t="n">
        <x:f>IF('全量明细'!J611="","",'全量明细'!J611)</x:f>
        <x:v>-3.849999999999998</x:v>
      </x:c>
      <x:c r="O27" s="14" t="n">
        <x:f>IF(AND(ISNUMBER(C27),ISNUMBER(I27)),(I27-C27)*100,"")</x:f>
        <x:v>7.640205</x:v>
      </x:c>
      <x:c r="P27" s="17" t="str"/>
    </x:row>
    <x:row r="28" ht="25" customHeight="1">
      <x:c r="A28" s="2" t="str">
        <x:v>涅奥</x:v>
      </x:c>
      <x:c r="B28" s="2" t="str">
        <x:v>小型扭蛋</x:v>
      </x:c>
      <x:c r="C28" s="28" t="n">
        <x:f>IF('全量明细'!E111="","",'全量明细'!E111)</x:f>
        <x:v>0.24499952</x:v>
      </x:c>
      <x:c r="D28" s="12" t="n">
        <x:f>IF('全量明细'!F111="","",'全量明细'!F111)</x:f>
        <x:v>6502</x:v>
      </x:c>
      <x:c r="E28" s="11" t="n">
        <x:f>IF('全量明细'!G111="","",'全量明细'!G111)</x:f>
        <x:v>0.25920000000000004</x:v>
      </x:c>
      <x:c r="F28" s="11" t="n">
        <x:f>IF('全量明细'!H111="","",'全量明细'!H111)</x:f>
        <x:v>0.251</x:v>
      </x:c>
      <x:c r="G28" s="11" t="n">
        <x:f>IF('全量明细'!I111="","",'全量明细'!I111)</x:f>
        <x:v>0.2429</x:v>
      </x:c>
      <x:c r="H28" s="14" t="n">
        <x:f>IF('全量明细'!J111="","",'全量明细'!J111)</x:f>
        <x:v>0.8099999999999996</x:v>
      </x:c>
      <x:c r="I28" s="28" t="n">
        <x:f>IF('全量明细'!E600="","",'全量明细'!E600)</x:f>
        <x:v>0.34883224</x:v>
      </x:c>
      <x:c r="J28" s="12" t="n">
        <x:f>IF('全量明细'!F600="","",'全量明细'!F600)</x:f>
        <x:v>4005</x:v>
      </x:c>
      <x:c r="K28" s="11" t="n">
        <x:f>IF('全量明细'!G600="","",'全量明细'!G600)</x:f>
        <x:v>0.3126</x:v>
      </x:c>
      <x:c r="L28" s="11" t="n">
        <x:f>IF('全量明细'!H600="","",'全量明细'!H600)</x:f>
        <x:v>0.3986</x:v>
      </x:c>
      <x:c r="M28" s="11" t="n">
        <x:f>IF('全量明细'!I600="","",'全量明细'!I600)</x:f>
        <x:v>0.3262</x:v>
      </x:c>
      <x:c r="N28" s="14" t="n">
        <x:f>IF('全量明细'!J600="","",'全量明细'!J600)</x:f>
        <x:v>7.240000000000002</x:v>
      </x:c>
      <x:c r="O28" s="14" t="n">
        <x:f>IF(AND(ISNUMBER(C28),ISNUMBER(I28)),(I28-C28)*100,"")</x:f>
        <x:v>10.383272000000002</x:v>
      </x:c>
      <x:c r="P28" s="17" t="str"/>
    </x:row>
    <x:row r="29" ht="25" customHeight="1">
      <x:c r="A29" s="2" t="str">
        <x:v>涅奥</x:v>
      </x:c>
      <x:c r="B29" s="2" t="str">
        <x:v>新叶</x:v>
      </x:c>
      <x:c r="C29" s="28" t="n">
        <x:f>IF('全量明细'!E107="","",'全量明细'!E107)</x:f>
        <x:v>0.24944719</x:v>
      </x:c>
      <x:c r="D29" s="12" t="n">
        <x:f>IF('全量明细'!F107="","",'全量明细'!F107)</x:f>
        <x:v>12797</x:v>
      </x:c>
      <x:c r="E29" s="11" t="n">
        <x:f>IF('全量明细'!G107="","",'全量明细'!G107)</x:f>
        <x:v>0.4017</x:v>
      </x:c>
      <x:c r="F29" s="11" t="n">
        <x:f>IF('全量明细'!H107="","",'全量明细'!H107)</x:f>
        <x:v>0.2379</x:v>
      </x:c>
      <x:c r="G29" s="11" t="n">
        <x:f>IF('全量明细'!I107="","",'全量明细'!I107)</x:f>
        <x:v>0.2572</x:v>
      </x:c>
      <x:c r="H29" s="14" t="n">
        <x:f>IF('全量明细'!J107="","",'全量明细'!J107)</x:f>
        <x:v>-1.9299999999999984</x:v>
      </x:c>
      <x:c r="I29" s="28" t="n">
        <x:f>IF('全量明细'!E605="","",'全量明细'!E605)</x:f>
        <x:v>0.33718828999999995</x:v>
      </x:c>
      <x:c r="J29" s="12" t="n">
        <x:f>IF('全量明细'!F605="","",'全量明细'!F605)</x:f>
        <x:v>8019</x:v>
      </x:c>
      <x:c r="K29" s="11" t="n">
        <x:f>IF('全量明细'!G605="","",'全量明细'!G605)</x:f>
        <x:v>0.4189</x:v>
      </x:c>
      <x:c r="L29" s="11" t="n">
        <x:f>IF('全量明细'!H605="","",'全量明细'!H605)</x:f>
        <x:v>0.3233</x:v>
      </x:c>
      <x:c r="M29" s="11" t="n">
        <x:f>IF('全量明细'!I605="","",'全量明细'!I605)</x:f>
        <x:v>0.3472</x:v>
      </x:c>
      <x:c r="N29" s="14" t="n">
        <x:f>IF('全量明细'!J605="","",'全量明细'!J605)</x:f>
        <x:v>-2.3900000000000032</x:v>
      </x:c>
      <x:c r="O29" s="14" t="n">
        <x:f>IF(AND(ISNUMBER(C29),ISNUMBER(I29)),(I29-C29)*100,"")</x:f>
        <x:v>8.774109999999993</x:v>
      </x:c>
      <x:c r="P29" s="17" t="str"/>
    </x:row>
    <x:row r="30" ht="25" customHeight="1">
      <x:c r="A30" s="2" t="str">
        <x:v>涅奥</x:v>
      </x:c>
      <x:c r="B30" s="2" t="str">
        <x:v>寻龙尺</x:v>
      </x:c>
      <x:c r="C30" s="28"/>
      <x:c r="D30" s="12"/>
      <x:c r="E30" s="11"/>
      <x:c r="F30" s="11"/>
      <x:c r="G30" s="11"/>
      <x:c r="H30" s="14"/>
      <x:c r="I30" s="28" t="n">
        <x:f>IF('全量明细'!E609="","",'全量明细'!E609)</x:f>
        <x:v>0.32705727999999995</x:v>
      </x:c>
      <x:c r="J30" s="12" t="n">
        <x:f>IF('全量明细'!F609="","",'全量明细'!F609)</x:f>
        <x:v>6858</x:v>
      </x:c>
      <x:c r="K30" s="11" t="n">
        <x:f>IF('全量明细'!G609="","",'全量明细'!G609)</x:f>
        <x:v>0.4694</x:v>
      </x:c>
      <x:c r="L30" s="11" t="n">
        <x:f>IF('全量明细'!H609="","",'全量明细'!H609)</x:f>
        <x:v>0.33299999999999996</x:v>
      </x:c>
      <x:c r="M30" s="11" t="n">
        <x:f>IF('全量明细'!I609="","",'全量明细'!I609)</x:f>
        <x:v>0.3218</x:v>
      </x:c>
      <x:c r="N30" s="14" t="n">
        <x:f>IF('全量明细'!J609="","",'全量明细'!J609)</x:f>
        <x:v>1.1199999999999988</x:v>
      </x:c>
      <x:c r="O30" s="14" t="str">
        <x:f>IF(AND(ISNUMBER(C30),ISNUMBER(I30)),(I30-C30)*100,"")</x:f>
      </x:c>
      <x:c r="P30" s="17" t="str"/>
    </x:row>
    <x:row r="31" ht="25" customHeight="1">
      <x:c r="A31" s="2" t="str">
        <x:v>涅奥</x:v>
      </x:c>
      <x:c r="B31" s="2" t="str">
        <x:v>药瓶皮套</x:v>
      </x:c>
      <x:c r="C31" s="28" t="n">
        <x:f>IF('全量明细'!E114="","",'全量明细'!E114)</x:f>
        <x:v>0.24337674000000004</x:v>
      </x:c>
      <x:c r="D31" s="12" t="n">
        <x:f>IF('全量明细'!F114="","",'全量明细'!F114)</x:f>
        <x:v>14436</x:v>
      </x:c>
      <x:c r="E31" s="11" t="n">
        <x:f>IF('全量明细'!G114="","",'全量明细'!G114)</x:f>
        <x:v>0.1978</x:v>
      </x:c>
      <x:c r="F31" s="11" t="n">
        <x:f>IF('全量明细'!H114="","",'全量明细'!H114)</x:f>
        <x:v>0.3102</x:v>
      </x:c>
      <x:c r="G31" s="11" t="n">
        <x:f>IF('全量明细'!I114="","",'全量明细'!I114)</x:f>
        <x:v>0.22690000000000002</x:v>
      </x:c>
      <x:c r="H31" s="14" t="n">
        <x:f>IF('全量明细'!J114="","",'全量明细'!J114)</x:f>
        <x:v>8.329999999999997</x:v>
      </x:c>
      <x:c r="I31" s="28" t="n">
        <x:f>IF('全量明细'!E624="","",'全量明细'!E624)</x:f>
        <x:v>0.31885834</x:v>
      </x:c>
      <x:c r="J31" s="12" t="n">
        <x:f>IF('全量明细'!F624="","",'全量明细'!F624)</x:f>
        <x:v>7940</x:v>
      </x:c>
      <x:c r="K31" s="11" t="n">
        <x:f>IF('全量明细'!G624="","",'全量明细'!G624)</x:f>
        <x:v>0.2161</x:v>
      </x:c>
      <x:c r="L31" s="11" t="n">
        <x:f>IF('全量明细'!H624="","",'全量明细'!H624)</x:f>
        <x:v>0.3811</x:v>
      </x:c>
      <x:c r="M31" s="11" t="n">
        <x:f>IF('全量明细'!I624="","",'全量明细'!I624)</x:f>
        <x:v>0.3017</x:v>
      </x:c>
      <x:c r="N31" s="14" t="n">
        <x:f>IF('全量明细'!J624="","",'全量明细'!J624)</x:f>
        <x:v>7.939999999999997</x:v>
      </x:c>
      <x:c r="O31" s="14" t="n">
        <x:f>IF(AND(ISNUMBER(C31),ISNUMBER(I31)),(I31-C31)*100,"")</x:f>
        <x:v>7.548159999999998</x:v>
      </x:c>
      <x:c r="P31" s="17" t="str"/>
    </x:row>
    <x:row r="32" ht="25" customHeight="1">
      <x:c r="A32" s="2" t="str">
        <x:v>涅奥</x:v>
      </x:c>
      <x:c r="B32" s="2" t="str">
        <x:v>营养牡蛎</x:v>
      </x:c>
      <x:c r="C32" s="28" t="n">
        <x:f>IF('全量明细'!E119="","",'全量明细'!E119)</x:f>
        <x:v>0.24175820000000003</x:v>
      </x:c>
      <x:c r="D32" s="12" t="n">
        <x:f>IF('全量明细'!F119="","",'全量明细'!F119)</x:f>
        <x:v>7401</x:v>
      </x:c>
      <x:c r="E32" s="11" t="n">
        <x:f>IF('全量明细'!G119="","",'全量明细'!G119)</x:f>
        <x:v>0.0767</x:v>
      </x:c>
      <x:c r="F32" s="11" t="n">
        <x:f>IF('全量明细'!H119="","",'全量明细'!H119)</x:f>
        <x:v>0.19190000000000002</x:v>
      </x:c>
      <x:c r="G32" s="11" t="n">
        <x:f>IF('全量明细'!I119="","",'全量明细'!I119)</x:f>
        <x:v>0.2459</x:v>
      </x:c>
      <x:c r="H32" s="14" t="n">
        <x:f>IF('全量明细'!J119="","",'全量明细'!J119)</x:f>
        <x:v>-5.3999999999999995</x:v>
      </x:c>
      <x:c r="I32" s="28" t="n">
        <x:f>IF('全量明细'!E617="","",'全量明细'!E617)</x:f>
        <x:v>0.32253225</x:v>
      </x:c>
      <x:c r="J32" s="12" t="n">
        <x:f>IF('全量明细'!F617="","",'全量明细'!F617)</x:f>
        <x:v>4459</x:v>
      </x:c>
      <x:c r="K32" s="11" t="n">
        <x:f>IF('全量明细'!G617="","",'全量明细'!G617)</x:f>
        <x:v>0.0675</x:v>
      </x:c>
      <x:c r="L32" s="11" t="n">
        <x:f>IF('全量明细'!H617="","",'全量明细'!H617)</x:f>
        <x:v>0.2691</x:v>
      </x:c>
      <x:c r="M32" s="11" t="n">
        <x:f>IF('全量明细'!I617="","",'全量明细'!I617)</x:f>
        <x:v>0.3264</x:v>
      </x:c>
      <x:c r="N32" s="14" t="n">
        <x:f>IF('全量明细'!J617="","",'全量明细'!J617)</x:f>
        <x:v>-5.730000000000002</x:v>
      </x:c>
      <x:c r="O32" s="14" t="n">
        <x:f>IF(AND(ISNUMBER(C32),ISNUMBER(I32)),(I32-C32)*100,"")</x:f>
        <x:v>8.077404999999999</x:v>
      </x:c>
      <x:c r="P32" s="17" t="str"/>
    </x:row>
    <x:row r="33" ht="25" customHeight="1">
      <x:c r="A33" s="2" t="str">
        <x:v>涅奥</x:v>
      </x:c>
      <x:c r="B33" s="2" t="str">
        <x:v>羽翼之靴</x:v>
      </x:c>
      <x:c r="C33" s="28" t="n">
        <x:f>IF('全量明细'!E112="","",'全量明细'!E112)</x:f>
        <x:v>0.24406793999999998</x:v>
      </x:c>
      <x:c r="D33" s="12" t="n">
        <x:f>IF('全量明细'!F112="","",'全量明细'!F112)</x:f>
        <x:v>14472</x:v>
      </x:c>
      <x:c r="E33" s="11" t="n">
        <x:f>IF('全量明细'!G112="","",'全量明细'!G112)</x:f>
        <x:v>0.2391</x:v>
      </x:c>
      <x:c r="F33" s="11" t="n">
        <x:f>IF('全量明细'!H112="","",'全量明细'!H112)</x:f>
        <x:v>0.2847</x:v>
      </x:c>
      <x:c r="G33" s="11" t="n">
        <x:f>IF('全量明细'!I112="","",'全量明细'!I112)</x:f>
        <x:v>0.23129999999999998</x:v>
      </x:c>
      <x:c r="H33" s="14" t="n">
        <x:f>IF('全量明细'!J112="","",'全量明细'!J112)</x:f>
        <x:v>5.340000000000003</x:v>
      </x:c>
      <x:c r="I33" s="28" t="n">
        <x:f>IF('全量明细'!E607="","",'全量明细'!E607)</x:f>
        <x:v>0.33181777</x:v>
      </x:c>
      <x:c r="J33" s="12" t="n">
        <x:f>IF('全量明细'!F607="","",'全量明细'!F607)</x:f>
        <x:v>8569</x:v>
      </x:c>
      <x:c r="K33" s="11" t="n">
        <x:f>IF('全量明细'!G607="","",'全量明细'!G607)</x:f>
        <x:v>0.2507</x:v>
      </x:c>
      <x:c r="L33" s="11" t="n">
        <x:f>IF('全量明细'!H607="","",'全量明细'!H607)</x:f>
        <x:v>0.3776</x:v>
      </x:c>
      <x:c r="M33" s="11" t="n">
        <x:f>IF('全量明细'!I607="","",'全量明细'!I607)</x:f>
        <x:v>0.3165</x:v>
      </x:c>
      <x:c r="N33" s="14" t="n">
        <x:f>IF('全量明细'!J607="","",'全量明细'!J607)</x:f>
        <x:v>6.1099999999999985</x:v>
      </x:c>
      <x:c r="O33" s="14" t="n">
        <x:f>IF(AND(ISNUMBER(C33),ISNUMBER(I33)),(I33-C33)*100,"")</x:f>
        <x:v>8.774983000000002</x:v>
      </x:c>
      <x:c r="P33" s="17" t="str"/>
    </x:row>
    <x:row r="34" ht="25" customHeight="1">
      <x:c r="A34" s="2" t="str">
        <x:v>涅奥</x:v>
      </x:c>
      <x:c r="B34" s="2" t="str">
        <x:v>诅咒珍珠</x:v>
      </x:c>
      <x:c r="C34" s="28" t="n">
        <x:f>IF('全量明细'!E124="","",'全量明细'!E124)</x:f>
        <x:v>0.24078876999999999</x:v>
      </x:c>
      <x:c r="D34" s="12" t="n">
        <x:f>IF('全量明细'!F124="","",'全量明细'!F124)</x:f>
        <x:v>13812</x:v>
      </x:c>
      <x:c r="E34" s="11" t="n">
        <x:f>IF('全量明细'!G124="","",'全量明细'!G124)</x:f>
        <x:v>0.45289999999999997</x:v>
      </x:c>
      <x:c r="F34" s="11" t="n">
        <x:f>IF('全量明细'!H124="","",'全量明细'!H124)</x:f>
        <x:v>0.2415</x:v>
      </x:c>
      <x:c r="G34" s="11" t="n">
        <x:f>IF('全量明细'!I124="","",'全量明细'!I124)</x:f>
        <x:v>0.2402</x:v>
      </x:c>
      <x:c r="H34" s="14" t="n">
        <x:f>IF('全量明细'!J124="","",'全量明细'!J124)</x:f>
        <x:v>0.12999999999999956</x:v>
      </x:c>
      <x:c r="I34" s="28" t="n">
        <x:f>IF('全量明细'!E619="","",'全量明细'!E619)</x:f>
        <x:v>0.32186269</x:v>
      </x:c>
      <x:c r="J34" s="12" t="n">
        <x:f>IF('全量明细'!F619="","",'全量明细'!F619)</x:f>
        <x:v>6794</x:v>
      </x:c>
      <x:c r="K34" s="11" t="n">
        <x:f>IF('全量明细'!G619="","",'全量明细'!G619)</x:f>
        <x:v>0.4689</x:v>
      </x:c>
      <x:c r="L34" s="11" t="n">
        <x:f>IF('全量明细'!H619="","",'全量明细'!H619)</x:f>
        <x:v>0.3336</x:v>
      </x:c>
      <x:c r="M34" s="11" t="n">
        <x:f>IF('全量明细'!I619="","",'全量明细'!I619)</x:f>
        <x:v>0.3115</x:v>
      </x:c>
      <x:c r="N34" s="14" t="n">
        <x:f>IF('全量明细'!J619="","",'全量明细'!J619)</x:f>
        <x:v>2.210000000000001</x:v>
      </x:c>
      <x:c r="O34" s="14" t="n">
        <x:f>IF(AND(ISNUMBER(C34),ISNUMBER(I34)),(I34-C34)*100,"")</x:f>
        <x:v>8.107392000000003</x:v>
      </x:c>
      <x:c r="P34" s="17" t="str"/>
    </x:row>
    <x:row r="35" ht="25" customHeight="1">
      <x:c r="A35" s="20" t="str">
        <x:v>欧洛巴斯</x:v>
      </x:c>
      <x:c r="B35" s="20" t="str">
        <x:v>玻璃眼珠</x:v>
      </x:c>
      <x:c r="C35" s="27" t="n">
        <x:f>IF('全量明细'!E140="","",'全量明细'!E140)</x:f>
        <x:v>0.32616876</x:v>
      </x:c>
      <x:c r="D35" s="23" t="n">
        <x:f>IF('全量明细'!F140="","",'全量明细'!F140)</x:f>
        <x:v>5466</x:v>
      </x:c>
      <x:c r="E35" s="22" t="n">
        <x:f>IF('全量明细'!G140="","",'全量明细'!G140)</x:f>
        <x:v>0.4854</x:v>
      </x:c>
      <x:c r="F35" s="22" t="n">
        <x:f>IF('全量明细'!H140="","",'全量明细'!H140)</x:f>
        <x:v>0.27440000000000003</x:v>
      </x:c>
      <x:c r="G35" s="22" t="n">
        <x:f>IF('全量明细'!I140="","",'全量明细'!I140)</x:f>
        <x:v>0.375</x:v>
      </x:c>
      <x:c r="H35" s="24" t="n">
        <x:f>IF('全量明细'!J140="","",'全量明细'!J140)</x:f>
        <x:v>-10.059999999999997</x:v>
      </x:c>
      <x:c r="I35" s="27" t="n">
        <x:f>IF('全量明细'!E636="","",'全量明细'!E636)</x:f>
        <x:v>0.42850564</x:v>
      </x:c>
      <x:c r="J35" s="23" t="n">
        <x:f>IF('全量明细'!F636="","",'全量明细'!F636)</x:f>
        <x:v>4672</x:v>
      </x:c>
      <x:c r="K35" s="22" t="n">
        <x:f>IF('全量明细'!G636="","",'全量明细'!G636)</x:f>
        <x:v>0.47259999999999996</x:v>
      </x:c>
      <x:c r="L35" s="22" t="n">
        <x:f>IF('全量明细'!H636="","",'全量明细'!H636)</x:f>
        <x:v>0.39759999999999995</x:v>
      </x:c>
      <x:c r="M35" s="22" t="n">
        <x:f>IF('全量明细'!I636="","",'全量明细'!I636)</x:f>
        <x:v>0.4562</x:v>
      </x:c>
      <x:c r="N35" s="24" t="n">
        <x:f>IF('全量明细'!J636="","",'全量明细'!J636)</x:f>
        <x:v>-5.860000000000004</x:v>
      </x:c>
      <x:c r="O35" s="24" t="n">
        <x:f>IF(AND(ISNUMBER(C35),ISNUMBER(I35)),(I35-C35)*100,"")</x:f>
        <x:v>10.233688000000003</x:v>
      </x:c>
      <x:c r="P35" s="31" t="str"/>
    </x:row>
    <x:row r="36" ht="25" customHeight="1">
      <x:c r="A36" s="2" t="str">
        <x:v>欧洛巴斯</x:v>
      </x:c>
      <x:c r="B36" s="2" t="str">
        <x:v>发光珍珠</x:v>
      </x:c>
      <x:c r="C36" s="28" t="n">
        <x:f>IF('全量明细'!E134="","",'全量明细'!E134)</x:f>
        <x:v>0.35072345000000005</x:v>
      </x:c>
      <x:c r="D36" s="12" t="n">
        <x:f>IF('全量明细'!F134="","",'全量明细'!F134)</x:f>
        <x:v>6193</x:v>
      </x:c>
      <x:c r="E36" s="11" t="n">
        <x:f>IF('全量明细'!G134="","",'全量明细'!G134)</x:f>
        <x:v>0.29969999999999997</x:v>
      </x:c>
      <x:c r="F36" s="11" t="n">
        <x:f>IF('全量明细'!H134="","",'全量明细'!H134)</x:f>
        <x:v>0.4127</x:v>
      </x:c>
      <x:c r="G36" s="11" t="n">
        <x:f>IF('全量明细'!I134="","",'全量明细'!I134)</x:f>
        <x:v>0.32420000000000004</x:v>
      </x:c>
      <x:c r="H36" s="14" t="n">
        <x:f>IF('全量明细'!J134="","",'全量明细'!J134)</x:f>
        <x:v>8.849999999999996</x:v>
      </x:c>
      <x:c r="I36" s="28" t="n">
        <x:f>IF('全量明细'!E630="","",'全量明细'!E630)</x:f>
        <x:v>0.46096768</x:v>
      </x:c>
      <x:c r="J36" s="12" t="n">
        <x:f>IF('全量明细'!F630="","",'全量明细'!F630)</x:f>
        <x:v>2803</x:v>
      </x:c>
      <x:c r="K36" s="11" t="n">
        <x:f>IF('全量明细'!G630="","",'全量明细'!G630)</x:f>
        <x:v>0.3411</x:v>
      </x:c>
      <x:c r="L36" s="11" t="n">
        <x:f>IF('全量明细'!H630="","",'全量明细'!H630)</x:f>
        <x:v>0.5063</x:v>
      </x:c>
      <x:c r="M36" s="11" t="n">
        <x:f>IF('全量明细'!I630="","",'全量明细'!I630)</x:f>
        <x:v>0.4375</x:v>
      </x:c>
      <x:c r="N36" s="14" t="n">
        <x:f>IF('全量明细'!J630="","",'全量明细'!J630)</x:f>
        <x:v>6.879999999999997</x:v>
      </x:c>
      <x:c r="O36" s="14" t="n">
        <x:f>IF(AND(ISNUMBER(C36),ISNUMBER(I36)),(I36-C36)*100,"")</x:f>
        <x:v>11.024422999999995</x:v>
      </x:c>
      <x:c r="P36" s="17" t="str"/>
    </x:row>
    <x:row r="37" ht="25" customHeight="1">
      <x:c r="A37" s="2" t="str">
        <x:v>欧洛巴斯</x:v>
      </x:c>
      <x:c r="B37" s="2" t="str">
        <x:v>放电异虾</x:v>
      </x:c>
      <x:c r="C37" s="28" t="n">
        <x:f>IF('全量明细'!E137="","",'全量明细'!E137)</x:f>
        <x:v>0.33665185</x:v>
      </x:c>
      <x:c r="D37" s="12" t="n">
        <x:f>IF('全量明细'!F137="","",'全量明细'!F137)</x:f>
        <x:v>5679</x:v>
      </x:c>
      <x:c r="E37" s="11" t="n">
        <x:f>IF('全量明细'!G137="","",'全量明细'!G137)</x:f>
        <x:v>0.24850000000000003</x:v>
      </x:c>
      <x:c r="F37" s="11" t="n">
        <x:f>IF('全量明细'!H137="","",'全量明细'!H137)</x:f>
        <x:v>0.3232</x:v>
      </x:c>
      <x:c r="G37" s="11" t="n">
        <x:f>IF('全量明细'!I137="","",'全量明细'!I137)</x:f>
        <x:v>0.3411</x:v>
      </x:c>
      <x:c r="H37" s="14" t="n">
        <x:f>IF('全量明细'!J137="","",'全量明细'!J137)</x:f>
        <x:v>-1.7900000000000027</x:v>
      </x:c>
      <x:c r="I37" s="28" t="n">
        <x:f>IF('全量明细'!E632="","",'全量明细'!E632)</x:f>
        <x:v>0.4482256</x:v>
      </x:c>
      <x:c r="J37" s="12" t="n">
        <x:f>IF('全量明细'!F632="","",'全量明细'!F632)</x:f>
        <x:v>4812</x:v>
      </x:c>
      <x:c r="K37" s="11" t="n">
        <x:f>IF('全量明细'!G632="","",'全量明细'!G632)</x:f>
        <x:v>0.36700000000000005</x:v>
      </x:c>
      <x:c r="L37" s="11" t="n">
        <x:f>IF('全量明细'!H632="","",'全量明细'!H632)</x:f>
        <x:v>0.4462</x:v>
      </x:c>
      <x:c r="M37" s="11" t="n">
        <x:f>IF('全量明细'!I632="","",'全量明细'!I632)</x:f>
        <x:v>0.44939999999999997</x:v>
      </x:c>
      <x:c r="N37" s="14" t="n">
        <x:f>IF('全量明细'!J632="","",'全量明细'!J632)</x:f>
        <x:v>-0.31999999999999806</x:v>
      </x:c>
      <x:c r="O37" s="14" t="n">
        <x:f>IF(AND(ISNUMBER(C37),ISNUMBER(I37)),(I37-C37)*100,"")</x:f>
        <x:v>11.157375000000002</x:v>
      </x:c>
      <x:c r="P37" s="17" t="str"/>
    </x:row>
    <x:row r="38" ht="25" customHeight="1">
      <x:c r="A38" s="2" t="str">
        <x:v>欧洛巴斯</x:v>
      </x:c>
      <x:c r="B38" s="2" t="str">
        <x:v>浮木</x:v>
      </x:c>
      <x:c r="C38" s="28" t="n">
        <x:f>IF('全量明细'!E139="","",'全量明细'!E139)</x:f>
        <x:v>0.32654957</x:v>
      </x:c>
      <x:c r="D38" s="12" t="n">
        <x:f>IF('全量明细'!F139="","",'全量明细'!F139)</x:f>
        <x:v>6180</x:v>
      </x:c>
      <x:c r="E38" s="11" t="n">
        <x:f>IF('全量明细'!G139="","",'全量明细'!G139)</x:f>
        <x:v>0.2663</x:v>
      </x:c>
      <x:c r="F38" s="11" t="n">
        <x:f>IF('全量明细'!H139="","",'全量明细'!H139)</x:f>
        <x:v>0.3074</x:v>
      </x:c>
      <x:c r="G38" s="11" t="n">
        <x:f>IF('全量明细'!I139="","",'全量明细'!I139)</x:f>
        <x:v>0.3335</x:v>
      </x:c>
      <x:c r="H38" s="14" t="n">
        <x:f>IF('全量明细'!J139="","",'全量明细'!J139)</x:f>
        <x:v>-2.610000000000001</x:v>
      </x:c>
      <x:c r="I38" s="28" t="n">
        <x:f>IF('全量明细'!E637="","",'全量明细'!E637)</x:f>
        <x:v>0.42496676</x:v>
      </x:c>
      <x:c r="J38" s="12" t="n">
        <x:f>IF('全量明细'!F637="","",'全量明细'!F637)</x:f>
        <x:v>2871</x:v>
      </x:c>
      <x:c r="K38" s="11" t="n">
        <x:f>IF('全量明细'!G637="","",'全量明细'!G637)</x:f>
        <x:v>0.2327</x:v>
      </x:c>
      <x:c r="L38" s="11" t="n">
        <x:f>IF('全量明细'!H637="","",'全量明细'!H637)</x:f>
        <x:v>0.40869999999999995</x:v>
      </x:c>
      <x:c r="M38" s="11" t="n">
        <x:f>IF('全量明细'!I637="","",'全量明细'!I637)</x:f>
        <x:v>0.4299</x:v>
      </x:c>
      <x:c r="N38" s="14" t="n">
        <x:f>IF('全量明细'!J637="","",'全量明细'!J637)</x:f>
        <x:v>-2.1200000000000054</x:v>
      </x:c>
      <x:c r="O38" s="14" t="n">
        <x:f>IF(AND(ISNUMBER(C38),ISNUMBER(I38)),(I38-C38)*100,"")</x:f>
        <x:v>9.841719</x:v>
      </x:c>
      <x:c r="P38" s="17" t="str"/>
    </x:row>
    <x:row r="39" ht="25" customHeight="1">
      <x:c r="A39" s="2" t="str">
        <x:v>欧洛巴斯</x:v>
      </x:c>
      <x:c r="B39" s="2" t="str">
        <x:v>古老牙齿</x:v>
      </x:c>
      <x:c r="C39" s="28" t="n">
        <x:f>IF('全量明细'!E136="","",'全量明细'!E136)</x:f>
        <x:v>0.34788905</x:v>
      </x:c>
      <x:c r="D39" s="12" t="n">
        <x:f>IF('全量明细'!F136="","",'全量明细'!F136)</x:f>
        <x:v>9341</x:v>
      </x:c>
      <x:c r="E39" s="11" t="n">
        <x:f>IF('全量明细'!G136="","",'全量明细'!G136)</x:f>
        <x:v>0.4929</x:v>
      </x:c>
      <x:c r="F39" s="11" t="n">
        <x:f>IF('全量明细'!H136="","",'全量明细'!H136)</x:f>
        <x:v>0.34509999999999996</x:v>
      </x:c>
      <x:c r="G39" s="11" t="n">
        <x:f>IF('全量明细'!I136="","",'全量明细'!I136)</x:f>
        <x:v>0.3506</x:v>
      </x:c>
      <x:c r="H39" s="14" t="n">
        <x:f>IF('全量明细'!J136="","",'全量明细'!J136)</x:f>
        <x:v>-0.550000000000006</x:v>
      </x:c>
      <x:c r="I39" s="28" t="n">
        <x:f>IF('全量明细'!E631="","",'全量明细'!E631)</x:f>
        <x:v>0.44919044</x:v>
      </x:c>
      <x:c r="J39" s="12" t="n">
        <x:f>IF('全量明细'!F631="","",'全量明细'!F631)</x:f>
        <x:v>5610</x:v>
      </x:c>
      <x:c r="K39" s="11" t="n">
        <x:f>IF('全量明细'!G631="","",'全量明细'!G631)</x:f>
        <x:v>0.36920000000000003</x:v>
      </x:c>
      <x:c r="L39" s="11" t="n">
        <x:f>IF('全量明细'!H631="","",'全量明细'!H631)</x:f>
        <x:v>0.4244</x:v>
      </x:c>
      <x:c r="M39" s="11" t="n">
        <x:f>IF('全量明细'!I631="","",'全量明细'!I631)</x:f>
        <x:v>0.4637</x:v>
      </x:c>
      <x:c r="N39" s="14" t="n">
        <x:f>IF('全量明细'!J631="","",'全量明细'!J631)</x:f>
        <x:v>-3.93</x:v>
      </x:c>
      <x:c r="O39" s="14" t="n">
        <x:f>IF(AND(ISNUMBER(C39),ISNUMBER(I39)),(I39-C39)*100,"")</x:f>
        <x:v>10.130139000000005</x:v>
      </x:c>
      <x:c r="P39" s="17" t="str"/>
    </x:row>
    <x:row r="40" ht="25" customHeight="1">
      <x:c r="A40" s="2" t="str">
        <x:v>欧洛巴斯</x:v>
      </x:c>
      <x:c r="B40" s="2" t="str">
        <x:v>棱彩宝石</x:v>
      </x:c>
      <x:c r="C40" s="28" t="n">
        <x:f>IF('全量明细'!E132="","",'全量明细'!E132)</x:f>
        <x:v>0.37288699999999997</x:v>
      </x:c>
      <x:c r="D40" s="12" t="n">
        <x:f>IF('全量明细'!F132="","",'全量明细'!F132)</x:f>
        <x:v>1861</x:v>
      </x:c>
      <x:c r="E40" s="11" t="n">
        <x:f>IF('全量明细'!G132="","",'全量明细'!G132)</x:f>
        <x:v>0.4175</x:v>
      </x:c>
      <x:c r="F40" s="11" t="n">
        <x:f>IF('全量明细'!H132="","",'全量明细'!H132)</x:f>
        <x:v>0.4337</x:v>
      </x:c>
      <x:c r="G40" s="11" t="n">
        <x:f>IF('全量明细'!I132="","",'全量明细'!I132)</x:f>
        <x:v>0.3293</x:v>
      </x:c>
      <x:c r="H40" s="14" t="n">
        <x:f>IF('全量明细'!J132="","",'全量明细'!J132)</x:f>
        <x:v>10.44</x:v>
      </x:c>
      <x:c r="I40" s="28" t="n">
        <x:f>IF('全量明细'!E629="","",'全量明细'!E629)</x:f>
        <x:v>0.47821183999999994</x:v>
      </x:c>
      <x:c r="J40" s="12" t="n">
        <x:f>IF('全量明细'!F629="","",'全量明细'!F629)</x:f>
        <x:v>1583</x:v>
      </x:c>
      <x:c r="K40" s="11" t="n">
        <x:f>IF('全量明细'!G629="","",'全量明细'!G629)</x:f>
        <x:v>0.4782</x:v>
      </x:c>
      <x:c r="L40" s="11" t="n">
        <x:f>IF('全量明细'!H629="","",'全量明细'!H629)</x:f>
        <x:v>0.5257999999999999</x:v>
      </x:c>
      <x:c r="M40" s="11" t="n">
        <x:f>IF('全量明细'!I629="","",'全量明细'!I629)</x:f>
        <x:v>0.4346</x:v>
      </x:c>
      <x:c r="N40" s="14" t="n">
        <x:f>IF('全量明细'!J629="","",'全量明细'!J629)</x:f>
        <x:v>9.119999999999994</x:v>
      </x:c>
      <x:c r="O40" s="14" t="n">
        <x:f>IF(AND(ISNUMBER(C40),ISNUMBER(I40)),(I40-C40)*100,"")</x:f>
        <x:v>10.532483999999997</x:v>
      </x:c>
      <x:c r="P40" s="17" t="str"/>
    </x:row>
    <x:row r="41" ht="25" customHeight="1">
      <x:c r="A41" s="2" t="str">
        <x:v>欧洛巴斯</x:v>
      </x:c>
      <x:c r="B41" s="2" t="str">
        <x:v>炼金箱</x:v>
      </x:c>
      <x:c r="C41" s="28" t="n">
        <x:f>IF('全量明细'!E135="","",'全量明细'!E135)</x:f>
        <x:v>0.34797432</x:v>
      </x:c>
      <x:c r="D41" s="12" t="n">
        <x:f>IF('全量明细'!F135="","",'全量明细'!F135)</x:f>
        <x:v>6296</x:v>
      </x:c>
      <x:c r="E41" s="11" t="n">
        <x:f>IF('全量明细'!G135="","",'全量明细'!G135)</x:f>
        <x:v>0.2441</x:v>
      </x:c>
      <x:c r="F41" s="11" t="n">
        <x:f>IF('全量明细'!H135="","",'全量明细'!H135)</x:f>
        <x:v>0.3897</x:v>
      </x:c>
      <x:c r="G41" s="11" t="n">
        <x:f>IF('全量明细'!I135="","",'全量明细'!I135)</x:f>
        <x:v>0.3345</x:v>
      </x:c>
      <x:c r="H41" s="14" t="n">
        <x:f>IF('全量明细'!J135="","",'全量明细'!J135)</x:f>
        <x:v>5.519999999999997</x:v>
      </x:c>
      <x:c r="I41" s="28" t="n">
        <x:f>IF('全量明细'!E633="","",'全量明细'!E633)</x:f>
        <x:v>0.44782645</x:v>
      </x:c>
      <x:c r="J41" s="12" t="n">
        <x:f>IF('全量明细'!F633="","",'全量明细'!F633)</x:f>
        <x:v>2704</x:v>
      </x:c>
      <x:c r="K41" s="11" t="n">
        <x:f>IF('全量明细'!G633="","",'全量明细'!G633)</x:f>
        <x:v>0.2515</x:v>
      </x:c>
      <x:c r="L41" s="11" t="n">
        <x:f>IF('全量明细'!H633="","",'全量明细'!H633)</x:f>
        <x:v>0.47350000000000003</x:v>
      </x:c>
      <x:c r="M41" s="11" t="n">
        <x:f>IF('全量明细'!I633="","",'全量明细'!I633)</x:f>
        <x:v>0.43920000000000003</x:v>
      </x:c>
      <x:c r="N41" s="14" t="n">
        <x:f>IF('全量明细'!J633="","",'全量明细'!J633)</x:f>
        <x:v>3.4299999999999997</x:v>
      </x:c>
      <x:c r="O41" s="14" t="n">
        <x:f>IF(AND(ISNUMBER(C41),ISNUMBER(I41)),(I41-C41)*100,"")</x:f>
        <x:v>9.985212999999998</x:v>
      </x:c>
      <x:c r="P41" s="17" t="str"/>
    </x:row>
    <x:row r="42" ht="25" customHeight="1">
      <x:c r="A42" s="2" t="str">
        <x:v>欧洛巴斯</x:v>
      </x:c>
      <x:c r="B42" s="2" t="str">
        <x:v>欧洛巴斯之触</x:v>
      </x:c>
      <x:c r="C42" s="28" t="n">
        <x:f>IF('全量明细'!E138="","",'全量明细'!E138)</x:f>
        <x:v>0.33551267</x:v>
      </x:c>
      <x:c r="D42" s="12" t="n">
        <x:f>IF('全量明细'!F138="","",'全量明细'!F138)</x:f>
        <x:v>9323</x:v>
      </x:c>
      <x:c r="E42" s="11" t="n">
        <x:f>IF('全量明细'!G138="","",'全量明细'!G138)</x:f>
        <x:v>0.2621</x:v>
      </x:c>
      <x:c r="F42" s="11" t="n">
        <x:f>IF('全量明细'!H138="","",'全量明细'!H138)</x:f>
        <x:v>0.37439999999999996</x:v>
      </x:c>
      <x:c r="G42" s="11" t="n">
        <x:f>IF('全量明细'!I138="","",'全量明细'!I138)</x:f>
        <x:v>0.32170000000000004</x:v>
      </x:c>
      <x:c r="H42" s="14" t="n">
        <x:f>IF('全量明细'!J138="","",'全量明细'!J138)</x:f>
        <x:v>5.269999999999992</x:v>
      </x:c>
      <x:c r="I42" s="28" t="n">
        <x:f>IF('全量明细'!E635="","",'全量明细'!E635)</x:f>
        <x:v>0.43890622999999995</x:v>
      </x:c>
      <x:c r="J42" s="12" t="n">
        <x:f>IF('全量明细'!F635="","",'全量明细'!F635)</x:f>
        <x:v>5468</x:v>
      </x:c>
      <x:c r="K42" s="11" t="n">
        <x:f>IF('全量明细'!G635="","",'全量明细'!G635)</x:f>
        <x:v>0.24489999999999998</x:v>
      </x:c>
      <x:c r="L42" s="11" t="n">
        <x:f>IF('全量明细'!H635="","",'全量明细'!H635)</x:f>
        <x:v>0.47869999999999996</x:v>
      </x:c>
      <x:c r="M42" s="11" t="n">
        <x:f>IF('全量明细'!I635="","",'全量明细'!I635)</x:f>
        <x:v>0.426</x:v>
      </x:c>
      <x:c r="N42" s="14" t="n">
        <x:f>IF('全量明细'!J635="","",'全量明细'!J635)</x:f>
        <x:v>5.269999999999997</x:v>
      </x:c>
      <x:c r="O42" s="14" t="n">
        <x:f>IF(AND(ISNUMBER(C42),ISNUMBER(I42)),(I42-C42)*100,"")</x:f>
        <x:v>10.339355999999993</x:v>
      </x:c>
      <x:c r="P42" s="17" t="str"/>
    </x:row>
    <x:row r="43" ht="25" customHeight="1">
      <x:c r="A43" s="2" t="str">
        <x:v>欧洛巴斯</x:v>
      </x:c>
      <x:c r="B43" s="2" t="str">
        <x:v>沙堡</x:v>
      </x:c>
      <x:c r="C43" s="28" t="n">
        <x:f>IF('全量明细'!E133="","",'全量明细'!E133)</x:f>
        <x:v>0.35133101000000005</x:v>
      </x:c>
      <x:c r="D43" s="12" t="n">
        <x:f>IF('全量明细'!F133="","",'全量明细'!F133)</x:f>
        <x:v>5656</x:v>
      </x:c>
      <x:c r="E43" s="11" t="n">
        <x:f>IF('全量明细'!G133="","",'全量明细'!G133)</x:f>
        <x:v>0.3069</x:v>
      </x:c>
      <x:c r="F43" s="11" t="n">
        <x:f>IF('全量明细'!H133="","",'全量明细'!H133)</x:f>
        <x:v>0.2771</x:v>
      </x:c>
      <x:c r="G43" s="11" t="n">
        <x:f>IF('全量明细'!I133="","",'全量明细'!I133)</x:f>
        <x:v>0.38420000000000004</x:v>
      </x:c>
      <x:c r="H43" s="14" t="n">
        <x:f>IF('全量明细'!J133="","",'全量明细'!J133)</x:f>
        <x:v>-10.710000000000003</x:v>
      </x:c>
      <x:c r="I43" s="28" t="n">
        <x:f>IF('全量明细'!E634="","",'全量明细'!E634)</x:f>
        <x:v>0.44333644</x:v>
      </x:c>
      <x:c r="J43" s="12" t="n">
        <x:f>IF('全量明细'!F634="","",'全量明细'!F634)</x:f>
        <x:v>2702</x:v>
      </x:c>
      <x:c r="K43" s="11" t="n">
        <x:f>IF('全量明细'!G634="","",'全量明细'!G634)</x:f>
        <x:v>0.2332</x:v>
      </x:c>
      <x:c r="L43" s="11" t="n">
        <x:f>IF('全量明细'!H634="","",'全量明细'!H634)</x:f>
        <x:v>0.40630000000000005</x:v>
      </x:c>
      <x:c r="M43" s="11" t="n">
        <x:f>IF('全量明细'!I634="","",'全量明细'!I634)</x:f>
        <x:v>0.4546</x:v>
      </x:c>
      <x:c r="N43" s="14" t="n">
        <x:f>IF('全量明细'!J634="","",'全量明细'!J634)</x:f>
        <x:v>-4.829999999999996</x:v>
      </x:c>
      <x:c r="O43" s="14" t="n">
        <x:f>IF(AND(ISNUMBER(C43),ISNUMBER(I43)),(I43-C43)*100,"")</x:f>
        <x:v>9.200542999999994</x:v>
      </x:c>
      <x:c r="P43" s="17" t="str"/>
    </x:row>
    <x:row r="44" ht="25" customHeight="1">
      <x:c r="A44" s="20" t="str">
        <x:v>佩尔</x:v>
      </x:c>
      <x:c r="B44" s="20" t="str">
        <x:v>佩尔的士兵</x:v>
      </x:c>
      <x:c r="C44" s="27" t="n">
        <x:f>IF('全量明细'!E142="","",'全量明细'!E142)</x:f>
        <x:v>0.36748266</x:v>
      </x:c>
      <x:c r="D44" s="23" t="n">
        <x:f>IF('全量明细'!F142="","",'全量明细'!F142)</x:f>
        <x:v>7603</x:v>
      </x:c>
      <x:c r="E44" s="22" t="n">
        <x:f>IF('全量明细'!G142="","",'全量明细'!G142)</x:f>
        <x:v>0.47740000000000005</x:v>
      </x:c>
      <x:c r="F44" s="22" t="n">
        <x:f>IF('全量明细'!H142="","",'全量明细'!H142)</x:f>
        <x:v>0.41759999999999997</x:v>
      </x:c>
      <x:c r="G44" s="22" t="n">
        <x:f>IF('全量明细'!I142="","",'全量明细'!I142)</x:f>
        <x:v>0.32170000000000004</x:v>
      </x:c>
      <x:c r="H44" s="24" t="n">
        <x:f>IF('全量明细'!J142="","",'全量明细'!J142)</x:f>
        <x:v>9.589999999999993</x:v>
      </x:c>
      <x:c r="I44" s="27" t="n">
        <x:f>IF('全量明细'!E641="","",'全量明细'!E641)</x:f>
        <x:v>0.46723396</x:v>
      </x:c>
      <x:c r="J44" s="23" t="n">
        <x:f>IF('全量明细'!F641="","",'全量明细'!F641)</x:f>
        <x:v>4927</x:v>
      </x:c>
      <x:c r="K44" s="22" t="n">
        <x:f>IF('全量明细'!G641="","",'全量明细'!G641)</x:f>
        <x:v>0.4628</x:v>
      </x:c>
      <x:c r="L44" s="22" t="n">
        <x:f>IF('全量明细'!H641="","",'全量明细'!H641)</x:f>
        <x:v>0.5079</x:v>
      </x:c>
      <x:c r="M44" s="22" t="n">
        <x:f>IF('全量明细'!I641="","",'全量明细'!I641)</x:f>
        <x:v>0.4322</x:v>
      </x:c>
      <x:c r="N44" s="24" t="n">
        <x:f>IF('全量明细'!J641="","",'全量明细'!J641)</x:f>
        <x:v>7.570000000000005</x:v>
      </x:c>
      <x:c r="O44" s="24" t="n">
        <x:f>IF(AND(ISNUMBER(C44),ISNUMBER(I44)),(I44-C44)*100,"")</x:f>
        <x:v>9.975129999999998</x:v>
      </x:c>
      <x:c r="P44" s="31" t="str"/>
    </x:row>
    <x:row r="45" ht="25" customHeight="1">
      <x:c r="A45" s="2" t="str">
        <x:v>佩尔</x:v>
      </x:c>
      <x:c r="B45" s="2" t="str">
        <x:v>佩尔的增生组织</x:v>
      </x:c>
      <x:c r="C45" s="28" t="n">
        <x:f>IF('全量明细'!E145="","",'全量明细'!E145)</x:f>
        <x:v>0.36263904</x:v>
      </x:c>
      <x:c r="D45" s="12" t="n">
        <x:f>IF('全量明细'!F145="","",'全量明细'!F145)</x:f>
        <x:v>3295</x:v>
      </x:c>
      <x:c r="E45" s="11" t="n">
        <x:f>IF('全量明细'!G145="","",'全量明细'!G145)</x:f>
        <x:v>0.24280000000000002</x:v>
      </x:c>
      <x:c r="F45" s="11" t="n">
        <x:f>IF('全量明细'!H145="","",'全量明细'!H145)</x:f>
        <x:v>0.3375</x:v>
      </x:c>
      <x:c r="G45" s="11" t="n">
        <x:f>IF('全量明细'!I145="","",'全量明细'!I145)</x:f>
        <x:v>0.37070000000000003</x:v>
      </x:c>
      <x:c r="H45" s="14" t="n">
        <x:f>IF('全量明细'!J145="","",'全量明细'!J145)</x:f>
        <x:v>-3.3200000000000007</x:v>
      </x:c>
      <x:c r="I45" s="28" t="n">
        <x:f>IF('全量明细'!E638="","",'全量明细'!E638)</x:f>
        <x:v>0.4965059</x:v>
      </x:c>
      <x:c r="J45" s="12" t="n">
        <x:f>IF('全量明细'!F638="","",'全量明细'!F638)</x:f>
        <x:v>2149</x:v>
      </x:c>
      <x:c r="K45" s="11" t="n">
        <x:f>IF('全量明细'!G638="","",'全量明细'!G638)</x:f>
        <x:v>0.2369</x:v>
      </x:c>
      <x:c r="L45" s="11" t="n">
        <x:f>IF('全量明细'!H638="","",'全量明细'!H638)</x:f>
        <x:v>0.5049</x:v>
      </x:c>
      <x:c r="M45" s="11" t="n">
        <x:f>IF('全量明细'!I638="","",'全量明细'!I638)</x:f>
        <x:v>0.4939</x:v>
      </x:c>
      <x:c r="N45" s="14" t="n">
        <x:f>IF('全量明细'!J638="","",'全量明细'!J638)</x:f>
        <x:v>1.100000000000001</x:v>
      </x:c>
      <x:c r="O45" s="14" t="n">
        <x:f>IF(AND(ISNUMBER(C45),ISNUMBER(I45)),(I45-C45)*100,"")</x:f>
        <x:v>13.386685999999997</x:v>
      </x:c>
      <x:c r="P45" s="17" t="str"/>
    </x:row>
    <x:row r="46" ht="25" customHeight="1">
      <x:c r="A46" s="2" t="str">
        <x:v>佩尔</x:v>
      </x:c>
      <x:c r="B46" s="2" t="str">
        <x:v>佩尔之角</x:v>
      </x:c>
      <x:c r="C46" s="28" t="n">
        <x:f>IF('全量明细'!E147="","",'全量明细'!E147)</x:f>
        <x:v>0.35132515</x:v>
      </x:c>
      <x:c r="D46" s="12" t="n">
        <x:f>IF('全量明细'!F147="","",'全量明细'!F147)</x:f>
        <x:v>7477</x:v>
      </x:c>
      <x:c r="E46" s="11" t="n">
        <x:f>IF('全量明细'!G147="","",'全量明细'!G147)</x:f>
        <x:v>0.0837</x:v>
      </x:c>
      <x:c r="F46" s="11" t="n">
        <x:f>IF('全量明细'!H147="","",'全量明细'!H147)</x:f>
        <x:v>0.26839999999999997</x:v>
      </x:c>
      <x:c r="G46" s="11" t="n">
        <x:f>IF('全量明细'!I147="","",'全量明细'!I147)</x:f>
        <x:v>0.3589</x:v>
      </x:c>
      <x:c r="H46" s="14" t="n">
        <x:f>IF('全量明细'!J147="","",'全量明细'!J147)</x:f>
        <x:v>-9.050000000000002</x:v>
      </x:c>
      <x:c r="I46" s="28" t="n">
        <x:f>IF('全量明细'!E643="","",'全量明细'!E643)</x:f>
        <x:v>0.45637268</x:v>
      </x:c>
      <x:c r="J46" s="12" t="n">
        <x:f>IF('全量明细'!F643="","",'全量明细'!F643)</x:f>
        <x:v>4939</x:v>
      </x:c>
      <x:c r="K46" s="11" t="n">
        <x:f>IF('全量明细'!G643="","",'全量明细'!G643)</x:f>
        <x:v>0.1583</x:v>
      </x:c>
      <x:c r="L46" s="11" t="n">
        <x:f>IF('全量明细'!H643="","",'全量明细'!H643)</x:f>
        <x:v>0.3887</x:v>
      </x:c>
      <x:c r="M46" s="11" t="n">
        <x:f>IF('全量明细'!I643="","",'全量明细'!I643)</x:f>
        <x:v>0.46909999999999996</x:v>
      </x:c>
      <x:c r="N46" s="14" t="n">
        <x:f>IF('全量明细'!J643="","",'全量明细'!J643)</x:f>
        <x:v>-8.039999999999997</x:v>
      </x:c>
      <x:c r="O46" s="14" t="n">
        <x:f>IF(AND(ISNUMBER(C46),ISNUMBER(I46)),(I46-C46)*100,"")</x:f>
        <x:v>10.504753000000001</x:v>
      </x:c>
      <x:c r="P46" s="17" t="str"/>
    </x:row>
    <x:row r="47" ht="25" customHeight="1">
      <x:c r="A47" s="2" t="str">
        <x:v>佩尔</x:v>
      </x:c>
      <x:c r="B47" s="2" t="str">
        <x:v>佩尔之泪</x:v>
      </x:c>
      <x:c r="C47" s="28" t="n">
        <x:f>IF('全量明细'!E148="","",'全量明细'!E148)</x:f>
        <x:v>0.34546292</x:v>
      </x:c>
      <x:c r="D47" s="12" t="n">
        <x:f>IF('全量明细'!F148="","",'全量明细'!F148)</x:f>
        <x:v>7685</x:v>
      </x:c>
      <x:c r="E47" s="11" t="n">
        <x:f>IF('全量明细'!G148="","",'全量明细'!G148)</x:f>
        <x:v>0.4083</x:v>
      </x:c>
      <x:c r="F47" s="11" t="n">
        <x:f>IF('全量明细'!H148="","",'全量明细'!H148)</x:f>
        <x:v>0.3528</x:v>
      </x:c>
      <x:c r="G47" s="11" t="n">
        <x:f>IF('全量明细'!I148="","",'全量明细'!I148)</x:f>
        <x:v>0.3404</x:v>
      </x:c>
      <x:c r="H47" s="14" t="n">
        <x:f>IF('全量明细'!J148="","",'全量明细'!J148)</x:f>
        <x:v>1.2400000000000022</x:v>
      </x:c>
      <x:c r="I47" s="28" t="n">
        <x:f>IF('全量明细'!E645="","",'全量明细'!E645)</x:f>
        <x:v>0.4495096</x:v>
      </x:c>
      <x:c r="J47" s="12" t="n">
        <x:f>IF('全量明细'!F645="","",'全量明细'!F645)</x:f>
        <x:v>4919</x:v>
      </x:c>
      <x:c r="K47" s="11" t="n">
        <x:f>IF('全量明细'!G645="","",'全量明细'!G645)</x:f>
        <x:v>0.47200000000000003</x:v>
      </x:c>
      <x:c r="L47" s="11" t="n">
        <x:f>IF('全量明细'!H645="","",'全量明细'!H645)</x:f>
        <x:v>0.4729</x:v>
      </x:c>
      <x:c r="M47" s="11" t="n">
        <x:f>IF('全量明细'!I645="","",'全量明细'!I645)</x:f>
        <x:v>0.4286</x:v>
      </x:c>
      <x:c r="N47" s="14" t="n">
        <x:f>IF('全量明细'!J645="","",'全量明细'!J645)</x:f>
        <x:v>4.430000000000001</x:v>
      </x:c>
      <x:c r="O47" s="14" t="n">
        <x:f>IF(AND(ISNUMBER(C47),ISNUMBER(I47)),(I47-C47)*100,"")</x:f>
        <x:v>10.404668000000001</x:v>
      </x:c>
      <x:c r="P47" s="17" t="str"/>
    </x:row>
    <x:row r="48" ht="25" customHeight="1">
      <x:c r="A48" s="2" t="str">
        <x:v>佩尔</x:v>
      </x:c>
      <x:c r="B48" s="2" t="str">
        <x:v>佩尔之肉</x:v>
      </x:c>
      <x:c r="C48" s="28" t="n">
        <x:f>IF('全量明细'!E144="","",'全量明细'!E144)</x:f>
        <x:v>0.36273816</x:v>
      </x:c>
      <x:c r="D48" s="12" t="n">
        <x:f>IF('全量明细'!F144="","",'全量明细'!F144)</x:f>
        <x:v>7460</x:v>
      </x:c>
      <x:c r="E48" s="11" t="n">
        <x:f>IF('全量明细'!G144="","",'全量明细'!G144)</x:f>
        <x:v>0.4783</x:v>
      </x:c>
      <x:c r="F48" s="11" t="n">
        <x:f>IF('全量明细'!H144="","",'全量明细'!H144)</x:f>
        <x:v>0.34979999999999994</x:v>
      </x:c>
      <x:c r="G48" s="11" t="n">
        <x:f>IF('全量明细'!I144="","",'全量明细'!I144)</x:f>
        <x:v>0.3746</x:v>
      </x:c>
      <x:c r="H48" s="14" t="n">
        <x:f>IF('全量明细'!J144="","",'全量明细'!J144)</x:f>
        <x:v>-2.4800000000000044</x:v>
      </x:c>
      <x:c r="I48" s="28" t="n">
        <x:f>IF('全量明细'!E640="","",'全量明细'!E640)</x:f>
        <x:v>0.47412970000000004</x:v>
      </x:c>
      <x:c r="J48" s="12" t="n">
        <x:f>IF('全量明细'!F640="","",'全量明细'!F640)</x:f>
        <x:v>4773</x:v>
      </x:c>
      <x:c r="K48" s="11" t="n">
        <x:f>IF('全量明细'!G640="","",'全量明细'!G640)</x:f>
        <x:v>0.5326</x:v>
      </x:c>
      <x:c r="L48" s="11" t="n">
        <x:f>IF('全量明细'!H640="","",'全量明细'!H640)</x:f>
        <x:v>0.45520000000000005</x:v>
      </x:c>
      <x:c r="M48" s="11" t="n">
        <x:f>IF('全量明细'!I640="","",'全量明细'!I640)</x:f>
        <x:v>0.49570000000000003</x:v>
      </x:c>
      <x:c r="N48" s="14" t="n">
        <x:f>IF('全量明细'!J640="","",'全量明细'!J640)</x:f>
        <x:v>-4.049999999999998</x:v>
      </x:c>
      <x:c r="O48" s="14" t="n">
        <x:f>IF(AND(ISNUMBER(C48),ISNUMBER(I48)),(I48-C48)*100,"")</x:f>
        <x:v>11.139154000000007</x:v>
      </x:c>
      <x:c r="P48" s="17" t="str"/>
    </x:row>
    <x:row r="49" ht="25" customHeight="1">
      <x:c r="A49" s="2" t="str">
        <x:v>佩尔</x:v>
      </x:c>
      <x:c r="B49" s="2" t="str">
        <x:v>佩尔之血</x:v>
      </x:c>
      <x:c r="C49" s="28" t="n">
        <x:f>IF('全量明细'!E141="","",'全量明细'!E141)</x:f>
        <x:v>0.37908195999999994</x:v>
      </x:c>
      <x:c r="D49" s="12" t="n">
        <x:f>IF('全量明细'!F141="","",'全量明细'!F141)</x:f>
        <x:v>7602</x:v>
      </x:c>
      <x:c r="E49" s="11" t="n">
        <x:f>IF('全量明细'!G141="","",'全量明细'!G141)</x:f>
        <x:v>0.4849</x:v>
      </x:c>
      <x:c r="F49" s="11" t="n">
        <x:f>IF('全量明细'!H141="","",'全量明细'!H141)</x:f>
        <x:v>0.4411</x:v>
      </x:c>
      <x:c r="G49" s="11" t="n">
        <x:f>IF('全量明细'!I141="","",'全量明细'!I141)</x:f>
        <x:v>0.3207</x:v>
      </x:c>
      <x:c r="H49" s="14" t="n">
        <x:f>IF('全量明细'!J141="","",'全量明细'!J141)</x:f>
        <x:v>12.040000000000001</x:v>
      </x:c>
      <x:c r="I49" s="28" t="n">
        <x:f>IF('全量明细'!E639="","",'全量明细'!E639)</x:f>
        <x:v>0.48845</x:v>
      </x:c>
      <x:c r="J49" s="12" t="n">
        <x:f>IF('全量明细'!F639="","",'全量明细'!F639)</x:f>
        <x:v>4907</x:v>
      </x:c>
      <x:c r="K49" s="11" t="n">
        <x:f>IF('全量明细'!G639="","",'全量明细'!G639)</x:f>
        <x:v>0.475</x:v>
      </x:c>
      <x:c r="L49" s="11" t="n">
        <x:f>IF('全量明细'!H639="","",'全量明细'!H639)</x:f>
        <x:v>0.5315</x:v>
      </x:c>
      <x:c r="M49" s="11" t="n">
        <x:f>IF('全量明细'!I639="","",'全量明细'!I639)</x:f>
        <x:v>0.4495</x:v>
      </x:c>
      <x:c r="N49" s="14" t="n">
        <x:f>IF('全量明细'!J639="","",'全量明细'!J639)</x:f>
        <x:v>8.199999999999996</x:v>
      </x:c>
      <x:c r="O49" s="14" t="n">
        <x:f>IF(AND(ISNUMBER(C49),ISNUMBER(I49)),(I49-C49)*100,"")</x:f>
        <x:v>10.936804000000006</x:v>
      </x:c>
      <x:c r="P49" s="17" t="str"/>
    </x:row>
    <x:row r="50" ht="25" customHeight="1">
      <x:c r="A50" s="2" t="str">
        <x:v>佩尔</x:v>
      </x:c>
      <x:c r="B50" s="2" t="str">
        <x:v>佩尔之牙</x:v>
      </x:c>
      <x:c r="C50" s="28" t="n">
        <x:f>IF('全量明细'!E146="","",'全量明细'!E146)</x:f>
        <x:v>0.35521311999999994</x:v>
      </x:c>
      <x:c r="D50" s="12" t="n">
        <x:f>IF('全量明细'!F146="","",'全量明细'!F146)</x:f>
        <x:v>6404</x:v>
      </x:c>
      <x:c r="E50" s="11" t="n">
        <x:f>IF('全量明细'!G146="","",'全量明细'!G146)</x:f>
        <x:v>0.17379999999999998</x:v>
      </x:c>
      <x:c r="F50" s="11" t="n">
        <x:f>IF('全量明细'!H146="","",'全量明细'!H146)</x:f>
        <x:v>0.29109999999999997</x:v>
      </x:c>
      <x:c r="G50" s="11" t="n">
        <x:f>IF('全量明细'!I146="","",'全量明细'!I146)</x:f>
        <x:v>0.36869999999999997</x:v>
      </x:c>
      <x:c r="H50" s="14" t="n">
        <x:f>IF('全量明细'!J146="","",'全量明细'!J146)</x:f>
        <x:v>-7.76</x:v>
      </x:c>
      <x:c r="I50" s="28" t="n">
        <x:f>IF('全量明细'!E646="","",'全量明细'!E646)</x:f>
        <x:v>0.4493692</x:v>
      </x:c>
      <x:c r="J50" s="12" t="n">
        <x:f>IF('全量明细'!F646="","",'全量明细'!F646)</x:f>
        <x:v>4186</x:v>
      </x:c>
      <x:c r="K50" s="11" t="n">
        <x:f>IF('全量明细'!G646="","",'全量明细'!G646)</x:f>
        <x:v>0.1333</x:v>
      </x:c>
      <x:c r="L50" s="11" t="n">
        <x:f>IF('全量明细'!H646="","",'全量明细'!H646)</x:f>
        <x:v>0.3835</x:v>
      </x:c>
      <x:c r="M50" s="11" t="n">
        <x:f>IF('全量明细'!I646="","",'全量明细'!I646)</x:f>
        <x:v>0.4595</x:v>
      </x:c>
      <x:c r="N50" s="14" t="n">
        <x:f>IF('全量明细'!J646="","",'全量明细'!J646)</x:f>
        <x:v>-7.600000000000001</x:v>
      </x:c>
      <x:c r="O50" s="14" t="n">
        <x:f>IF(AND(ISNUMBER(C50),ISNUMBER(I50)),(I50-C50)*100,"")</x:f>
        <x:v>9.41560800000001</x:v>
      </x:c>
      <x:c r="P50" s="17" t="str"/>
    </x:row>
    <x:row r="51" ht="25" customHeight="1">
      <x:c r="A51" s="2" t="str">
        <x:v>佩尔</x:v>
      </x:c>
      <x:c r="B51" s="2" t="str">
        <x:v>佩尔之眼</x:v>
      </x:c>
      <x:c r="C51" s="28" t="n">
        <x:f>IF('全量明细'!E150="","",'全量明细'!E150)</x:f>
        <x:v>0.31175244</x:v>
      </x:c>
      <x:c r="D51" s="12" t="n">
        <x:f>IF('全量明细'!F150="","",'全量明细'!F150)</x:f>
        <x:v>7420</x:v>
      </x:c>
      <x:c r="E51" s="11" t="n">
        <x:f>IF('全量明细'!G150="","",'全量明细'!G150)</x:f>
        <x:v>0.22870000000000001</x:v>
      </x:c>
      <x:c r="F51" s="11" t="n">
        <x:f>IF('全量明细'!H150="","",'全量明细'!H150)</x:f>
        <x:v>0.2664</x:v>
      </x:c>
      <x:c r="G51" s="11" t="n">
        <x:f>IF('全量明细'!I150="","",'全量明细'!I150)</x:f>
        <x:v>0.32520000000000004</x:v>
      </x:c>
      <x:c r="H51" s="14" t="n">
        <x:f>IF('全量明细'!J150="","",'全量明细'!J150)</x:f>
        <x:v>-5.880000000000002</x:v>
      </x:c>
      <x:c r="I51" s="28" t="n">
        <x:f>IF('全量明细'!E647="","",'全量明细'!E647)</x:f>
        <x:v>0.4226690000000001</x:v>
      </x:c>
      <x:c r="J51" s="12" t="n">
        <x:f>IF('全量明细'!F647="","",'全量明细'!F647)</x:f>
        <x:v>4791</x:v>
      </x:c>
      <x:c r="K51" s="11" t="n">
        <x:f>IF('全量明细'!G647="","",'全量明细'!G647)</x:f>
        <x:v>0.20600000000000002</x:v>
      </x:c>
      <x:c r="L51" s="11" t="n">
        <x:f>IF('全量明细'!H647="","",'全量明细'!H647)</x:f>
        <x:v>0.3921</x:v>
      </x:c>
      <x:c r="M51" s="11" t="n">
        <x:f>IF('全量明细'!I647="","",'全量明细'!I647)</x:f>
        <x:v>0.43060000000000004</x:v>
      </x:c>
      <x:c r="N51" s="14" t="n">
        <x:f>IF('全量明细'!J647="","",'全量明细'!J647)</x:f>
        <x:v>-3.850000000000003</x:v>
      </x:c>
      <x:c r="O51" s="14" t="n">
        <x:f>IF(AND(ISNUMBER(C51),ISNUMBER(I51)),(I51-C51)*100,"")</x:f>
        <x:v>11.091656000000006</x:v>
      </x:c>
      <x:c r="P51" s="17" t="str"/>
    </x:row>
    <x:row r="52" ht="25" customHeight="1">
      <x:c r="A52" s="2" t="str">
        <x:v>佩尔</x:v>
      </x:c>
      <x:c r="B52" s="2" t="str">
        <x:v>佩尔之翼</x:v>
      </x:c>
      <x:c r="C52" s="28" t="n">
        <x:f>IF('全量明细'!E149="","",'全量明细'!E149)</x:f>
        <x:v>0.33270192</x:v>
      </x:c>
      <x:c r="D52" s="12" t="n">
        <x:f>IF('全量明细'!F149="","",'全量明细'!F149)</x:f>
        <x:v>6402</x:v>
      </x:c>
      <x:c r="E52" s="11" t="n">
        <x:f>IF('全量明细'!G149="","",'全量明细'!G149)</x:f>
        <x:v>0.40880000000000005</x:v>
      </x:c>
      <x:c r="F52" s="11" t="n">
        <x:f>IF('全量明细'!H149="","",'全量明细'!H149)</x:f>
        <x:v>0.25489999999999996</x:v>
      </x:c>
      <x:c r="G52" s="11" t="n">
        <x:f>IF('全量明细'!I149="","",'全量明细'!I149)</x:f>
        <x:v>0.3865</x:v>
      </x:c>
      <x:c r="H52" s="14" t="n">
        <x:f>IF('全量明细'!J149="","",'全量明细'!J149)</x:f>
        <x:v>-13.160000000000005</x:v>
      </x:c>
      <x:c r="I52" s="28" t="n">
        <x:f>IF('全量明细'!E644="","",'全量明细'!E644)</x:f>
        <x:v>0.45245287999999995</x:v>
      </x:c>
      <x:c r="J52" s="12" t="n">
        <x:f>IF('全量明细'!F644="","",'全量明细'!F644)</x:f>
        <x:v>4224</x:v>
      </x:c>
      <x:c r="K52" s="11" t="n">
        <x:f>IF('全量明细'!G644="","",'全量明细'!G644)</x:f>
        <x:v>0.3208</x:v>
      </x:c>
      <x:c r="L52" s="11" t="n">
        <x:f>IF('全量明细'!H644="","",'全量明细'!H644)</x:f>
        <x:v>0.36829999999999996</x:v>
      </x:c>
      <x:c r="M52" s="11" t="n">
        <x:f>IF('全量明细'!I644="","",'全量明细'!I644)</x:f>
        <x:v>0.49219999999999997</x:v>
      </x:c>
      <x:c r="N52" s="14" t="n">
        <x:f>IF('全量明细'!J644="","",'全量明细'!J644)</x:f>
        <x:v>-12.39</x:v>
      </x:c>
      <x:c r="O52" s="14" t="n">
        <x:f>IF(AND(ISNUMBER(C52),ISNUMBER(I52)),(I52-C52)*100,"")</x:f>
        <x:v>11.975095999999997</x:v>
      </x:c>
      <x:c r="P52" s="17" t="str"/>
    </x:row>
    <x:row r="53" ht="25" customHeight="1">
      <x:c r="A53" s="2" t="str">
        <x:v>佩尔</x:v>
      </x:c>
      <x:c r="B53" s="2" t="str">
        <x:v>佩尔之爪</x:v>
      </x:c>
      <x:c r="C53" s="28" t="n">
        <x:f>IF('全量明细'!E143="","",'全量明细'!E143)</x:f>
        <x:v>0.366819</x:v>
      </x:c>
      <x:c r="D53" s="12" t="n">
        <x:f>IF('全量明细'!F143="","",'全量明细'!F143)</x:f>
        <x:v>6573</x:v>
      </x:c>
      <x:c r="E53" s="11" t="n">
        <x:f>IF('全量明细'!G143="","",'全量明细'!G143)</x:f>
        <x:v>0.2527</x:v>
      </x:c>
      <x:c r="F53" s="11" t="n">
        <x:f>IF('全量明细'!H143="","",'全量明细'!H143)</x:f>
        <x:v>0.3444</x:v>
      </x:c>
      <x:c r="G53" s="11" t="n">
        <x:f>IF('全量明细'!I143="","",'全量明细'!I143)</x:f>
        <x:v>0.37439999999999996</x:v>
      </x:c>
      <x:c r="H53" s="14" t="n">
        <x:f>IF('全量明细'!J143="","",'全量明细'!J143)</x:f>
        <x:v>-2.9999999999999973</x:v>
      </x:c>
      <x:c r="I53" s="28" t="n">
        <x:f>IF('全量明细'!E642="","",'全量明细'!E642)</x:f>
        <x:v>0.4583786</x:v>
      </x:c>
      <x:c r="J53" s="12" t="n">
        <x:f>IF('全量明细'!F642="","",'全量明细'!F642)</x:f>
        <x:v>4086</x:v>
      </x:c>
      <x:c r="K53" s="11" t="n">
        <x:f>IF('全量明细'!G642="","",'全量明细'!G642)</x:f>
        <x:v>0.2271</x:v>
      </x:c>
      <x:c r="L53" s="11" t="n">
        <x:f>IF('全量明细'!H642="","",'全量明细'!H642)</x:f>
        <x:v>0.4321</x:v>
      </x:c>
      <x:c r="M53" s="11" t="n">
        <x:f>IF('全量明细'!I642="","",'全量明细'!I642)</x:f>
        <x:v>0.4661</x:v>
      </x:c>
      <x:c r="N53" s="14" t="n">
        <x:f>IF('全量明细'!J642="","",'全量明细'!J642)</x:f>
        <x:v>-3.400000000000003</x:v>
      </x:c>
      <x:c r="O53" s="14" t="n">
        <x:f>IF(AND(ISNUMBER(C53),ISNUMBER(I53)),(I53-C53)*100,"")</x:f>
        <x:v>9.155960000000002</x:v>
      </x:c>
      <x:c r="P53" s="17" t="str"/>
    </x:row>
    <x:row r="54" ht="25" customHeight="1">
      <x:c r="A54" s="20" t="str">
        <x:v>特兹卡塔拉</x:v>
      </x:c>
      <x:c r="B54" s="20" t="str">
        <x:v>大～抱抱</x:v>
      </x:c>
      <x:c r="C54" s="27" t="n">
        <x:f>IF('全量明细'!E160="","",'全量明细'!E160)</x:f>
        <x:v>0.35310835999999995</x:v>
      </x:c>
      <x:c r="D54" s="23" t="n">
        <x:f>IF('全量明细'!F160="","",'全量明细'!F160)</x:f>
        <x:v>7768</x:v>
      </x:c>
      <x:c r="E54" s="22" t="n">
        <x:f>IF('全量明细'!G160="","",'全量明细'!G160)</x:f>
        <x:v>0.0803</x:v>
      </x:c>
      <x:c r="F54" s="22" t="n">
        <x:f>IF('全量明细'!H160="","",'全量明细'!H160)</x:f>
        <x:v>0.391</x:v>
      </x:c>
      <x:c r="G54" s="22" t="n">
        <x:f>IF('全量明细'!I160="","",'全量明细'!I160)</x:f>
        <x:v>0.34979999999999994</x:v>
      </x:c>
      <x:c r="H54" s="24" t="n">
        <x:f>IF('全量明细'!J160="","",'全量明细'!J160)</x:f>
        <x:v>4.120000000000007</x:v>
      </x:c>
      <x:c r="I54" s="27" t="n">
        <x:f>IF('全量明细'!E654="","",'全量明细'!E654)</x:f>
        <x:v>0.47058992</x:v>
      </x:c>
      <x:c r="J54" s="23" t="n">
        <x:f>IF('全量明细'!F654="","",'全量明细'!F654)</x:f>
        <x:v>4815</x:v>
      </x:c>
      <x:c r="K54" s="22" t="n">
        <x:f>IF('全量明细'!G654="","",'全量明细'!G654)</x:f>
        <x:v>0.1032</x:v>
      </x:c>
      <x:c r="L54" s="22" t="n">
        <x:f>IF('全量明细'!H654="","",'全量明细'!H654)</x:f>
        <x:v>0.507</x:v>
      </x:c>
      <x:c r="M54" s="22" t="n">
        <x:f>IF('全量明细'!I654="","",'全量明细'!I654)</x:f>
        <x:v>0.4664</x:v>
      </x:c>
      <x:c r="N54" s="24" t="n">
        <x:f>IF('全量明细'!J654="","",'全量明细'!J654)</x:f>
        <x:v>4.060000000000002</x:v>
      </x:c>
      <x:c r="O54" s="24" t="n">
        <x:f>IF(AND(ISNUMBER(C54),ISNUMBER(I54)),(I54-C54)*100,"")</x:f>
        <x:v>11.748156000000003</x:v>
      </x:c>
      <x:c r="P54" s="31" t="str"/>
    </x:row>
    <x:row r="55" ht="25" customHeight="1">
      <x:c r="A55" s="2" t="str">
        <x:v>特兹卡塔拉</x:v>
      </x:c>
      <x:c r="B55" s="2" t="str">
        <x:v>故事书</x:v>
      </x:c>
      <x:c r="C55" s="28" t="n">
        <x:f>IF('全量明细'!E151="","",'全量明细'!E151)</x:f>
        <x:v>0.39083855</x:v>
      </x:c>
      <x:c r="D55" s="12" t="n">
        <x:f>IF('全量明细'!F151="","",'全量明细'!F151)</x:f>
        <x:v>7829</x:v>
      </x:c>
      <x:c r="E55" s="11" t="n">
        <x:f>IF('全量明细'!G151="","",'全量明细'!G151)</x:f>
        <x:v>0.6255</x:v>
      </x:c>
      <x:c r="F55" s="11" t="n">
        <x:f>IF('全量明细'!H151="","",'全量明细'!H151)</x:f>
        <x:v>0.44780000000000003</x:v>
      </x:c>
      <x:c r="G55" s="11" t="n">
        <x:f>IF('全量明细'!I151="","",'全量明细'!I151)</x:f>
        <x:v>0.2957</x:v>
      </x:c>
      <x:c r="H55" s="14" t="n">
        <x:f>IF('全量明细'!J151="","",'全量明细'!J151)</x:f>
        <x:v>15.21</x:v>
      </x:c>
      <x:c r="I55" s="28" t="n">
        <x:f>IF('全量明细'!E657="","",'全量明细'!E657)</x:f>
        <x:v>0.46185088</x:v>
      </x:c>
      <x:c r="J55" s="12" t="n">
        <x:f>IF('全量明细'!F657="","",'全量明细'!F657)</x:f>
        <x:v>4950</x:v>
      </x:c>
      <x:c r="K55" s="11" t="n">
        <x:f>IF('全量明细'!G657="","",'全量明细'!G657)</x:f>
        <x:v>0.2432</x:v>
      </x:c>
      <x:c r="L55" s="11" t="n">
        <x:f>IF('全量明细'!H657="","",'全量明细'!H657)</x:f>
        <x:v>0.47009999999999996</x:v>
      </x:c>
      <x:c r="M55" s="11" t="n">
        <x:f>IF('全量明细'!I657="","",'全量明细'!I657)</x:f>
        <x:v>0.4592</x:v>
      </x:c>
      <x:c r="N55" s="14" t="n">
        <x:f>IF('全量明细'!J657="","",'全量明细'!J657)</x:f>
        <x:v>1.0899999999999965</x:v>
      </x:c>
      <x:c r="O55" s="14" t="n">
        <x:f>IF(AND(ISNUMBER(C55),ISNUMBER(I55)),(I55-C55)*100,"")</x:f>
        <x:v>7.1012330000000015</x:v>
      </x:c>
      <x:c r="P55" s="17" t="str"/>
    </x:row>
    <x:row r="56" ht="25" customHeight="1">
      <x:c r="A56" s="2" t="str">
        <x:v>特兹卡塔拉</x:v>
      </x:c>
      <x:c r="B56" s="2" t="str">
        <x:v>烘焙手套</x:v>
      </x:c>
      <x:c r="C56" s="28" t="n">
        <x:f>IF('全量明细'!E155="","",'全量明细'!E155)</x:f>
        <x:v>0.36664839999999993</x:v>
      </x:c>
      <x:c r="D56" s="12" t="n">
        <x:f>IF('全量明细'!F155="","",'全量明细'!F155)</x:f>
        <x:v>7822</x:v>
      </x:c>
      <x:c r="E56" s="11" t="n">
        <x:f>IF('全量明细'!G155="","",'全量明细'!G155)</x:f>
        <x:v>0.039</x:v>
      </x:c>
      <x:c r="F56" s="11" t="n">
        <x:f>IF('全量明细'!H155="","",'全量明细'!H155)</x:f>
        <x:v>0.4393</x:v>
      </x:c>
      <x:c r="G56" s="11" t="n">
        <x:f>IF('全量明细'!I155="","",'全量明细'!I155)</x:f>
        <x:v>0.36369999999999997</x:v>
      </x:c>
      <x:c r="H56" s="14" t="n">
        <x:f>IF('全量明细'!J155="","",'全量明细'!J155)</x:f>
        <x:v>7.560000000000006</x:v>
      </x:c>
      <x:c r="I56" s="28" t="n">
        <x:f>IF('全量明细'!E648="","",'全量明细'!E648)</x:f>
        <x:v>0.49950512</x:v>
      </x:c>
      <x:c r="J56" s="12" t="n">
        <x:f>IF('全量明细'!F648="","",'全量明细'!F648)</x:f>
        <x:v>5027</x:v>
      </x:c>
      <x:c r="K56" s="11" t="n">
        <x:f>IF('全量明细'!G648="","",'全量明细'!G648)</x:f>
        <x:v>0.43920000000000003</x:v>
      </x:c>
      <x:c r="L56" s="11" t="n">
        <x:f>IF('全量明细'!H648="","",'全量明细'!H648)</x:f>
        <x:v>0.5548</x:v>
      </x:c>
      <x:c r="M56" s="11" t="n">
        <x:f>IF('全量明细'!I648="","",'全量明细'!I648)</x:f>
        <x:v>0.4562</x:v>
      </x:c>
      <x:c r="N56" s="14" t="n">
        <x:f>IF('全量明细'!J648="","",'全量明细'!J648)</x:f>
        <x:v>9.859999999999996</x:v>
      </x:c>
      <x:c r="O56" s="14" t="n">
        <x:f>IF(AND(ISNUMBER(C56),ISNUMBER(I56)),(I56-C56)*100,"")</x:f>
        <x:v>13.285672000000009</x:v>
      </x:c>
      <x:c r="P56" s="17" t="str"/>
    </x:row>
    <x:row r="57" ht="25" customHeight="1">
      <x:c r="A57" s="2" t="str">
        <x:v>特兹卡塔拉</x:v>
      </x:c>
      <x:c r="B57" s="2" t="str">
        <x:v>黄金罗盘</x:v>
      </x:c>
      <x:c r="C57" s="28" t="n">
        <x:f>IF('全量明细'!E152="","",'全量明细'!E152)</x:f>
        <x:v>0.38528444999999995</x:v>
      </x:c>
      <x:c r="D57" s="12" t="n">
        <x:f>IF('全量明细'!F152="","",'全量明细'!F152)</x:f>
        <x:v>6174</x:v>
      </x:c>
      <x:c r="E57" s="11" t="n">
        <x:f>IF('全量明细'!G152="","",'全量明细'!G152)</x:f>
        <x:v>0.27449999999999997</x:v>
      </x:c>
      <x:c r="F57" s="11" t="n">
        <x:f>IF('全量明细'!H152="","",'全量明细'!H152)</x:f>
        <x:v>0.37520000000000003</x:v>
      </x:c>
      <x:c r="G57" s="11" t="n">
        <x:f>IF('全量明细'!I152="","",'全量明细'!I152)</x:f>
        <x:v>0.38909999999999995</x:v>
      </x:c>
      <x:c r="H57" s="14" t="n">
        <x:f>IF('全量明细'!J152="","",'全量明细'!J152)</x:f>
        <x:v>-1.3899999999999912</x:v>
      </x:c>
      <x:c r="I57" s="28" t="n">
        <x:f>IF('全量明细'!E653="","",'全量明细'!E653)</x:f>
        <x:v>0.4717076</x:v>
      </x:c>
      <x:c r="J57" s="12" t="n">
        <x:f>IF('全量明细'!F653="","",'全量明细'!F653)</x:f>
        <x:v>3841</x:v>
      </x:c>
      <x:c r="K57" s="11" t="n">
        <x:f>IF('全量明细'!G653="","",'全量明细'!G653)</x:f>
        <x:v>0.2184</x:v>
      </x:c>
      <x:c r="L57" s="11" t="n">
        <x:f>IF('全量明细'!H653="","",'全量明细'!H653)</x:f>
        <x:v>0.4338</x:v>
      </x:c>
      <x:c r="M57" s="11" t="n">
        <x:f>IF('全量明细'!I653="","",'全量明细'!I653)</x:f>
        <x:v>0.48229999999999995</x:v>
      </x:c>
      <x:c r="N57" s="14" t="n">
        <x:f>IF('全量明细'!J653="","",'全量明细'!J653)</x:f>
        <x:v>-4.849999999999993</x:v>
      </x:c>
      <x:c r="O57" s="14" t="n">
        <x:f>IF(AND(ISNUMBER(C57),ISNUMBER(I57)),(I57-C57)*100,"")</x:f>
        <x:v>8.642315000000005</x:v>
      </x:c>
      <x:c r="P57" s="17" t="str"/>
    </x:row>
    <x:row r="58" ht="25" customHeight="1">
      <x:c r="A58" s="2" t="str">
        <x:v>特兹卡塔拉</x:v>
      </x:c>
      <x:c r="B58" s="2" t="str">
        <x:v>黄金印</x:v>
      </x:c>
      <x:c r="C58" s="28" t="n">
        <x:f>IF('全量明细'!E157="","",'全量明细'!E157)</x:f>
        <x:v>0.36416368000000005</x:v>
      </x:c>
      <x:c r="D58" s="12" t="n">
        <x:f>IF('全量明细'!F157="","",'全量明细'!F157)</x:f>
        <x:v>5805</x:v>
      </x:c>
      <x:c r="E58" s="11" t="n">
        <x:f>IF('全量明细'!G157="","",'全量明细'!G157)</x:f>
        <x:v>0.15039999999999998</x:v>
      </x:c>
      <x:c r="F58" s="11" t="n">
        <x:f>IF('全量明细'!H157="","",'全量明细'!H157)</x:f>
        <x:v>0.3826</x:v>
      </x:c>
      <x:c r="G58" s="11" t="n">
        <x:f>IF('全量明细'!I157="","",'全量明细'!I157)</x:f>
        <x:v>0.36090000000000005</x:v>
      </x:c>
      <x:c r="H58" s="14" t="n">
        <x:f>IF('全量明细'!J157="","",'全量明细'!J157)</x:f>
        <x:v>2.169999999999994</x:v>
      </x:c>
      <x:c r="I58" s="28" t="n">
        <x:f>IF('全量明细'!E655="","",'全量明细'!E655)</x:f>
        <x:v>0.46576958</x:v>
      </x:c>
      <x:c r="J58" s="12" t="n">
        <x:f>IF('全量明细'!F655="","",'全量明细'!F655)</x:f>
        <x:v>3633</x:v>
      </x:c>
      <x:c r="K58" s="11" t="n">
        <x:f>IF('全量明细'!G655="","",'全量明细'!G655)</x:f>
        <x:v>0.3182</x:v>
      </x:c>
      <x:c r="L58" s="11" t="n">
        <x:f>IF('全量明细'!H655="","",'全量明细'!H655)</x:f>
        <x:v>0.5182</x:v>
      </x:c>
      <x:c r="M58" s="11" t="n">
        <x:f>IF('全量明细'!I655="","",'全量明细'!I655)</x:f>
        <x:v>0.4413</x:v>
      </x:c>
      <x:c r="N58" s="14" t="n">
        <x:f>IF('全量明细'!J655="","",'全量明细'!J655)</x:f>
        <x:v>7.689999999999997</x:v>
      </x:c>
      <x:c r="O58" s="14" t="n">
        <x:f>IF(AND(ISNUMBER(C58),ISNUMBER(I58)),(I58-C58)*100,"")</x:f>
        <x:v>10.160589999999997</x:v>
      </x:c>
      <x:c r="P58" s="17" t="str"/>
    </x:row>
    <x:row r="59" ht="25" customHeight="1">
      <x:c r="A59" s="2" t="str">
        <x:v>特兹卡塔拉</x:v>
      </x:c>
      <x:c r="B59" s="2" t="str">
        <x:v>美味饼干</x:v>
      </x:c>
      <x:c r="C59" s="28" t="n">
        <x:f>IF('全量明细'!E159="","",'全量明细'!E159)</x:f>
        <x:v>0.36161940000000004</x:v>
      </x:c>
      <x:c r="D59" s="12" t="n">
        <x:f>IF('全量明细'!F159="","",'全量明细'!F159)</x:f>
        <x:v>8003</x:v>
      </x:c>
      <x:c r="E59" s="11" t="n">
        <x:f>IF('全量明细'!G159="","",'全量明细'!G159)</x:f>
        <x:v>0.573</x:v>
      </x:c>
      <x:c r="F59" s="11" t="n">
        <x:f>IF('全量明细'!H159="","",'全量明细'!H159)</x:f>
        <x:v>0.3009</x:v>
      </x:c>
      <x:c r="G59" s="11" t="n">
        <x:f>IF('全量明细'!I159="","",'全量明细'!I159)</x:f>
        <x:v>0.44310000000000005</x:v>
      </x:c>
      <x:c r="H59" s="14" t="n">
        <x:f>IF('全量明细'!J159="","",'全量明细'!J159)</x:f>
        <x:v>-14.220000000000004</x:v>
      </x:c>
      <x:c r="I59" s="28" t="n">
        <x:f>IF('全量明细'!E656="","",'全量明细'!E656)</x:f>
        <x:v>0.46190014</x:v>
      </x:c>
      <x:c r="J59" s="12" t="n">
        <x:f>IF('全量明细'!F656="","",'全量明细'!F656)</x:f>
        <x:v>4951</x:v>
      </x:c>
      <x:c r="K59" s="11" t="n">
        <x:f>IF('全量明细'!G656="","",'全量明细'!G656)</x:f>
        <x:v>0.4722</x:v>
      </x:c>
      <x:c r="L59" s="11" t="n">
        <x:f>IF('全量明细'!H656="","",'全量明细'!H656)</x:f>
        <x:v>0.3926</x:v>
      </x:c>
      <x:c r="M59" s="11" t="n">
        <x:f>IF('全量明细'!I656="","",'全量明细'!I656)</x:f>
        <x:v>0.5239</x:v>
      </x:c>
      <x:c r="N59" s="14" t="n">
        <x:f>IF('全量明细'!J656="","",'全量明细'!J656)</x:f>
        <x:v>-13.130000000000003</x:v>
      </x:c>
      <x:c r="O59" s="14" t="n">
        <x:f>IF(AND(ISNUMBER(C59),ISNUMBER(I59)),(I59-C59)*100,"")</x:f>
        <x:v>10.028073999999998</x:v>
      </x:c>
      <x:c r="P59" s="17" t="str"/>
    </x:row>
    <x:row r="60" ht="25" customHeight="1">
      <x:c r="A60" s="2" t="str">
        <x:v>特兹卡塔拉</x:v>
      </x:c>
      <x:c r="B60" s="2" t="str">
        <x:v>南瓜蜡烛</x:v>
      </x:c>
      <x:c r="C60" s="28" t="n">
        <x:f>IF('全量明细'!E158="","",'全量明细'!E158)</x:f>
        <x:v>0.362885</x:v>
      </x:c>
      <x:c r="D60" s="12" t="n">
        <x:f>IF('全量明细'!F158="","",'全量明细'!F158)</x:f>
        <x:v>5817</x:v>
      </x:c>
      <x:c r="E60" s="11" t="n">
        <x:f>IF('全量明细'!G158="","",'全量明细'!G158)</x:f>
        <x:v>0.33299999999999996</x:v>
      </x:c>
      <x:c r="F60" s="11" t="n">
        <x:f>IF('全量明细'!H158="","",'全量明细'!H158)</x:f>
        <x:v>0.39289999999999997</x:v>
      </x:c>
      <x:c r="G60" s="11" t="n">
        <x:f>IF('全量明细'!I158="","",'全量明细'!I158)</x:f>
        <x:v>0.3479</x:v>
      </x:c>
      <x:c r="H60" s="14" t="n">
        <x:f>IF('全量明细'!J158="","",'全量明细'!J158)</x:f>
        <x:v>4.499999999999998</x:v>
      </x:c>
      <x:c r="I60" s="28" t="n">
        <x:f>IF('全量明细'!E649="","",'全量明细'!E649)</x:f>
        <x:v>0.49327472</x:v>
      </x:c>
      <x:c r="J60" s="12" t="n">
        <x:f>IF('全量明细'!F649="","",'全量明细'!F649)</x:f>
        <x:v>3740</x:v>
      </x:c>
      <x:c r="K60" s="11" t="n">
        <x:f>IF('全量明细'!G649="","",'全量明细'!G649)</x:f>
        <x:v>0.4168</x:v>
      </x:c>
      <x:c r="L60" s="11" t="n">
        <x:f>IF('全量明细'!H649="","",'全量明细'!H649)</x:f>
        <x:v>0.5285</x:v>
      </x:c>
      <x:c r="M60" s="11" t="n">
        <x:f>IF('全量明细'!I649="","",'全量明细'!I649)</x:f>
        <x:v>0.4681</x:v>
      </x:c>
      <x:c r="N60" s="14" t="n">
        <x:f>IF('全量明细'!J649="","",'全量明细'!J649)</x:f>
        <x:v>6.039999999999996</x:v>
      </x:c>
      <x:c r="O60" s="14" t="n">
        <x:f>IF(AND(ISNUMBER(C60),ISNUMBER(I60)),(I60-C60)*100,"")</x:f>
        <x:v>13.038972</x:v>
      </x:c>
      <x:c r="P60" s="17" t="str"/>
    </x:row>
    <x:row r="61" ht="25" customHeight="1">
      <x:c r="A61" s="2" t="str">
        <x:v>特兹卡塔拉</x:v>
      </x:c>
      <x:c r="B61" s="2" t="str">
        <x:v>烫嘴可可</x:v>
      </x:c>
      <x:c r="C61" s="28" t="n">
        <x:f>IF('全量明细'!E153="","",'全量明细'!E153)</x:f>
        <x:v>0.3769016</x:v>
      </x:c>
      <x:c r="D61" s="12" t="n">
        <x:f>IF('全量明细'!F153="","",'全量明细'!F153)</x:f>
        <x:v>7575</x:v>
      </x:c>
      <x:c r="E61" s="11" t="n">
        <x:f>IF('全量明细'!G153="","",'全量明细'!G153)</x:f>
        <x:v>0.5871999999999999</x:v>
      </x:c>
      <x:c r="F61" s="11" t="n">
        <x:f>IF('全量明细'!H153="","",'全量明细'!H153)</x:f>
        <x:v>0.3575</x:v>
      </x:c>
      <x:c r="G61" s="11" t="n">
        <x:f>IF('全量明细'!I153="","",'全量明细'!I153)</x:f>
        <x:v>0.4045</x:v>
      </x:c>
      <x:c r="H61" s="14" t="n">
        <x:f>IF('全量明细'!J153="","",'全量明细'!J153)</x:f>
        <x:v>-4.700000000000005</x:v>
      </x:c>
      <x:c r="I61" s="28" t="n">
        <x:f>IF('全量明细'!E650="","",'全量明细'!E650)</x:f>
        <x:v>0.48828456</x:v>
      </x:c>
      <x:c r="J61" s="12" t="n">
        <x:f>IF('全量明细'!F650="","",'全量明细'!F650)</x:f>
        <x:v>4956</x:v>
      </x:c>
      <x:c r="K61" s="11" t="n">
        <x:f>IF('全量明细'!G650="","",'全量明细'!G650)</x:f>
        <x:v>0.49520000000000003</x:v>
      </x:c>
      <x:c r="L61" s="11" t="n">
        <x:f>IF('全量明细'!H650="","",'全量明细'!H650)</x:f>
        <x:v>0.4531</x:v>
      </x:c>
      <x:c r="M61" s="11" t="n">
        <x:f>IF('全量明细'!I650="","",'全量明细'!I650)</x:f>
        <x:v>0.5228</x:v>
      </x:c>
      <x:c r="N61" s="14" t="n">
        <x:f>IF('全量明细'!J650="","",'全量明细'!J650)</x:f>
        <x:v>-6.970000000000004</x:v>
      </x:c>
      <x:c r="O61" s="14" t="n">
        <x:f>IF(AND(ISNUMBER(C61),ISNUMBER(I61)),(I61-C61)*100,"")</x:f>
        <x:v>11.138295999999997</x:v>
      </x:c>
      <x:c r="P61" s="17" t="str"/>
    </x:row>
    <x:row r="62" ht="25" customHeight="1">
      <x:c r="A62" s="2" t="str">
        <x:v>特兹卡塔拉</x:v>
      </x:c>
      <x:c r="B62" s="2" t="str">
        <x:v>玩具盒</x:v>
      </x:c>
      <x:c r="C62" s="28" t="n">
        <x:f>IF('全量明细'!E156="","",'全量明细'!E156)</x:f>
        <x:v>0.36573237</x:v>
      </x:c>
      <x:c r="D62" s="12" t="n">
        <x:f>IF('全量明细'!F156="","",'全量明细'!F156)</x:f>
        <x:v>5682</x:v>
      </x:c>
      <x:c r="E62" s="11" t="n">
        <x:f>IF('全量明细'!G156="","",'全量明细'!G156)</x:f>
        <x:v>0.2193</x:v>
      </x:c>
      <x:c r="F62" s="11" t="n">
        <x:f>IF('全量明细'!H156="","",'全量明细'!H156)</x:f>
        <x:v>0.3274</x:v>
      </x:c>
      <x:c r="G62" s="11" t="n">
        <x:f>IF('全量明细'!I156="","",'全量明细'!I156)</x:f>
        <x:v>0.3765</x:v>
      </x:c>
      <x:c r="H62" s="14" t="n">
        <x:f>IF('全量明细'!J156="","",'全量明细'!J156)</x:f>
        <x:v>-4.9099999999999975</x:v>
      </x:c>
      <x:c r="I62" s="28" t="n">
        <x:f>IF('全量明细'!E652="","",'全量明细'!E652)</x:f>
        <x:v>0.48022265000000003</x:v>
      </x:c>
      <x:c r="J62" s="12" t="n">
        <x:f>IF('全量明细'!F652="","",'全量明细'!F652)</x:f>
        <x:v>3586</x:v>
      </x:c>
      <x:c r="K62" s="11" t="n">
        <x:f>IF('全量明细'!G652="","",'全量明细'!G652)</x:f>
        <x:v>0.3165</x:v>
      </x:c>
      <x:c r="L62" s="11" t="n">
        <x:f>IF('全量明细'!H652="","",'全量明细'!H652)</x:f>
        <x:v>0.5172</x:v>
      </x:c>
      <x:c r="M62" s="11" t="n">
        <x:f>IF('全量明细'!I652="","",'全量明细'!I652)</x:f>
        <x:v>0.4631</x:v>
      </x:c>
      <x:c r="N62" s="14" t="n">
        <x:f>IF('全量明细'!J652="","",'全量明细'!J652)</x:f>
        <x:v>5.409999999999998</x:v>
      </x:c>
      <x:c r="O62" s="14" t="n">
        <x:f>IF(AND(ISNUMBER(C62),ISNUMBER(I62)),(I62-C62)*100,"")</x:f>
        <x:v>11.449028000000006</x:v>
      </x:c>
      <x:c r="P62" s="17" t="str"/>
    </x:row>
    <x:row r="63" ht="25" customHeight="1">
      <x:c r="A63" s="2" t="str">
        <x:v>特兹卡塔拉</x:v>
      </x:c>
      <x:c r="B63" s="2" t="str">
        <x:v>营养汤</x:v>
      </x:c>
      <x:c r="C63" s="28" t="n">
        <x:f>IF('全量明细'!E154="","",'全量明细'!E154)</x:f>
        <x:v>0.3718932</x:v>
      </x:c>
      <x:c r="D63" s="12" t="n">
        <x:f>IF('全量明细'!F154="","",'全量明细'!F154)</x:f>
        <x:v>7852</x:v>
      </x:c>
      <x:c r="E63" s="11" t="n">
        <x:f>IF('全量明细'!G154="","",'全量明细'!G154)</x:f>
        <x:v>0.3502</x:v>
      </x:c>
      <x:c r="F63" s="11" t="n">
        <x:f>IF('全量明细'!H154="","",'全量明细'!H154)</x:f>
        <x:v>0.34979999999999994</x:v>
      </x:c>
      <x:c r="G63" s="11" t="n">
        <x:f>IF('全量明细'!I154="","",'全量明细'!I154)</x:f>
        <x:v>0.38380000000000003</x:v>
      </x:c>
      <x:c r="H63" s="14" t="n">
        <x:f>IF('全量明细'!J154="","",'全量明细'!J154)</x:f>
        <x:v>-3.4000000000000083</x:v>
      </x:c>
      <x:c r="I63" s="28" t="n">
        <x:f>IF('全量明细'!E651="","",'全量明细'!E651)</x:f>
        <x:v>0.4823954</x:v>
      </x:c>
      <x:c r="J63" s="12" t="n">
        <x:f>IF('全量明细'!F651="","",'全量明细'!F651)</x:f>
        <x:v>4884</x:v>
      </x:c>
      <x:c r="K63" s="11" t="n">
        <x:f>IF('全量明细'!G651="","",'全量明细'!G651)</x:f>
        <x:v>0.2842</x:v>
      </x:c>
      <x:c r="L63" s="11" t="n">
        <x:f>IF('全量明细'!H651="","",'全量明细'!H651)</x:f>
        <x:v>0.43729999999999997</x:v>
      </x:c>
      <x:c r="M63" s="11" t="n">
        <x:f>IF('全量明细'!I651="","",'全量明细'!I651)</x:f>
        <x:v>0.5003</x:v>
      </x:c>
      <x:c r="N63" s="14" t="n">
        <x:f>IF('全量明细'!J651="","",'全量明细'!J651)</x:f>
        <x:v>-6.3</x:v>
      </x:c>
      <x:c r="O63" s="14" t="n">
        <x:f>IF(AND(ISNUMBER(C63),ISNUMBER(I63)),(I63-C63)*100,"")</x:f>
        <x:v>11.05022</x:v>
      </x:c>
      <x:c r="P63" s="17" t="str"/>
    </x:row>
    <x:row r="64" ht="25" customHeight="1">
      <x:c r="A64" s="20" t="str">
        <x:v>诺奴佩普</x:v>
      </x:c>
      <x:c r="B64" s="20" t="str">
        <x:v>布质果实</x:v>
      </x:c>
      <x:c r="C64" s="27" t="n">
        <x:f>IF('全量明细'!E167="","",'全量明细'!E167)</x:f>
        <x:v>0.5705681499999999</x:v>
      </x:c>
      <x:c r="D64" s="23" t="n">
        <x:f>IF('全量明细'!F167="","",'全量明细'!F167)</x:f>
        <x:v>4592</x:v>
      </x:c>
      <x:c r="E64" s="22" t="n">
        <x:f>IF('全量明细'!G167="","",'全量明细'!G167)</x:f>
        <x:v>0.2415</x:v>
      </x:c>
      <x:c r="F64" s="22" t="n">
        <x:f>IF('全量明细'!H167="","",'全量明细'!H167)</x:f>
        <x:v>0.5221</x:v>
      </x:c>
      <x:c r="G64" s="22" t="n">
        <x:f>IF('全量明细'!I167="","",'全量明细'!I167)</x:f>
        <x:v>0.586</x:v>
      </x:c>
      <x:c r="H64" s="24" t="n">
        <x:f>IF('全量明细'!J167="","",'全量明细'!J167)</x:f>
        <x:v>-6.389999999999995</x:v>
      </x:c>
      <x:c r="I64" s="27" t="n">
        <x:f>IF('全量明细'!E665="","",'全量明细'!E665)</x:f>
        <x:v>0.653315</x:v>
      </x:c>
      <x:c r="J64" s="23" t="n">
        <x:f>IF('全量明细'!F665="","",'全量明细'!F665)</x:f>
        <x:v>3176</x:v>
      </x:c>
      <x:c r="K64" s="22" t="n">
        <x:f>IF('全量明细'!G665="","",'全量明细'!G665)</x:f>
        <x:v>0.21</x:v>
      </x:c>
      <x:c r="L64" s="22" t="n">
        <x:f>IF('全量明细'!H665="","",'全量明细'!H665)</x:f>
        <x:v>0.6386999999999999</x:v>
      </x:c>
      <x:c r="M64" s="22" t="n">
        <x:f>IF('全量明细'!I665="","",'全量明细'!I665)</x:f>
        <x:v>0.6572</x:v>
      </x:c>
      <x:c r="N64" s="24" t="n">
        <x:f>IF('全量明细'!J665="","",'全量明细'!J665)</x:f>
        <x:v>-1.8500000000000072</x:v>
      </x:c>
      <x:c r="O64" s="24" t="n">
        <x:f>IF(AND(ISNUMBER(C64),ISNUMBER(I64)),(I64-C64)*100,"")</x:f>
        <x:v>8.274685000000003</x:v>
      </x:c>
      <x:c r="P64" s="31" t="str"/>
    </x:row>
    <x:row r="65" ht="25" customHeight="1">
      <x:c r="A65" s="2" t="str">
        <x:v>诺奴佩普</x:v>
      </x:c>
      <x:c r="B65" s="2" t="str">
        <x:v>赐福鹿角</x:v>
      </x:c>
      <x:c r="C65" s="28" t="n">
        <x:f>IF('全量明细'!E169="","",'全量明细'!E169)</x:f>
        <x:v>0.5617474299999999</x:v>
      </x:c>
      <x:c r="D65" s="12" t="n">
        <x:f>IF('全量明细'!F169="","",'全量明细'!F169)</x:f>
        <x:v>4491</x:v>
      </x:c>
      <x:c r="E65" s="11" t="n">
        <x:f>IF('全量明细'!G169="","",'全量明细'!G169)</x:f>
        <x:v>0.3017</x:v>
      </x:c>
      <x:c r="F65" s="11" t="n">
        <x:f>IF('全量明细'!H169="","",'全量明细'!H169)</x:f>
        <x:v>0.5114</x:v>
      </x:c>
      <x:c r="G65" s="11" t="n">
        <x:f>IF('全量明细'!I169="","",'全量明细'!I169)</x:f>
        <x:v>0.5835</x:v>
      </x:c>
      <x:c r="H65" s="14" t="n">
        <x:f>IF('全量明细'!J169="","",'全量明细'!J169)</x:f>
        <x:v>-7.210000000000005</x:v>
      </x:c>
      <x:c r="I65" s="28" t="n">
        <x:f>IF('全量明细'!E667="","",'全量明细'!E667)</x:f>
        <x:v>0.6350328999999999</x:v>
      </x:c>
      <x:c r="J65" s="12" t="n">
        <x:f>IF('全量明细'!F667="","",'全量明细'!F667)</x:f>
        <x:v>3236</x:v>
      </x:c>
      <x:c r="K65" s="11" t="n">
        <x:f>IF('全量明细'!G667="","",'全量明细'!G667)</x:f>
        <x:v>0.2942</x:v>
      </x:c>
      <x:c r="L65" s="11" t="n">
        <x:f>IF('全量明细'!H667="","",'全量明细'!H667)</x:f>
        <x:v>0.5640999999999999</x:v>
      </x:c>
      <x:c r="M65" s="11" t="n">
        <x:f>IF('全量明细'!I667="","",'全量明细'!I667)</x:f>
        <x:v>0.6646</x:v>
      </x:c>
      <x:c r="N65" s="14" t="n">
        <x:f>IF('全量明细'!J667="","",'全量明细'!J667)</x:f>
        <x:v>-10.050000000000004</x:v>
      </x:c>
      <x:c r="O65" s="14" t="n">
        <x:f>IF(AND(ISNUMBER(C65),ISNUMBER(I65)),(I65-C65)*100,"")</x:f>
        <x:v>7.328546999999997</x:v>
      </x:c>
      <x:c r="P65" s="17" t="str"/>
    </x:row>
    <x:row r="66" ht="25" customHeight="1">
      <x:c r="A66" s="2" t="str">
        <x:v>诺奴佩普</x:v>
      </x:c>
      <x:c r="B66" s="2" t="str">
        <x:v>华美手镯</x:v>
      </x:c>
      <x:c r="C66" s="28" t="n">
        <x:f>IF('全量明细'!E163="","",'全量明细'!E163)</x:f>
        <x:v>0.59916163</x:v>
      </x:c>
      <x:c r="D66" s="12" t="n">
        <x:f>IF('全量明细'!F163="","",'全量明细'!F163)</x:f>
        <x:v>4406</x:v>
      </x:c>
      <x:c r="E66" s="11" t="n">
        <x:f>IF('全量明细'!G163="","",'全量明细'!G163)</x:f>
        <x:v>0.36810000000000004</x:v>
      </x:c>
      <x:c r="F66" s="11" t="n">
        <x:f>IF('全量明细'!H163="","",'全量明细'!H163)</x:f>
        <x:v>0.6954</x:v>
      </x:c>
      <x:c r="G66" s="11" t="n">
        <x:f>IF('全量明细'!I163="","",'全量明细'!I163)</x:f>
        <x:v>0.5431</x:v>
      </x:c>
      <x:c r="H66" s="14" t="n">
        <x:f>IF('全量明细'!J163="","",'全量明细'!J163)</x:f>
        <x:v>15.229999999999999</x:v>
      </x:c>
      <x:c r="I66" s="28" t="n">
        <x:f>IF('全量明细'!E660="","",'全量明细'!E660)</x:f>
        <x:v>0.6744562</x:v>
      </x:c>
      <x:c r="J66" s="12" t="n">
        <x:f>IF('全量明细'!F660="","",'全量明细'!F660)</x:f>
        <x:v>3176</x:v>
      </x:c>
      <x:c r="K66" s="11" t="n">
        <x:f>IF('全量明细'!G660="","",'全量明细'!G660)</x:f>
        <x:v>0.2692</x:v>
      </x:c>
      <x:c r="L66" s="11" t="n">
        <x:f>IF('全量明细'!H660="","",'全量明细'!H660)</x:f>
        <x:v>0.7099</x:v>
      </x:c>
      <x:c r="M66" s="11" t="n">
        <x:f>IF('全量明细'!I660="","",'全量明细'!I660)</x:f>
        <x:v>0.6614</x:v>
      </x:c>
      <x:c r="N66" s="14" t="n">
        <x:f>IF('全量明细'!J660="","",'全量明细'!J660)</x:f>
        <x:v>4.849999999999999</x:v>
      </x:c>
      <x:c r="O66" s="14" t="n">
        <x:f>IF(AND(ISNUMBER(C66),ISNUMBER(I66)),(I66-C66)*100,"")</x:f>
        <x:v>7.529456999999995</x:v>
      </x:c>
      <x:c r="P66" s="17" t="str"/>
    </x:row>
    <x:row r="67" ht="25" customHeight="1">
      <x:c r="A67" s="2" t="str">
        <x:v>诺奴佩普</x:v>
      </x:c>
      <x:c r="B67" s="2" t="str">
        <x:v>娇嫩蕨草</x:v>
      </x:c>
      <x:c r="C67" s="28" t="n">
        <x:f>IF('全量明细'!E162="","",'全量明细'!E162)</x:f>
        <x:v>0.6002394400000001</x:v>
      </x:c>
      <x:c r="D67" s="12" t="n">
        <x:f>IF('全量明细'!F162="","",'全量明细'!F162)</x:f>
        <x:v>4425</x:v>
      </x:c>
      <x:c r="E67" s="11" t="n">
        <x:f>IF('全量明细'!G162="","",'全量明细'!G162)</x:f>
        <x:v>0.17059999999999997</x:v>
      </x:c>
      <x:c r="F67" s="11" t="n">
        <x:f>IF('全量明细'!H162="","",'全量明细'!H162)</x:f>
        <x:v>0.6437</x:v>
      </x:c>
      <x:c r="G67" s="11" t="n">
        <x:f>IF('全量明细'!I162="","",'全量明细'!I162)</x:f>
        <x:v>0.5913</x:v>
      </x:c>
      <x:c r="H67" s="14" t="n">
        <x:f>IF('全量明细'!J162="","",'全量明细'!J162)</x:f>
        <x:v>5.24</x:v>
      </x:c>
      <x:c r="I67" s="28" t="n">
        <x:f>IF('全量明细'!E664="","",'全量明细'!E664)</x:f>
        <x:v>0.6590075</x:v>
      </x:c>
      <x:c r="J67" s="12" t="n">
        <x:f>IF('全量明细'!F664="","",'全量明细'!F664)</x:f>
        <x:v>3120</x:v>
      </x:c>
      <x:c r="K67" s="11" t="n">
        <x:f>IF('全量明细'!G664="","",'全量明细'!G664)</x:f>
        <x:v>0.1442</x:v>
      </x:c>
      <x:c r="L67" s="11" t="n">
        <x:f>IF('全量明细'!H664="","",'全量明细'!H664)</x:f>
        <x:v>0.6911</x:v>
      </x:c>
      <x:c r="M67" s="11" t="n">
        <x:f>IF('全量明细'!I664="","",'全量明细'!I664)</x:f>
        <x:v>0.6536</x:v>
      </x:c>
      <x:c r="N67" s="14" t="n">
        <x:f>IF('全量明细'!J664="","",'全量明细'!J664)</x:f>
        <x:v>3.750000000000009</x:v>
      </x:c>
      <x:c r="O67" s="14" t="n">
        <x:f>IF(AND(ISNUMBER(C67),ISNUMBER(I67)),(I67-C67)*100,"")</x:f>
        <x:v>5.8768059999999895</x:v>
      </x:c>
      <x:c r="P67" s="17" t="str"/>
    </x:row>
    <x:row r="68" ht="25" customHeight="1">
      <x:c r="A68" s="2" t="str">
        <x:v>诺奴佩普</x:v>
      </x:c>
      <x:c r="B68" s="2" t="str">
        <x:v>亮片</x:v>
      </x:c>
      <x:c r="C68" s="28" t="n">
        <x:f>IF('全量明细'!E166="","",'全量明细'!E166)</x:f>
        <x:v>0.5776165200000001</x:v>
      </x:c>
      <x:c r="D68" s="12" t="n">
        <x:f>IF('全量明细'!F166="","",'全量明细'!F166)</x:f>
        <x:v>4529</x:v>
      </x:c>
      <x:c r="E68" s="11" t="n">
        <x:f>IF('全量明细'!G166="","",'全量明细'!G166)</x:f>
        <x:v>0.46520000000000006</x:v>
      </x:c>
      <x:c r="F68" s="11" t="n">
        <x:f>IF('全量明细'!H166="","",'全量明细'!H166)</x:f>
        <x:v>0.5643</x:v>
      </x:c>
      <x:c r="G68" s="11" t="n">
        <x:f>IF('全量明细'!I166="","",'全量明细'!I166)</x:f>
        <x:v>0.5892000000000001</x:v>
      </x:c>
      <x:c r="H68" s="14" t="n">
        <x:f>IF('全量明细'!J166="","",'全量明细'!J166)</x:f>
        <x:v>-2.4900000000000033</x:v>
      </x:c>
      <x:c r="I68" s="28" t="n">
        <x:f>IF('全量明细'!E663="","",'全量明细'!E663)</x:f>
        <x:v>0.6628328</x:v>
      </x:c>
      <x:c r="J68" s="12" t="n">
        <x:f>IF('全量明细'!F663="","",'全量明细'!F663)</x:f>
        <x:v>3138</x:v>
      </x:c>
      <x:c r="K68" s="11" t="n">
        <x:f>IF('全量明细'!G663="","",'全量明细'!G663)</x:f>
        <x:v>0.456</x:v>
      </x:c>
      <x:c r="L68" s="11" t="n">
        <x:f>IF('全量明细'!H663="","",'全量明细'!H663)</x:f>
        <x:v>0.6513</x:v>
      </x:c>
      <x:c r="M68" s="11" t="n">
        <x:f>IF('全量明细'!I663="","",'全量明细'!I663)</x:f>
        <x:v>0.6725</x:v>
      </x:c>
      <x:c r="N68" s="14" t="n">
        <x:f>IF('全量明细'!J663="","",'全量明细'!J663)</x:f>
        <x:v>-2.1199999999999997</x:v>
      </x:c>
      <x:c r="O68" s="14" t="n">
        <x:f>IF(AND(ISNUMBER(C68),ISNUMBER(I68)),(I68-C68)*100,"")</x:f>
        <x:v>8.521627999999993</x:v>
      </x:c>
      <x:c r="P68" s="17" t="str"/>
    </x:row>
    <x:row r="69" ht="25" customHeight="1">
      <x:c r="A69" s="2" t="str">
        <x:v>诺奴佩普</x:v>
      </x:c>
      <x:c r="B69" s="2" t="str">
        <x:v>皮草大衣</x:v>
      </x:c>
      <x:c r="C69" s="28" t="n">
        <x:f>IF('全量明细'!E170="","",'全量明细'!E170)</x:f>
        <x:v>0.55661456</x:v>
      </x:c>
      <x:c r="D69" s="12" t="n">
        <x:f>IF('全量明细'!F170="","",'全量明细'!F170)</x:f>
        <x:v>4452</x:v>
      </x:c>
      <x:c r="E69" s="11" t="n">
        <x:f>IF('全量明细'!G170="","",'全量明细'!G170)</x:f>
        <x:v>0.2904</x:v>
      </x:c>
      <x:c r="F69" s="11" t="n">
        <x:f>IF('全量明细'!H170="","",'全量明细'!H170)</x:f>
        <x:v>0.3944</x:v>
      </x:c>
      <x:c r="G69" s="11" t="n">
        <x:f>IF('全量明细'!I170="","",'全量明细'!I170)</x:f>
        <x:v>0.623</x:v>
      </x:c>
      <x:c r="H69" s="14" t="n">
        <x:f>IF('全量明细'!J170="","",'全量明细'!J170)</x:f>
        <x:v>-22.860000000000003</x:v>
      </x:c>
      <x:c r="I69" s="28" t="n">
        <x:f>IF('全量明细'!E666="","",'全量明细'!E666)</x:f>
        <x:v>0.6445219900000001</x:v>
      </x:c>
      <x:c r="J69" s="12" t="n">
        <x:f>IF('全量明细'!F666="","",'全量明细'!F666)</x:f>
        <x:v>3131</x:v>
      </x:c>
      <x:c r="K69" s="11" t="n">
        <x:f>IF('全量明细'!G666="","",'全量明细'!G666)</x:f>
        <x:v>0.2849</x:v>
      </x:c>
      <x:c r="L69" s="11" t="n">
        <x:f>IF('全量明细'!H666="","",'全量明细'!H666)</x:f>
        <x:v>0.5123</x:v>
      </x:c>
      <x:c r="M69" s="11" t="n">
        <x:f>IF('全量明细'!I666="","",'全量明细'!I666)</x:f>
        <x:v>0.6972</x:v>
      </x:c>
      <x:c r="N69" s="14" t="n">
        <x:f>IF('全量明细'!J666="","",'全量明细'!J666)</x:f>
        <x:v>-18.490000000000006</x:v>
      </x:c>
      <x:c r="O69" s="14" t="n">
        <x:f>IF(AND(ISNUMBER(C69),ISNUMBER(I69)),(I69-C69)*100,"")</x:f>
        <x:v>8.790743000000012</x:v>
      </x:c>
      <x:c r="P69" s="17" t="str"/>
    </x:row>
    <x:row r="70" ht="25" customHeight="1">
      <x:c r="A70" s="2" t="str">
        <x:v>诺奴佩普</x:v>
      </x:c>
      <x:c r="B70" s="2" t="str">
        <x:v>图章戒指</x:v>
      </x:c>
      <x:c r="C70" s="28" t="n">
        <x:f>IF('全量明细'!E164="","",'全量明细'!E164)</x:f>
        <x:v>0.59764551</x:v>
      </x:c>
      <x:c r="D70" s="12" t="n">
        <x:f>IF('全量明细'!F164="","",'全量明细'!F164)</x:f>
        <x:v>4501</x:v>
      </x:c>
      <x:c r="E70" s="11" t="n">
        <x:f>IF('全量明细'!G164="","",'全量明细'!G164)</x:f>
        <x:v>0.5357</x:v>
      </x:c>
      <x:c r="F70" s="11" t="n">
        <x:f>IF('全量明细'!H164="","",'全量明细'!H164)</x:f>
        <x:v>0.6275</x:v>
      </x:c>
      <x:c r="G70" s="11" t="n">
        <x:f>IF('全量明细'!I164="","",'全量明细'!I164)</x:f>
        <x:v>0.5632</x:v>
      </x:c>
      <x:c r="H70" s="14" t="n">
        <x:f>IF('全量明细'!J164="","",'全量明细'!J164)</x:f>
        <x:v>6.429999999999991</x:v>
      </x:c>
      <x:c r="I70" s="28" t="n">
        <x:f>IF('全量明细'!E659="","",'全量明细'!E659)</x:f>
        <x:v>0.68727895</x:v>
      </x:c>
      <x:c r="J70" s="12" t="n">
        <x:f>IF('全量明细'!F659="","",'全量明细'!F659)</x:f>
        <x:v>3156</x:v>
      </x:c>
      <x:c r="K70" s="11" t="n">
        <x:f>IF('全量明细'!G659="","",'全量明细'!G659)</x:f>
        <x:v>0.4965</x:v>
      </x:c>
      <x:c r="L70" s="11" t="n">
        <x:f>IF('全量明细'!H659="","",'全量明细'!H659)</x:f>
        <x:v>0.6975</x:v>
      </x:c>
      <x:c r="M70" s="11" t="n">
        <x:f>IF('全量明细'!I659="","",'全量明细'!I659)</x:f>
        <x:v>0.6772</x:v>
      </x:c>
      <x:c r="N70" s="14" t="n">
        <x:f>IF('全量明细'!J659="","",'全量明细'!J659)</x:f>
        <x:v>2.0299999999999985</x:v>
      </x:c>
      <x:c r="O70" s="14" t="n">
        <x:f>IF(AND(ISNUMBER(C70),ISNUMBER(I70)),(I70-C70)*100,"")</x:f>
        <x:v>8.963344000000006</x:v>
      </x:c>
      <x:c r="P70" s="17" t="str"/>
    </x:row>
    <x:row r="71" ht="25" customHeight="1">
      <x:c r="A71" s="2" t="str">
        <x:v>诺奴佩普</x:v>
      </x:c>
      <x:c r="B71" s="2" t="str">
        <x:v>艳丽围巾</x:v>
      </x:c>
      <x:c r="C71" s="28" t="n">
        <x:f>IF('全量明细'!E165="","",'全量明细'!E165)</x:f>
        <x:v>0.57970096</x:v>
      </x:c>
      <x:c r="D71" s="12" t="n">
        <x:f>IF('全量明细'!F165="","",'全量明细'!F165)</x:f>
        <x:v>4537</x:v>
      </x:c>
      <x:c r="E71" s="11" t="n">
        <x:f>IF('全量明细'!G165="","",'全量明细'!G165)</x:f>
        <x:v>0.42340000000000005</x:v>
      </x:c>
      <x:c r="F71" s="11" t="n">
        <x:f>IF('全量明细'!H165="","",'全量明细'!H165)</x:f>
        <x:v>0.6225999999999999</x:v>
      </x:c>
      <x:c r="G71" s="11" t="n">
        <x:f>IF('全量明细'!I165="","",'全量明细'!I165)</x:f>
        <x:v>0.5482</x:v>
      </x:c>
      <x:c r="H71" s="14" t="n">
        <x:f>IF('全量明细'!J165="","",'全量明细'!J165)</x:f>
        <x:v>7.439999999999991</x:v>
      </x:c>
      <x:c r="I71" s="28" t="n">
        <x:f>IF('全量明细'!E658="","",'全量明细'!E658)</x:f>
        <x:v>0.68778103</x:v>
      </x:c>
      <x:c r="J71" s="12" t="n">
        <x:f>IF('全量明细'!F658="","",'全量明细'!F658)</x:f>
        <x:v>3200</x:v>
      </x:c>
      <x:c r="K71" s="11" t="n">
        <x:f>IF('全量明细'!G658="","",'全量明细'!G658)</x:f>
        <x:v>0.4631</x:v>
      </x:c>
      <x:c r="L71" s="11" t="n">
        <x:f>IF('全量明细'!H658="","",'全量明细'!H658)</x:f>
        <x:v>0.7368000000000001</x:v>
      </x:c>
      <x:c r="M71" s="11" t="n">
        <x:f>IF('全量明细'!I658="","",'全量明细'!I658)</x:f>
        <x:v>0.6455</x:v>
      </x:c>
      <x:c r="N71" s="14" t="n">
        <x:f>IF('全量明细'!J658="","",'全量明细'!J658)</x:f>
        <x:v>9.130000000000017</x:v>
      </x:c>
      <x:c r="O71" s="14" t="n">
        <x:f>IF(AND(ISNUMBER(C71),ISNUMBER(I71)),(I71-C71)*100,"")</x:f>
        <x:v>10.808006999999996</x:v>
      </x:c>
      <x:c r="P71" s="17" t="str"/>
    </x:row>
    <x:row r="72" ht="25" customHeight="1">
      <x:c r="A72" s="2" t="str">
        <x:v>诺奴佩普</x:v>
      </x:c>
      <x:c r="B72" s="2" t="str">
        <x:v>珠宝盒</x:v>
      </x:c>
      <x:c r="C72" s="28" t="n">
        <x:f>IF('全量明细'!E161="","",'全量明细'!E161)</x:f>
        <x:v>0.6059634599999999</x:v>
      </x:c>
      <x:c r="D72" s="12" t="n">
        <x:f>IF('全量明细'!F161="","",'全量明细'!F161)</x:f>
        <x:v>4520</x:v>
      </x:c>
      <x:c r="E72" s="11" t="n">
        <x:f>IF('全量明细'!G161="","",'全量明细'!G161)</x:f>
        <x:v>0.3383</x:v>
      </x:c>
      <x:c r="F72" s="11" t="n">
        <x:f>IF('全量明细'!H161="","",'全量明细'!H161)</x:f>
        <x:v>0.6233</x:v>
      </x:c>
      <x:c r="G72" s="11" t="n">
        <x:f>IF('全量明细'!I161="","",'全量明细'!I161)</x:f>
        <x:v>0.5971</x:v>
      </x:c>
      <x:c r="H72" s="14" t="n">
        <x:f>IF('全量明细'!J161="","",'全量明细'!J161)</x:f>
        <x:v>2.62</x:v>
      </x:c>
      <x:c r="I72" s="28" t="n">
        <x:f>IF('全量明细'!E662="","",'全量明细'!E662)</x:f>
        <x:v>0.66909168</x:v>
      </x:c>
      <x:c r="J72" s="12" t="n">
        <x:f>IF('全量明细'!F662="","",'全量明细'!F662)</x:f>
        <x:v>3167</x:v>
      </x:c>
      <x:c r="K72" s="11" t="n">
        <x:f>IF('全量明细'!G662="","",'全量明细'!G662)</x:f>
        <x:v>0.3098</x:v>
      </x:c>
      <x:c r="L72" s="11" t="n">
        <x:f>IF('全量明细'!H662="","",'全量明细'!H662)</x:f>
        <x:v>0.684</x:v>
      </x:c>
      <x:c r="M72" s="11" t="n">
        <x:f>IF('全量明细'!I662="","",'全量明细'!I662)</x:f>
        <x:v>0.6624</x:v>
      </x:c>
      <x:c r="N72" s="14" t="n">
        <x:f>IF('全量明细'!J662="","",'全量明细'!J662)</x:f>
        <x:v>2.1600000000000064</x:v>
      </x:c>
      <x:c r="O72" s="14" t="n">
        <x:f>IF(AND(ISNUMBER(C72),ISNUMBER(I72)),(I72-C72)*100,"")</x:f>
        <x:v>6.312822000000007</x:v>
      </x:c>
      <x:c r="P72" s="17" t="str"/>
    </x:row>
    <x:row r="73" ht="25" customHeight="1">
      <x:c r="A73" s="2" t="str">
        <x:v>诺奴佩普</x:v>
      </x:c>
      <x:c r="B73" s="2" t="str">
        <x:v>钻石头冠</x:v>
      </x:c>
      <x:c r="C73" s="28" t="n">
        <x:f>IF('全量明细'!E168="","",'全量明细'!E168)</x:f>
        <x:v>0.56788228</x:v>
      </x:c>
      <x:c r="D73" s="12" t="n">
        <x:f>IF('全量明细'!F168="","",'全量明细'!F168)</x:f>
        <x:v>4494</x:v>
      </x:c>
      <x:c r="E73" s="11" t="n">
        <x:f>IF('全量明细'!G168="","",'全量明细'!G168)</x:f>
        <x:v>0.1838</x:v>
      </x:c>
      <x:c r="F73" s="11" t="n">
        <x:f>IF('全量明细'!H168="","",'全量明细'!H168)</x:f>
        <x:v>0.5194</x:v>
      </x:c>
      <x:c r="G73" s="11" t="n">
        <x:f>IF('全量明细'!I168="","",'全量明细'!I168)</x:f>
        <x:v>0.5788</x:v>
      </x:c>
      <x:c r="H73" s="14" t="n">
        <x:f>IF('全量明细'!J168="","",'全量明细'!J168)</x:f>
        <x:v>-5.940000000000001</x:v>
      </x:c>
      <x:c r="I73" s="28" t="n">
        <x:f>IF('全量明细'!E661="","",'全量明细'!E661)</x:f>
        <x:v>0.67118203</x:v>
      </x:c>
      <x:c r="J73" s="12" t="n">
        <x:f>IF('全量明细'!F661="","",'全量明细'!F661)</x:f>
        <x:v>3196</x:v>
      </x:c>
      <x:c r="K73" s="11" t="n">
        <x:f>IF('全量明细'!G661="","",'全量明细'!G661)</x:f>
        <x:v>0.39770000000000005</x:v>
      </x:c>
      <x:c r="L73" s="11" t="n">
        <x:f>IF('全量明细'!H661="","",'全量明细'!H661)</x:f>
        <x:v>0.6916</x:v>
      </x:c>
      <x:c r="M73" s="11" t="n">
        <x:f>IF('全量明细'!I661="","",'全量明细'!I661)</x:f>
        <x:v>0.6577</x:v>
      </x:c>
      <x:c r="N73" s="14" t="n">
        <x:f>IF('全量明细'!J661="","",'全量明细'!J661)</x:f>
        <x:v>3.390000000000004</x:v>
      </x:c>
      <x:c r="O73" s="14" t="n">
        <x:f>IF(AND(ISNUMBER(C73),ISNUMBER(I73)),(I73-C73)*100,"")</x:f>
        <x:v>10.329975000000003</x:v>
      </x:c>
      <x:c r="P73" s="17" t="str"/>
    </x:row>
    <x:row r="74" ht="25" customHeight="1">
      <x:c r="A74" s="20" t="str">
        <x:v>坦克斯</x:v>
      </x:c>
      <x:c r="B74" s="20" t="str">
        <x:v>钗</x:v>
      </x:c>
      <x:c r="C74" s="27" t="n">
        <x:f>IF('全量明细'!E172="","",'全量明细'!E172)</x:f>
        <x:v>0.6237154599999999</x:v>
      </x:c>
      <x:c r="D74" s="23" t="n">
        <x:f>IF('全量明细'!F172="","",'全量明细'!F172)</x:f>
        <x:v>4523</x:v>
      </x:c>
      <x:c r="E74" s="22" t="n">
        <x:f>IF('全量明细'!G172="","",'全量明细'!G172)</x:f>
        <x:v>0.5019</x:v>
      </x:c>
      <x:c r="F74" s="22" t="n">
        <x:f>IF('全量明细'!H172="","",'全量明细'!H172)</x:f>
        <x:v>0.6801999999999999</x:v>
      </x:c>
      <x:c r="G74" s="22" t="n">
        <x:f>IF('全量明细'!I172="","",'全量明细'!I172)</x:f>
        <x:v>0.5668</x:v>
      </x:c>
      <x:c r="H74" s="24" t="n">
        <x:f>IF('全量明细'!J172="","",'全量明细'!J172)</x:f>
        <x:v>11.339999999999995</x:v>
      </x:c>
      <x:c r="I74" s="27" t="n">
        <x:f>IF('全量明细'!E668="","",'全量明细'!E668)</x:f>
        <x:v>0.7128048200000001</x:v>
      </x:c>
      <x:c r="J74" s="23" t="n">
        <x:f>IF('全量明细'!F668="","",'全量明细'!F668)</x:f>
        <x:v>3193</x:v>
      </x:c>
      <x:c r="K74" s="22" t="n">
        <x:f>IF('全量明细'!G668="","",'全量明细'!G668)</x:f>
        <x:v>0.5431</x:v>
      </x:c>
      <x:c r="L74" s="22" t="n">
        <x:f>IF('全量明细'!H668="","",'全量明细'!H668)</x:f>
        <x:v>0.7595000000000001</x:v>
      </x:c>
      <x:c r="M74" s="22" t="n">
        <x:f>IF('全量明细'!I668="","",'全量明细'!I668)</x:f>
        <x:v>0.6573</x:v>
      </x:c>
      <x:c r="N74" s="24" t="n">
        <x:f>IF('全量明细'!J668="","",'全量明细'!J668)</x:f>
        <x:v>10.220000000000006</x:v>
      </x:c>
      <x:c r="O74" s="24" t="n">
        <x:f>IF(AND(ISNUMBER(C74),ISNUMBER(I74)),(I74-C74)*100,"")</x:f>
        <x:v>8.908936000000022</x:v>
      </x:c>
      <x:c r="P74" s="31" t="str"/>
    </x:row>
    <x:row r="75" ht="25" customHeight="1">
      <x:c r="A75" s="2" t="str">
        <x:v>坦克斯</x:v>
      </x:c>
      <x:c r="B75" s="2" t="str">
        <x:v>带刺手甲</x:v>
      </x:c>
      <x:c r="C75" s="28" t="n">
        <x:f>IF('全量明细'!E180="","",'全量明细'!E180)</x:f>
        <x:v>0.55066267</x:v>
      </x:c>
      <x:c r="D75" s="12" t="n">
        <x:f>IF('全量明细'!F180="","",'全量明细'!F180)</x:f>
        <x:v>4444</x:v>
      </x:c>
      <x:c r="E75" s="11" t="n">
        <x:f>IF('全量明细'!G180="","",'全量明细'!G180)</x:f>
        <x:v>0.1503</x:v>
      </x:c>
      <x:c r="F75" s="11" t="n">
        <x:f>IF('全量明细'!H180="","",'全量明细'!H180)</x:f>
        <x:v>0.3458</x:v>
      </x:c>
      <x:c r="G75" s="11" t="n">
        <x:f>IF('全量明细'!I180="","",'全量明细'!I180)</x:f>
        <x:v>0.5869</x:v>
      </x:c>
      <x:c r="H75" s="14" t="n">
        <x:f>IF('全量明细'!J180="","",'全量明细'!J180)</x:f>
        <x:v>-24.11</x:v>
      </x:c>
      <x:c r="I75" s="28" t="n">
        <x:f>IF('全量明细'!E674="","",'全量明细'!E674)</x:f>
        <x:v>0.66089978</x:v>
      </x:c>
      <x:c r="J75" s="12" t="n">
        <x:f>IF('全量明细'!F674="","",'全量明细'!F674)</x:f>
        <x:v>3179</x:v>
      </x:c>
      <x:c r="K75" s="11" t="n">
        <x:f>IF('全量明细'!G674="","",'全量明细'!G674)</x:f>
        <x:v>0.1598</x:v>
      </x:c>
      <x:c r="L75" s="11" t="n">
        <x:f>IF('全量明细'!H674="","",'全量明细'!H674)</x:f>
        <x:v>0.561</x:v>
      </x:c>
      <x:c r="M75" s="11" t="n">
        <x:f>IF('全量明细'!I674="","",'全量明细'!I674)</x:f>
        <x:v>0.6799</x:v>
      </x:c>
      <x:c r="N75" s="14" t="n">
        <x:f>IF('全量明细'!J674="","",'全量明细'!J674)</x:f>
        <x:v>-11.88999999999999</x:v>
      </x:c>
      <x:c r="O75" s="14" t="n">
        <x:f>IF(AND(ISNUMBER(C75),ISNUMBER(I75)),(I75-C75)*100,"")</x:f>
        <x:v>11.023711000000002</x:v>
      </x:c>
      <x:c r="P75" s="17" t="str"/>
    </x:row>
    <x:row r="76" ht="25" customHeight="1">
      <x:c r="A76" s="2" t="str">
        <x:v>坦克斯</x:v>
      </x:c>
      <x:c r="B76" s="2" t="str">
        <x:v>利爪</x:v>
      </x:c>
      <x:c r="C76" s="28" t="n">
        <x:f>IF('全量明细'!E177="","",'全量明细'!E177)</x:f>
        <x:v>0.5720485999999999</x:v>
      </x:c>
      <x:c r="D76" s="12" t="n">
        <x:f>IF('全量明细'!F177="","",'全量明细'!F177)</x:f>
        <x:v>4496</x:v>
      </x:c>
      <x:c r="E76" s="11" t="n">
        <x:f>IF('全量明细'!G177="","",'全量明细'!G177)</x:f>
        <x:v>0.1588</x:v>
      </x:c>
      <x:c r="F76" s="11" t="n">
        <x:f>IF('全量明细'!H177="","",'全量明细'!H177)</x:f>
        <x:v>0.4118</x:v>
      </x:c>
      <x:c r="G76" s="11" t="n">
        <x:f>IF('全量明细'!I177="","",'全量明细'!I177)</x:f>
        <x:v>0.6023</x:v>
      </x:c>
      <x:c r="H76" s="14" t="n">
        <x:f>IF('全量明细'!J177="","",'全量明细'!J177)</x:f>
        <x:v>-19.049999999999994</x:v>
      </x:c>
      <x:c r="I76" s="28" t="n">
        <x:f>IF('全量明细'!E676="","",'全量明细'!E676)</x:f>
        <x:v>0.6559959999999999</x:v>
      </x:c>
      <x:c r="J76" s="12" t="n">
        <x:f>IF('全量明细'!F676="","",'全量明细'!F676)</x:f>
        <x:v>3241</x:v>
      </x:c>
      <x:c r="K76" s="11" t="n">
        <x:f>IF('全量明细'!G676="","",'全量明细'!G676)</x:f>
        <x:v>0.1808</x:v>
      </x:c>
      <x:c r="L76" s="11" t="n">
        <x:f>IF('全量明细'!H676="","",'全量明细'!H676)</x:f>
        <x:v>0.6007</x:v>
      </x:c>
      <x:c r="M76" s="11" t="n">
        <x:f>IF('全量明细'!I676="","",'全量明细'!I676)</x:f>
        <x:v>0.6681999999999999</x:v>
      </x:c>
      <x:c r="N76" s="14" t="n">
        <x:f>IF('全量明细'!J676="","",'全量明细'!J676)</x:f>
        <x:v>-6.749999999999989</x:v>
      </x:c>
      <x:c r="O76" s="14" t="n">
        <x:f>IF(AND(ISNUMBER(C76),ISNUMBER(I76)),(I76-C76)*100,"")</x:f>
        <x:v>8.39474</x:v>
      </x:c>
      <x:c r="P76" s="17" t="str"/>
    </x:row>
    <x:row r="77" ht="25" customHeight="1">
      <x:c r="A77" s="2" t="str">
        <x:v>坦克斯</x:v>
      </x:c>
      <x:c r="B77" s="2" t="str">
        <x:v>切肉刀</x:v>
      </x:c>
      <x:c r="C77" s="28" t="n">
        <x:f>IF('全量明细'!E173="","",'全量明细'!E173)</x:f>
        <x:v>0.58810882</x:v>
      </x:c>
      <x:c r="D77" s="12" t="n">
        <x:f>IF('全量明细'!F173="","",'全量明细'!F173)</x:f>
        <x:v>4640</x:v>
      </x:c>
      <x:c r="E77" s="11" t="n">
        <x:f>IF('全量明细'!G173="","",'全量明细'!G173)</x:f>
        <x:v>0.6053999999999999</x:v>
      </x:c>
      <x:c r="F77" s="11" t="n">
        <x:f>IF('全量明细'!H173="","",'全量明细'!H173)</x:f>
        <x:v>0.5756</x:v>
      </x:c>
      <x:c r="G77" s="11" t="n">
        <x:f>IF('全量明细'!I173="","",'全量明细'!I173)</x:f>
        <x:v>0.6073</x:v>
      </x:c>
      <x:c r="H77" s="14" t="n">
        <x:f>IF('全量明细'!J173="","",'全量明细'!J173)</x:f>
        <x:v>-3.169999999999995</x:v>
      </x:c>
      <x:c r="I77" s="28" t="n">
        <x:f>IF('全量明细'!E672="","",'全量明细'!E672)</x:f>
        <x:v>0.6642080000000001</x:v>
      </x:c>
      <x:c r="J77" s="12" t="n">
        <x:f>IF('全量明细'!F672="","",'全量明细'!F672)</x:f>
        <x:v>3201</x:v>
      </x:c>
      <x:c r="K77" s="11" t="n">
        <x:f>IF('全量明细'!G672="","",'全量明细'!G672)</x:f>
        <x:v>0.5576</x:v>
      </x:c>
      <x:c r="L77" s="11" t="n">
        <x:f>IF('全量明细'!H672="","",'全量明细'!H672)</x:f>
        <x:v>0.6443000000000001</x:v>
      </x:c>
      <x:c r="M77" s="11" t="n">
        <x:f>IF('全量明细'!I672="","",'全量明细'!I672)</x:f>
        <x:v>0.6893</x:v>
      </x:c>
      <x:c r="N77" s="14" t="n">
        <x:f>IF('全量明细'!J672="","",'全量明细'!J672)</x:f>
        <x:v>-4.499999999999993</x:v>
      </x:c>
      <x:c r="O77" s="14" t="n">
        <x:f>IF(AND(ISNUMBER(C77),ISNUMBER(I77)),(I77-C77)*100,"")</x:f>
        <x:v>7.6099180000000155</x:v>
      </x:c>
      <x:c r="P77" s="17" t="str"/>
    </x:row>
    <x:row r="78" ht="25" customHeight="1">
      <x:c r="A78" s="2" t="str">
        <x:v>坦克斯</x:v>
      </x:c>
      <x:c r="B78" s="2" t="str">
        <x:v>三刃回旋镖</x:v>
      </x:c>
      <x:c r="C78" s="28" t="n">
        <x:f>IF('全量明细'!E176="","",'全量明细'!E176)</x:f>
        <x:v>0.57221696</x:v>
      </x:c>
      <x:c r="D78" s="12" t="n">
        <x:f>IF('全量明细'!F176="","",'全量明细'!F176)</x:f>
        <x:v>4369</x:v>
      </x:c>
      <x:c r="E78" s="11" t="n">
        <x:f>IF('全量明细'!G176="","",'全量明细'!G176)</x:f>
        <x:v>0.1744</x:v>
      </x:c>
      <x:c r="F78" s="11" t="n">
        <x:f>IF('全量明细'!H176="","",'全量明细'!H176)</x:f>
        <x:v>0.542</x:v>
      </x:c>
      <x:c r="G78" s="11" t="n">
        <x:f>IF('全量明细'!I176="","",'全量明细'!I176)</x:f>
        <x:v>0.5786</x:v>
      </x:c>
      <x:c r="H78" s="14" t="n">
        <x:f>IF('全量明细'!J176="","",'全量明细'!J176)</x:f>
        <x:v>-3.6599999999999966</x:v>
      </x:c>
      <x:c r="I78" s="28" t="n">
        <x:f>IF('全量明细'!E677="","",'全量明细'!E677)</x:f>
        <x:v>0.64964525</x:v>
      </x:c>
      <x:c r="J78" s="12" t="n">
        <x:f>IF('全量明细'!F677="","",'全量明细'!F677)</x:f>
        <x:v>3074</x:v>
      </x:c>
      <x:c r="K78" s="11" t="n">
        <x:f>IF('全量明细'!G677="","",'全量明细'!G677)</x:f>
        <x:v>0.1025</x:v>
      </x:c>
      <x:c r="L78" s="11" t="n">
        <x:f>IF('全量明细'!H677="","",'全量明细'!H677)</x:f>
        <x:v>0.5905</x:v>
      </x:c>
      <x:c r="M78" s="11" t="n">
        <x:f>IF('全量明细'!I677="","",'全量明细'!I677)</x:f>
        <x:v>0.6564</x:v>
      </x:c>
      <x:c r="N78" s="14" t="n">
        <x:f>IF('全量明细'!J677="","",'全量明细'!J677)</x:f>
        <x:v>-6.589999999999996</x:v>
      </x:c>
      <x:c r="O78" s="14" t="n">
        <x:f>IF(AND(ISNUMBER(C78),ISNUMBER(I78)),(I78-C78)*100,"")</x:f>
        <x:v>7.742828999999995</x:v>
      </x:c>
      <x:c r="P78" s="17" t="str"/>
    </x:row>
    <x:row r="79" ht="25" customHeight="1">
      <x:c r="A79" s="2" t="str">
        <x:v>坦克斯</x:v>
      </x:c>
      <x:c r="B79" s="2" t="str">
        <x:v>十字弓</x:v>
      </x:c>
      <x:c r="C79" s="28" t="n">
        <x:f>IF('全量明细'!E175="","",'全量明细'!E175)</x:f>
        <x:v>0.5790240000000001</x:v>
      </x:c>
      <x:c r="D79" s="12" t="n">
        <x:f>IF('全量明细'!F175="","",'全量明细'!F175)</x:f>
        <x:v>4492</x:v>
      </x:c>
      <x:c r="E79" s="11" t="n">
        <x:f>IF('全量明细'!G175="","",'全量明细'!G175)</x:f>
        <x:v>0.13</x:v>
      </x:c>
      <x:c r="F79" s="11" t="n">
        <x:f>IF('全量明细'!H175="","",'全量明细'!H175)</x:f>
        <x:v>0.5223</x:v>
      </x:c>
      <x:c r="G79" s="11" t="n">
        <x:f>IF('全量明细'!I175="","",'全量明细'!I175)</x:f>
        <x:v>0.5875</x:v>
      </x:c>
      <x:c r="H79" s="14" t="n">
        <x:f>IF('全量明细'!J175="","",'全量明细'!J175)</x:f>
        <x:v>-6.520000000000003</x:v>
      </x:c>
      <x:c r="I79" s="28" t="n">
        <x:f>IF('全量明细'!E670="","",'全量明细'!E670)</x:f>
        <x:v>0.6836615500000001</x:v>
      </x:c>
      <x:c r="J79" s="12" t="n">
        <x:f>IF('全量明细'!F670="","",'全量明细'!F670)</x:f>
        <x:v>3117</x:v>
      </x:c>
      <x:c r="K79" s="11" t="n">
        <x:f>IF('全量明细'!G670="","",'全量明细'!G670)</x:f>
        <x:v>0.09949999999999999</x:v>
      </x:c>
      <x:c r="L79" s="11" t="n">
        <x:f>IF('全量明细'!H670="","",'全量明细'!H670)</x:f>
        <x:v>0.5548</x:v>
      </x:c>
      <x:c r="M79" s="11" t="n">
        <x:f>IF('全量明细'!I670="","",'全量明细'!I670)</x:f>
        <x:v>0.6979000000000001</x:v>
      </x:c>
      <x:c r="N79" s="14" t="n">
        <x:f>IF('全量明细'!J670="","",'全量明细'!J670)</x:f>
        <x:v>-14.310000000000011</x:v>
      </x:c>
      <x:c r="O79" s="14" t="n">
        <x:f>IF(AND(ISNUMBER(C79),ISNUMBER(I79)),(I79-C79)*100,"")</x:f>
        <x:v>10.463754999999997</x:v>
      </x:c>
      <x:c r="P79" s="17" t="str"/>
    </x:row>
    <x:row r="80" ht="25" customHeight="1">
      <x:c r="A80" s="2" t="str">
        <x:v>坦克斯</x:v>
      </x:c>
      <x:c r="B80" s="2" t="str">
        <x:v>坦克斯的哨子</x:v>
      </x:c>
      <x:c r="C80" s="28" t="n">
        <x:f>IF('全量明细'!E178="","",'全量明细'!E178)</x:f>
        <x:v>0.5658989</x:v>
      </x:c>
      <x:c r="D80" s="12" t="n">
        <x:f>IF('全量明细'!F178="","",'全量明细'!F178)</x:f>
        <x:v>4566</x:v>
      </x:c>
      <x:c r="E80" s="11" t="n">
        <x:f>IF('全量明细'!G178="","",'全量明细'!G178)</x:f>
        <x:v>0.17350000000000002</x:v>
      </x:c>
      <x:c r="F80" s="11" t="n">
        <x:f>IF('全量明细'!H178="","",'全量明细'!H178)</x:f>
        <x:v>0.48109999999999997</x:v>
      </x:c>
      <x:c r="G80" s="11" t="n">
        <x:f>IF('全量明细'!I178="","",'全量明细'!I178)</x:f>
        <x:v>0.5837</x:v>
      </x:c>
      <x:c r="H80" s="14" t="n">
        <x:f>IF('全量明细'!J178="","",'全量明细'!J178)</x:f>
        <x:v>-10.260000000000002</x:v>
      </x:c>
      <x:c r="I80" s="28" t="n">
        <x:f>IF('全量明细'!E671="","",'全量明细'!E671)</x:f>
        <x:v>0.6822238</x:v>
      </x:c>
      <x:c r="J80" s="12" t="n">
        <x:f>IF('全量明细'!F671="","",'全量明细'!F671)</x:f>
        <x:v>3112</x:v>
      </x:c>
      <x:c r="K80" s="11" t="n">
        <x:f>IF('全量明细'!G671="","",'全量明细'!G671)</x:f>
        <x:v>0.25670000000000004</x:v>
      </x:c>
      <x:c r="L80" s="11" t="n">
        <x:f>IF('全量明细'!H671="","",'全量明细'!H671)</x:f>
        <x:v>0.6183</x:v>
      </x:c>
      <x:c r="M80" s="11" t="n">
        <x:f>IF('全量明细'!I671="","",'全量明细'!I671)</x:f>
        <x:v>0.7043</x:v>
      </x:c>
      <x:c r="N80" s="14" t="n">
        <x:f>IF('全量明细'!J671="","",'全量明细'!J671)</x:f>
        <x:v>-8.600000000000009</x:v>
      </x:c>
      <x:c r="O80" s="14" t="n">
        <x:f>IF(AND(ISNUMBER(C80),ISNUMBER(I80)),(I80-C80)*100,"")</x:f>
        <x:v>11.632490000000006</x:v>
      </x:c>
      <x:c r="P80" s="17" t="str"/>
    </x:row>
    <x:row r="81" ht="25" customHeight="1">
      <x:c r="A81" s="2" t="str">
        <x:v>坦克斯</x:v>
      </x:c>
      <x:c r="B81" s="2" t="str">
        <x:v>铁棒</x:v>
      </x:c>
      <x:c r="C81" s="28" t="n">
        <x:f>IF('全量明细'!E171="","",'全量明细'!E171)</x:f>
        <x:v>0.63822946</x:v>
      </x:c>
      <x:c r="D81" s="12" t="n">
        <x:f>IF('全量明细'!F171="","",'全量明细'!F171)</x:f>
        <x:v>4652</x:v>
      </x:c>
      <x:c r="E81" s="11" t="n">
        <x:f>IF('全量明细'!G171="","",'全量明细'!G171)</x:f>
        <x:v>0.6294</x:v>
      </x:c>
      <x:c r="F81" s="11" t="n">
        <x:f>IF('全量明细'!H171="","",'全量明细'!H171)</x:f>
        <x:v>0.6923</x:v>
      </x:c>
      <x:c r="G81" s="11" t="n">
        <x:f>IF('全量明细'!I171="","",'全量明细'!I171)</x:f>
        <x:v>0.5464</x:v>
      </x:c>
      <x:c r="H81" s="14" t="n">
        <x:f>IF('全量明细'!J171="","",'全量明细'!J171)</x:f>
        <x:v>14.590000000000003</x:v>
      </x:c>
      <x:c r="I81" s="28" t="n">
        <x:f>IF('全量明细'!E669="","",'全量明细'!E669)</x:f>
        <x:v>0.7121562799999999</x:v>
      </x:c>
      <x:c r="J81" s="12" t="n">
        <x:f>IF('全量明细'!F669="","",'全量明细'!F669)</x:f>
        <x:v>3252</x:v>
      </x:c>
      <x:c r="K81" s="11" t="n">
        <x:f>IF('全量明细'!G669="","",'全量明细'!G669)</x:f>
        <x:v>0.6036</x:v>
      </x:c>
      <x:c r="L81" s="11" t="n">
        <x:f>IF('全量明细'!H669="","",'全量明细'!H669)</x:f>
        <x:v>0.7646</x:v>
      </x:c>
      <x:c r="M81" s="11" t="n">
        <x:f>IF('全量明细'!I669="","",'全量明细'!I669)</x:f>
        <x:v>0.6323</x:v>
      </x:c>
      <x:c r="N81" s="14" t="n">
        <x:f>IF('全量明细'!J669="","",'全量明细'!J669)</x:f>
        <x:v>13.229999999999997</x:v>
      </x:c>
      <x:c r="O81" s="14" t="n">
        <x:f>IF(AND(ISNUMBER(C81),ISNUMBER(I81)),(I81-C81)*100,"")</x:f>
        <x:v>7.392681999999984</x:v>
      </x:c>
      <x:c r="P81" s="17" t="str"/>
    </x:row>
    <x:row r="82" ht="25" customHeight="1">
      <x:c r="A82" s="2" t="str">
        <x:v>坦克斯</x:v>
      </x:c>
      <x:c r="B82" s="2" t="str">
        <x:v>投斧</x:v>
      </x:c>
      <x:c r="C82" s="28" t="n">
        <x:f>IF('全量明细'!E174="","",'全量明细'!E174)</x:f>
        <x:v>0.5808724999999999</x:v>
      </x:c>
      <x:c r="D82" s="12" t="n">
        <x:f>IF('全量明细'!F174="","",'全量明细'!F174)</x:f>
        <x:v>4550</x:v>
      </x:c>
      <x:c r="E82" s="11" t="n">
        <x:f>IF('全量明细'!G174="","",'全量明细'!G174)</x:f>
        <x:v>0.5222</x:v>
      </x:c>
      <x:c r="F82" s="11" t="n">
        <x:f>IF('全量明细'!H174="","",'全量明细'!H174)</x:f>
        <x:v>0.5749</x:v>
      </x:c>
      <x:c r="G82" s="11" t="n">
        <x:f>IF('全量明细'!I174="","",'全量明细'!I174)</x:f>
        <x:v>0.5874</x:v>
      </x:c>
      <x:c r="H82" s="14" t="n">
        <x:f>IF('全量明细'!J174="","",'全量明细'!J174)</x:f>
        <x:v>-1.2500000000000067</x:v>
      </x:c>
      <x:c r="I82" s="28" t="n">
        <x:f>IF('全量明细'!E673="","",'全量明细'!E673)</x:f>
        <x:v>0.6617285700000001</x:v>
      </x:c>
      <x:c r="J82" s="12" t="n">
        <x:f>IF('全量明细'!F673="","",'全量明细'!F673)</x:f>
        <x:v>3166</x:v>
      </x:c>
      <x:c r="K82" s="11" t="n">
        <x:f>IF('全量明细'!G673="","",'全量明细'!G673)</x:f>
        <x:v>0.5313</x:v>
      </x:c>
      <x:c r="L82" s="11" t="n">
        <x:f>IF('全量明细'!H673="","",'全量明细'!H673)</x:f>
        <x:v>0.6659</x:v>
      </x:c>
      <x:c r="M82" s="11" t="n">
        <x:f>IF('全量明细'!I673="","",'全量明细'!I673)</x:f>
        <x:v>0.657</x:v>
      </x:c>
      <x:c r="N82" s="14" t="n">
        <x:f>IF('全量明细'!J673="","",'全量明细'!J673)</x:f>
        <x:v>0.8900000000000019</x:v>
      </x:c>
      <x:c r="O82" s="14" t="n">
        <x:f>IF(AND(ISNUMBER(C82),ISNUMBER(I82)),(I82-C82)*100,"")</x:f>
        <x:v>8.085607000000017</x:v>
      </x:c>
      <x:c r="P82" s="17" t="str"/>
    </x:row>
    <x:row r="83" ht="25" customHeight="1">
      <x:c r="A83" s="2" t="str">
        <x:v>坦克斯</x:v>
      </x:c>
      <x:c r="B83" s="2" t="str">
        <x:v>战锤</x:v>
      </x:c>
      <x:c r="C83" s="28" t="n">
        <x:f>IF('全量明细'!E179="","",'全量明细'!E179)</x:f>
        <x:v>0.55126558</x:v>
      </x:c>
      <x:c r="D83" s="12" t="n">
        <x:f>IF('全量明细'!F179="","",'全量明细'!F179)</x:f>
        <x:v>4566</x:v>
      </x:c>
      <x:c r="E83" s="11" t="n">
        <x:f>IF('全量明细'!G179="","",'全量明细'!G179)</x:f>
        <x:v>0.2554</x:v>
      </x:c>
      <x:c r="F83" s="11" t="n">
        <x:f>IF('全量明细'!H179="","",'全量明细'!H179)</x:f>
        <x:v>0.5085999999999999</x:v>
      </x:c>
      <x:c r="G83" s="11" t="n">
        <x:f>IF('全量明细'!I179="","",'全量明细'!I179)</x:f>
        <x:v>0.5659000000000001</x:v>
      </x:c>
      <x:c r="H83" s="14" t="n">
        <x:f>IF('全量明细'!J179="","",'全量明细'!J179)</x:f>
        <x:v>-5.730000000000013</x:v>
      </x:c>
      <x:c r="I83" s="28" t="n">
        <x:f>IF('全量明细'!E675="","",'全量明细'!E675)</x:f>
        <x:v>0.6592647599999999</x:v>
      </x:c>
      <x:c r="J83" s="12" t="n">
        <x:f>IF('全量明细'!F675="","",'全量明细'!F675)</x:f>
        <x:v>3184</x:v>
      </x:c>
      <x:c r="K83" s="11" t="n">
        <x:f>IF('全量明细'!G675="","",'全量明细'!G675)</x:f>
        <x:v>0.2754</x:v>
      </x:c>
      <x:c r="L83" s="11" t="n">
        <x:f>IF('全量明细'!H675="","",'全量明细'!H675)</x:f>
        <x:v>0.6225999999999999</x:v>
      </x:c>
      <x:c r="M83" s="11" t="n">
        <x:f>IF('全量明细'!I675="","",'全量明细'!I675)</x:f>
        <x:v>0.6731999999999999</x:v>
      </x:c>
      <x:c r="N83" s="14" t="n">
        <x:f>IF('全量明细'!J675="","",'全量明细'!J675)</x:f>
        <x:v>-5.059999999999998</x:v>
      </x:c>
      <x:c r="O83" s="14" t="n">
        <x:f>IF(AND(ISNUMBER(C83),ISNUMBER(I83)),(I83-C83)*100,"")</x:f>
        <x:v>10.799917999999986</x:v>
      </x:c>
      <x:c r="P83" s="17" t="str"/>
    </x:row>
    <x:row r="84" ht="25" customHeight="1">
      <x:c r="A84" s="20" t="str">
        <x:v>瓦库</x:v>
      </x:c>
      <x:c r="B84" s="20" t="str">
        <x:v>宝石面具</x:v>
      </x:c>
      <x:c r="C84" s="27" t="n">
        <x:f>IF('全量明细'!E181="","",'全量明细'!E181)</x:f>
        <x:v>0.5368063700000001</x:v>
      </x:c>
      <x:c r="D84" s="23" t="n">
        <x:f>IF('全量明细'!F181="","",'全量明细'!F181)</x:f>
        <x:v>3707</x:v>
      </x:c>
      <x:c r="E84" s="22" t="n">
        <x:f>IF('全量明细'!G181="","",'全量明细'!G181)</x:f>
        <x:v>0.7141</x:v>
      </x:c>
      <x:c r="F84" s="22" t="n">
        <x:f>IF('全量明细'!H181="","",'全量明细'!H181)</x:f>
        <x:v>0.527</x:v>
      </x:c>
      <x:c r="G84" s="22" t="n">
        <x:f>IF('全量明细'!I181="","",'全量明细'!I181)</x:f>
        <x:v>0.5613</x:v>
      </x:c>
      <x:c r="H84" s="24" t="n">
        <x:f>IF('全量明细'!J181="","",'全量明细'!J181)</x:f>
        <x:v>-3.4299999999999997</x:v>
      </x:c>
      <x:c r="I84" s="27" t="n">
        <x:f>IF('全量明细'!E680="","",'全量明细'!E680)</x:f>
        <x:v>0.62960189</x:v>
      </x:c>
      <x:c r="J84" s="23" t="n">
        <x:f>IF('全量明细'!F680="","",'全量明细'!F680)</x:f>
        <x:v>2562</x:v>
      </x:c>
      <x:c r="K84" s="22" t="n">
        <x:f>IF('全量明细'!G680="","",'全量明细'!G680)</x:f>
        <x:v>0.7201000000000001</x:v>
      </x:c>
      <x:c r="L84" s="22" t="n">
        <x:f>IF('全量明细'!H680="","",'全量明细'!H680)</x:f>
        <x:v>0.6125</x:v>
      </x:c>
      <x:c r="M84" s="22" t="n">
        <x:f>IF('全量明细'!I680="","",'全量明细'!I680)</x:f>
        <x:v>0.6736</x:v>
      </x:c>
      <x:c r="N84" s="24" t="n">
        <x:f>IF('全量明细'!J680="","",'全量明细'!J680)</x:f>
        <x:v>-6.109999999999993</x:v>
      </x:c>
      <x:c r="O84" s="24" t="n">
        <x:f>IF(AND(ISNUMBER(C84),ISNUMBER(I84)),(I84-C84)*100,"")</x:f>
        <x:v>9.279551999999992</x:v>
      </x:c>
      <x:c r="P84" s="31" t="str"/>
    </x:row>
    <x:row r="85" ht="25" customHeight="1">
      <x:c r="A85" s="2" t="str">
        <x:v>瓦库</x:v>
      </x:c>
      <x:c r="B85" s="2" t="str">
        <x:v>低语耳环</x:v>
      </x:c>
      <x:c r="C85" s="28" t="n">
        <x:f>IF('全量明细'!E188="","",'全量明细'!E188)</x:f>
        <x:v>0.49779668000000005</x:v>
      </x:c>
      <x:c r="D85" s="12" t="n">
        <x:f>IF('全量明细'!F188="","",'全量明细'!F188)</x:f>
        <x:v>5024</x:v>
      </x:c>
      <x:c r="E85" s="11" t="n">
        <x:f>IF('全量明细'!G188="","",'全量明细'!G188)</x:f>
        <x:v>0.11539999999999999</x:v>
      </x:c>
      <x:c r="F85" s="11" t="n">
        <x:f>IF('全量明细'!H188="","",'全量明细'!H188)</x:f>
        <x:v>0.3069</x:v>
      </x:c>
      <x:c r="G85" s="11" t="n">
        <x:f>IF('全量明细'!I188="","",'全量明细'!I188)</x:f>
        <x:v>0.5227</x:v>
      </x:c>
      <x:c r="H85" s="14" t="n">
        <x:f>IF('全量明细'!J188="","",'全量明细'!J188)</x:f>
        <x:v>-21.580000000000005</x:v>
      </x:c>
      <x:c r="I85" s="28" t="n">
        <x:f>IF('全量明细'!E685="","",'全量明细'!E685)</x:f>
        <x:v>0.59295656</x:v>
      </x:c>
      <x:c r="J85" s="12" t="n">
        <x:f>IF('全量明细'!F685="","",'全量明细'!F685)</x:f>
        <x:v>3331</x:v>
      </x:c>
      <x:c r="K85" s="11" t="n">
        <x:f>IF('全量明细'!G685="","",'全量明细'!G685)</x:f>
        <x:v>0.13419999999999999</x:v>
      </x:c>
      <x:c r="L85" s="11" t="n">
        <x:f>IF('全量明细'!H685="","",'全量明细'!H685)</x:f>
        <x:v>0.44299999999999995</x:v>
      </x:c>
      <x:c r="M85" s="11" t="n">
        <x:f>IF('全量明细'!I685="","",'全量明细'!I685)</x:f>
        <x:v>0.6162</x:v>
      </x:c>
      <x:c r="N85" s="14" t="n">
        <x:f>IF('全量明细'!J685="","",'全量明细'!J685)</x:f>
        <x:v>-17.32</x:v>
      </x:c>
      <x:c r="O85" s="14" t="n">
        <x:f>IF(AND(ISNUMBER(C85),ISNUMBER(I85)),(I85-C85)*100,"")</x:f>
        <x:v>9.515987999999991</x:v>
      </x:c>
      <x:c r="P85" s="17" t="str"/>
    </x:row>
    <x:row r="86" ht="25" customHeight="1">
      <x:c r="A86" s="2" t="str">
        <x:v>瓦库</x:v>
      </x:c>
      <x:c r="B86" s="2" t="str">
        <x:v>领主阳伞</x:v>
      </x:c>
      <x:c r="C86" s="28" t="n">
        <x:f>IF('全量明细'!E190="","",'全量明细'!E190)</x:f>
        <x:v>0.48773247999999997</x:v>
      </x:c>
      <x:c r="D86" s="12" t="n">
        <x:f>IF('全量明细'!F190="","",'全量明细'!F190)</x:f>
        <x:v>3764</x:v>
      </x:c>
      <x:c r="E86" s="11" t="n">
        <x:f>IF('全量明细'!G190="","",'全量明细'!G190)</x:f>
        <x:v>0.15039999999999998</x:v>
      </x:c>
      <x:c r="F86" s="11" t="n">
        <x:f>IF('全量明细'!H190="","",'全量明细'!H190)</x:f>
        <x:v>0.4399</x:v>
      </x:c>
      <x:c r="G86" s="11" t="n">
        <x:f>IF('全量明细'!I190="","",'全量明细'!I190)</x:f>
        <x:v>0.4962</x:v>
      </x:c>
      <x:c r="H86" s="14" t="n">
        <x:f>IF('全量明细'!J190="","",'全量明细'!J190)</x:f>
        <x:v>-5.629999999999996</x:v>
      </x:c>
      <x:c r="I86" s="28" t="n">
        <x:f>IF('全量明细'!E687="","",'全量明细'!E687)</x:f>
        <x:v>0.5912685799999999</x:v>
      </x:c>
      <x:c r="J86" s="12" t="n">
        <x:f>IF('全量明细'!F687="","",'全量明细'!F687)</x:f>
        <x:v>2537</x:v>
      </x:c>
      <x:c r="K86" s="11" t="n">
        <x:f>IF('全量明细'!G687="","",'全量明细'!G687)</x:f>
        <x:v>0.1281</x:v>
      </x:c>
      <x:c r="L86" s="11" t="n">
        <x:f>IF('全量明细'!H687="","",'全量明细'!H687)</x:f>
        <x:v>0.5754</x:v>
      </x:c>
      <x:c r="M86" s="11" t="n">
        <x:f>IF('全量明细'!I687="","",'全量明细'!I687)</x:f>
        <x:v>0.5936</x:v>
      </x:c>
      <x:c r="N86" s="14" t="n">
        <x:f>IF('全量明细'!J687="","",'全量明细'!J687)</x:f>
        <x:v>-1.8199999999999994</x:v>
      </x:c>
      <x:c r="O86" s="14" t="n">
        <x:f>IF(AND(ISNUMBER(C86),ISNUMBER(I86)),(I86-C86)*100,"")</x:f>
        <x:v>10.353609999999996</x:v>
      </x:c>
      <x:c r="P86" s="17" t="str"/>
    </x:row>
    <x:row r="87" ht="25" customHeight="1">
      <x:c r="A87" s="2" t="str">
        <x:v>瓦库</x:v>
      </x:c>
      <x:c r="B87" s="2" t="str">
        <x:v>小提琴</x:v>
      </x:c>
      <x:c r="C87" s="28" t="n">
        <x:f>IF('全量明细'!E183="","",'全量明细'!E183)</x:f>
        <x:v>0.52960376</x:v>
      </x:c>
      <x:c r="D87" s="12" t="n">
        <x:f>IF('全量明细'!F183="","",'全量明细'!F183)</x:f>
        <x:v>4975</x:v>
      </x:c>
      <x:c r="E87" s="11" t="n">
        <x:f>IF('全量明细'!G183="","",'全量明细'!G183)</x:f>
        <x:v>0.1174</x:v>
      </x:c>
      <x:c r="F87" s="11" t="n">
        <x:f>IF('全量明细'!H183="","",'全量明细'!H183)</x:f>
        <x:v>0.5582</x:v>
      </x:c>
      <x:c r="G87" s="11" t="n">
        <x:f>IF('全量明细'!I183="","",'全量明细'!I183)</x:f>
        <x:v>0.5257999999999999</x:v>
      </x:c>
      <x:c r="H87" s="14" t="n">
        <x:f>IF('全量明细'!J183="","",'全量明细'!J183)</x:f>
        <x:v>3.2400000000000095</x:v>
      </x:c>
      <x:c r="I87" s="28" t="n">
        <x:f>IF('全量明细'!E678="","",'全量明细'!E678)</x:f>
        <x:v>0.63669504</x:v>
      </x:c>
      <x:c r="J87" s="12" t="n">
        <x:f>IF('全量明细'!F678="","",'全量明细'!F678)</x:f>
        <x:v>3523</x:v>
      </x:c>
      <x:c r="K87" s="11" t="n">
        <x:f>IF('全量明细'!G678="","",'全量明细'!G678)</x:f>
        <x:v>0.1859</x:v>
      </x:c>
      <x:c r="L87" s="11" t="n">
        <x:f>IF('全量明细'!H678="","",'全量明细'!H678)</x:f>
        <x:v>0.6901</x:v>
      </x:c>
      <x:c r="M87" s="11" t="n">
        <x:f>IF('全量明细'!I678="","",'全量明细'!I678)</x:f>
        <x:v>0.6245</x:v>
      </x:c>
      <x:c r="N87" s="14" t="n">
        <x:f>IF('全量明细'!J678="","",'全量明细'!J678)</x:f>
        <x:v>6.559999999999999</x:v>
      </x:c>
      <x:c r="O87" s="14" t="n">
        <x:f>IF(AND(ISNUMBER(C87),ISNUMBER(I87)),(I87-C87)*100,"")</x:f>
        <x:v>10.709128000000002</x:v>
      </x:c>
      <x:c r="P87" s="17" t="str"/>
    </x:row>
    <x:row r="88" ht="25" customHeight="1">
      <x:c r="A88" s="2" t="str">
        <x:v>瓦库</x:v>
      </x:c>
      <x:c r="B88" s="2" t="str">
        <x:v>选择悖论</x:v>
      </x:c>
      <x:c r="C88" s="28" t="n">
        <x:f>IF('全量明细'!E187="","",'全量明细'!E187)</x:f>
        <x:v>0.50368819</x:v>
      </x:c>
      <x:c r="D88" s="12" t="n">
        <x:f>IF('全量明细'!F187="","",'全量明细'!F187)</x:f>
        <x:v>3814</x:v>
      </x:c>
      <x:c r="E88" s="11" t="n">
        <x:f>IF('全量明细'!G187="","",'全量明细'!G187)</x:f>
        <x:v>0.4169</x:v>
      </x:c>
      <x:c r="F88" s="11" t="n">
        <x:f>IF('全量明细'!H187="","",'全量明细'!H187)</x:f>
        <x:v>0.495</x:v>
      </x:c>
      <x:c r="G88" s="11" t="n">
        <x:f>IF('全量明细'!I187="","",'全量明细'!I187)</x:f>
        <x:v>0.5099</x:v>
      </x:c>
      <x:c r="H88" s="14" t="n">
        <x:f>IF('全量明细'!J187="","",'全量明细'!J187)</x:f>
        <x:v>-1.4900000000000024</x:v>
      </x:c>
      <x:c r="I88" s="28" t="n">
        <x:f>IF('全量明细'!E684="","",'全量明细'!E684)</x:f>
        <x:v>0.6035142</x:v>
      </x:c>
      <x:c r="J88" s="12" t="n">
        <x:f>IF('全量明细'!F684="","",'全量明细'!F684)</x:f>
        <x:v>2560</x:v>
      </x:c>
      <x:c r="K88" s="11" t="n">
        <x:f>IF('全量明细'!G684="","",'全量明细'!G684)</x:f>
        <x:v>0.38909999999999995</x:v>
      </x:c>
      <x:c r="L88" s="11" t="n">
        <x:f>IF('全量明细'!H684="","",'全量明细'!H684)</x:f>
        <x:v>0.5803</x:v>
      </x:c>
      <x:c r="M88" s="11" t="n">
        <x:f>IF('全量明细'!I684="","",'全量明细'!I684)</x:f>
        <x:v>0.6183</x:v>
      </x:c>
      <x:c r="N88" s="14" t="n">
        <x:f>IF('全量明细'!J684="","",'全量明细'!J684)</x:f>
        <x:v>-3.7999999999999923</x:v>
      </x:c>
      <x:c r="O88" s="14" t="n">
        <x:f>IF(AND(ISNUMBER(C88),ISNUMBER(I88)),(I88-C88)*100,"")</x:f>
        <x:v>9.982601000000003</x:v>
      </x:c>
      <x:c r="P88" s="17" t="str"/>
    </x:row>
    <x:row r="89" ht="25" customHeight="1">
      <x:c r="A89" s="2" t="str">
        <x:v>瓦库</x:v>
      </x:c>
      <x:c r="B89" s="2" t="str">
        <x:v>血染玫瑰</x:v>
      </x:c>
      <x:c r="C89" s="28" t="n">
        <x:f>IF('全量明细'!E186="","",'全量明细'!E186)</x:f>
        <x:v>0.51524919</x:v>
      </x:c>
      <x:c r="D89" s="12" t="n">
        <x:f>IF('全量明细'!F186="","",'全量明细'!F186)</x:f>
        <x:v>4961</x:v>
      </x:c>
      <x:c r="E89" s="11" t="n">
        <x:f>IF('全量明细'!G186="","",'全量明细'!G186)</x:f>
        <x:v>0.17129999999999998</x:v>
      </x:c>
      <x:c r="F89" s="11" t="n">
        <x:f>IF('全量明细'!H186="","",'全量明细'!H186)</x:f>
        <x:v>0.4376</x:v>
      </x:c>
      <x:c r="G89" s="11" t="n">
        <x:f>IF('全量明细'!I186="","",'全量明细'!I186)</x:f>
        <x:v>0.5313</x:v>
      </x:c>
      <x:c r="H89" s="14" t="n">
        <x:f>IF('全量明细'!J186="","",'全量明细'!J186)</x:f>
        <x:v>-9.370000000000001</x:v>
      </x:c>
      <x:c r="I89" s="28" t="n">
        <x:f>IF('全量明细'!E683="","",'全量明细'!E683)</x:f>
        <x:v>0.6089107</x:v>
      </x:c>
      <x:c r="J89" s="12" t="n">
        <x:f>IF('全量明细'!F683="","",'全量明细'!F683)</x:f>
        <x:v>3370</x:v>
      </x:c>
      <x:c r="K89" s="11" t="n">
        <x:f>IF('全量明细'!G683="","",'全量明细'!G683)</x:f>
        <x:v>0.19140000000000001</x:v>
      </x:c>
      <x:c r="L89" s="11" t="n">
        <x:f>IF('全量明细'!H683="","",'全量明细'!H683)</x:f>
        <x:v>0.5891</x:v>
      </x:c>
      <x:c r="M89" s="11" t="n">
        <x:f>IF('全量明细'!I683="","",'全量明细'!I683)</x:f>
        <x:v>0.6136</x:v>
      </x:c>
      <x:c r="N89" s="14" t="n">
        <x:f>IF('全量明细'!J683="","",'全量明细'!J683)</x:f>
        <x:v>-2.4500000000000077</x:v>
      </x:c>
      <x:c r="O89" s="14" t="n">
        <x:f>IF(AND(ISNUMBER(C89),ISNUMBER(I89)),(I89-C89)*100,"")</x:f>
        <x:v>9.366151</x:v>
      </x:c>
      <x:c r="P89" s="17" t="str"/>
    </x:row>
    <x:row r="90" ht="25" customHeight="1">
      <x:c r="A90" s="2" t="str">
        <x:v>瓦库</x:v>
      </x:c>
      <x:c r="B90" s="2" t="str">
        <x:v>腌制活雾</x:v>
      </x:c>
      <x:c r="C90" s="28" t="n">
        <x:f>IF('全量明细'!E185="","",'全量明细'!E185)</x:f>
        <x:v>0.52256201</x:v>
      </x:c>
      <x:c r="D90" s="12" t="n">
        <x:f>IF('全量明细'!F185="","",'全量明细'!F185)</x:f>
        <x:v>4962</x:v>
      </x:c>
      <x:c r="E90" s="11" t="n">
        <x:f>IF('全量明细'!G185="","",'全量明细'!G185)</x:f>
        <x:v>0.6453</x:v>
      </x:c>
      <x:c r="F90" s="11" t="n">
        <x:f>IF('全量明细'!H185="","",'全量明细'!H185)</x:f>
        <x:v>0.5409</x:v>
      </x:c>
      <x:c r="G90" s="11" t="n">
        <x:f>IF('全量明细'!I185="","",'全量明细'!I185)</x:f>
        <x:v>0.4892</x:v>
      </x:c>
      <x:c r="H90" s="14" t="n">
        <x:f>IF('全量明细'!J185="","",'全量明细'!J185)</x:f>
        <x:v>5.170000000000003</x:v>
      </x:c>
      <x:c r="I90" s="28" t="n">
        <x:f>IF('全量明细'!E679="","",'全量明细'!E679)</x:f>
        <x:v>0.6339836999999999</x:v>
      </x:c>
      <x:c r="J90" s="12" t="n">
        <x:f>IF('全量明细'!F679="","",'全量明细'!F679)</x:f>
        <x:v>3412</x:v>
      </x:c>
      <x:c r="K90" s="11" t="n">
        <x:f>IF('全量明细'!G679="","",'全量明细'!G679)</x:f>
        <x:v>0.6629999999999999</x:v>
      </x:c>
      <x:c r="L90" s="11" t="n">
        <x:f>IF('全量明细'!H679="","",'全量明细'!H679)</x:f>
        <x:v>0.6507999999999999</x:v>
      </x:c>
      <x:c r="M90" s="11" t="n">
        <x:f>IF('全量明细'!I679="","",'全量明细'!I679)</x:f>
        <x:v>0.6009</x:v>
      </x:c>
      <x:c r="N90" s="14" t="n">
        <x:f>IF('全量明细'!J679="","",'全量明细'!J679)</x:f>
        <x:v>4.989999999999995</x:v>
      </x:c>
      <x:c r="O90" s="14" t="n">
        <x:f>IF(AND(ISNUMBER(C90),ISNUMBER(I90)),(I90-C90)*100,"")</x:f>
        <x:v>11.14216899999999</x:v>
      </x:c>
      <x:c r="P90" s="17" t="str"/>
    </x:row>
    <x:row r="91" ht="25" customHeight="1">
      <x:c r="A91" s="2" t="str">
        <x:v>瓦库</x:v>
      </x:c>
      <x:c r="B91" s="2" t="str">
        <x:v>音乐盒</x:v>
      </x:c>
      <x:c r="C91" s="28" t="n">
        <x:f>IF('全量明细'!E182="","",'全量明细'!E182)</x:f>
        <x:v>0.5319786</x:v>
      </x:c>
      <x:c r="D91" s="12" t="n">
        <x:f>IF('全量明细'!F182="","",'全量明细'!F182)</x:f>
        <x:v>3703</x:v>
      </x:c>
      <x:c r="E91" s="11" t="n">
        <x:f>IF('全量明细'!G182="","",'全量明细'!G182)</x:f>
        <x:v>0.3457</x:v>
      </x:c>
      <x:c r="F91" s="11" t="n">
        <x:f>IF('全量明细'!H182="","",'全量明细'!H182)</x:f>
        <x:v>0.5961</x:v>
      </x:c>
      <x:c r="G91" s="11" t="n">
        <x:f>IF('全量明细'!I182="","",'全量明细'!I182)</x:f>
        <x:v>0.49810000000000004</x:v>
      </x:c>
      <x:c r="H91" s="14" t="n">
        <x:f>IF('全量明细'!J182="","",'全量明细'!J182)</x:f>
        <x:v>9.799999999999992</x:v>
      </x:c>
      <x:c r="I91" s="28" t="n">
        <x:f>IF('全量明细'!E681="","",'全量明细'!E681)</x:f>
        <x:v>0.62815186</x:v>
      </x:c>
      <x:c r="J91" s="12" t="n">
        <x:f>IF('全量明细'!F681="","",'全量明细'!F681)</x:f>
        <x:v>2579</x:v>
      </x:c>
      <x:c r="K91" s="11" t="n">
        <x:f>IF('全量明细'!G681="","",'全量明细'!G681)</x:f>
        <x:v>0.2974</x:v>
      </x:c>
      <x:c r="L91" s="11" t="n">
        <x:f>IF('全量明细'!H681="","",'全量明细'!H681)</x:f>
        <x:v>0.6870999999999999</x:v>
      </x:c>
      <x:c r="M91" s="11" t="n">
        <x:f>IF('全量明细'!I681="","",'全量明细'!I681)</x:f>
        <x:v>0.6032</x:v>
      </x:c>
      <x:c r="N91" s="14" t="n">
        <x:f>IF('全量明细'!J681="","",'全量明细'!J681)</x:f>
        <x:v>8.389999999999997</x:v>
      </x:c>
      <x:c r="O91" s="14" t="n">
        <x:f>IF(AND(ISNUMBER(C91),ISNUMBER(I91)),(I91-C91)*100,"")</x:f>
        <x:v>9.617326000000004</x:v>
      </x:c>
      <x:c r="P91" s="17" t="str"/>
    </x:row>
    <x:row r="92" ht="25" customHeight="1">
      <x:c r="A92" s="2" t="str">
        <x:v>瓦库</x:v>
      </x:c>
      <x:c r="B92" s="2" t="str">
        <x:v>原初之爪</x:v>
      </x:c>
      <x:c r="C92" s="28" t="n">
        <x:f>IF('全量明细'!E189="","",'全量明细'!E189)</x:f>
        <x:v>0.49652355000000004</x:v>
      </x:c>
      <x:c r="D92" s="12" t="n">
        <x:f>IF('全量明细'!F189="","",'全量明细'!F189)</x:f>
        <x:v>4991</x:v>
      </x:c>
      <x:c r="E92" s="11" t="n">
        <x:f>IF('全量明细'!G189="","",'全量明细'!G189)</x:f>
        <x:v>0.1505</x:v>
      </x:c>
      <x:c r="F92" s="11" t="n">
        <x:f>IF('全量明细'!H189="","",'全量明细'!H189)</x:f>
        <x:v>0.4261</x:v>
      </x:c>
      <x:c r="G92" s="11" t="n">
        <x:f>IF('全量明细'!I189="","",'全量明细'!I189)</x:f>
        <x:v>0.509</x:v>
      </x:c>
      <x:c r="H92" s="14" t="n">
        <x:f>IF('全量明细'!J189="","",'全量明细'!J189)</x:f>
        <x:v>-8.290000000000003</x:v>
      </x:c>
      <x:c r="I92" s="28" t="n">
        <x:f>IF('全量明细'!E682="","",'全量明细'!E682)</x:f>
        <x:v>0.61371882</x:v>
      </x:c>
      <x:c r="J92" s="12" t="n">
        <x:f>IF('全量明细'!F682="","",'全量明细'!F682)</x:f>
        <x:v>3376</x:v>
      </x:c>
      <x:c r="K92" s="11" t="n">
        <x:f>IF('全量明细'!G682="","",'全量明细'!G682)</x:f>
        <x:v>0.4698</x:v>
      </x:c>
      <x:c r="L92" s="11" t="n">
        <x:f>IF('全量明细'!H682="","",'全量明细'!H682)</x:f>
        <x:v>0.6248</x:v>
      </x:c>
      <x:c r="M92" s="11" t="n">
        <x:f>IF('全量明细'!I682="","",'全量明细'!I682)</x:f>
        <x:v>0.6039</x:v>
      </x:c>
      <x:c r="N92" s="14" t="n">
        <x:f>IF('全量明细'!J682="","",'全量明细'!J682)</x:f>
        <x:v>2.090000000000003</x:v>
      </x:c>
      <x:c r="O92" s="14" t="n">
        <x:f>IF(AND(ISNUMBER(C92),ISNUMBER(I92)),(I92-C92)*100,"")</x:f>
        <x:v>11.719526999999996</x:v>
      </x:c>
      <x:c r="P92" s="17" t="str"/>
    </x:row>
    <x:row r="93" ht="25" customHeight="1">
      <x:c r="A93" s="2" t="str">
        <x:v>瓦库</x:v>
      </x:c>
      <x:c r="B93" s="2" t="str">
        <x:v>卓越斗篷</x:v>
      </x:c>
      <x:c r="C93" s="28" t="n">
        <x:f>IF('全量明细'!E184="","",'全量明细'!E184)</x:f>
        <x:v>0.52315858</x:v>
      </x:c>
      <x:c r="D93" s="12" t="n">
        <x:f>IF('全量明细'!F184="","",'全量明细'!F184)</x:f>
        <x:v>5002</x:v>
      </x:c>
      <x:c r="E93" s="11" t="n">
        <x:f>IF('全量明细'!G184="","",'全量明细'!G184)</x:f>
        <x:v>0.5722</x:v>
      </x:c>
      <x:c r="F93" s="11" t="n">
        <x:f>IF('全量明细'!H184="","",'全量明细'!H184)</x:f>
        <x:v>0.5398</x:v>
      </x:c>
      <x:c r="G93" s="11" t="n">
        <x:f>IF('全量明细'!I184="","",'全量明细'!I184)</x:f>
        <x:v>0.5009</x:v>
      </x:c>
      <x:c r="H93" s="14" t="n">
        <x:f>IF('全量明细'!J184="","",'全量明细'!J184)</x:f>
        <x:v>3.8899999999999935</x:v>
      </x:c>
      <x:c r="I93" s="28" t="n">
        <x:f>IF('全量明细'!E686="","",'全量明细'!E686)</x:f>
        <x:v>0.59289301</x:v>
      </x:c>
      <x:c r="J93" s="12" t="n">
        <x:f>IF('全量明细'!F686="","",'全量明细'!F686)</x:f>
        <x:v>3434</x:v>
      </x:c>
      <x:c r="K93" s="11" t="n">
        <x:f>IF('全量明细'!G686="","",'全量明细'!G686)</x:f>
        <x:v>0.1957</x:v>
      </x:c>
      <x:c r="L93" s="11" t="n">
        <x:f>IF('全量明细'!H686="","",'全量明细'!H686)</x:f>
        <x:v>0.5119</x:v>
      </x:c>
      <x:c r="M93" s="11" t="n">
        <x:f>IF('全量明细'!I686="","",'全量明细'!I686)</x:f>
        <x:v>0.6126</x:v>
      </x:c>
      <x:c r="N93" s="14" t="n">
        <x:f>IF('全量明细'!J686="","",'全量明细'!J686)</x:f>
        <x:v>-10.07</x:v>
      </x:c>
      <x:c r="O93" s="14" t="n">
        <x:f>IF(AND(ISNUMBER(C93),ISNUMBER(I93)),(I93-C93)*100,"")</x:f>
        <x:v>6.973443000000001</x:v>
      </x:c>
      <x:c r="P93" s="17" t="str"/>
    </x:row>
    <x:row r="94" ht="25" customHeight="1">
      <x:c r="A94" s="20" t="str">
        <x:v>达弗</x:v>
      </x:c>
      <x:c r="B94" s="20" t="str">
        <x:v>尘封魔典</x:v>
      </x:c>
      <x:c r="C94" s="27" t="n">
        <x:f>IF('全量明细'!E199="","",'全量明细'!E199)</x:f>
        <x:v>0.40912930000000003</x:v>
      </x:c>
      <x:c r="D94" s="23" t="n">
        <x:f>IF('全量明细'!F199="","",'全量明细'!F199)</x:f>
        <x:v>6291</x:v>
      </x:c>
      <x:c r="E94" s="22" t="n">
        <x:f>IF('全量明细'!G199="","",'全量明细'!G199)</x:f>
        <x:v>0.1195</x:v>
      </x:c>
      <x:c r="F94" s="22" t="n">
        <x:f>IF('全量明细'!H199="","",'全量明细'!H199)</x:f>
        <x:v>0.33640000000000003</x:v>
      </x:c>
      <x:c r="G94" s="22" t="n">
        <x:f>IF('全量明细'!I199="","",'全量明细'!I199)</x:f>
        <x:v>0.419</x:v>
      </x:c>
      <x:c r="H94" s="24" t="n">
        <x:f>IF('全量明细'!J199="","",'全量明细'!J199)</x:f>
        <x:v>-8.259999999999994</x:v>
      </x:c>
      <x:c r="I94" s="27" t="n">
        <x:f>IF('全量明细'!E693="","",'全量明细'!E693)</x:f>
        <x:v>0.5264011200000001</x:v>
      </x:c>
      <x:c r="J94" s="23" t="n">
        <x:f>IF('全量明细'!F693="","",'全量明细'!F693)</x:f>
        <x:v>4130</x:v>
      </x:c>
      <x:c r="K94" s="22" t="n">
        <x:f>IF('全量明细'!G693="","",'全量明细'!G693)</x:f>
        <x:v>0.1424</x:v>
      </x:c>
      <x:c r="L94" s="22" t="n">
        <x:f>IF('全量明细'!H693="","",'全量明细'!H693)</x:f>
        <x:v>0.4439</x:v>
      </x:c>
      <x:c r="M94" s="22" t="n">
        <x:f>IF('全量明细'!I693="","",'全量明细'!I693)</x:f>
        <x:v>0.5401</x:v>
      </x:c>
      <x:c r="N94" s="24" t="n">
        <x:f>IF('全量明细'!J693="","",'全量明细'!J693)</x:f>
        <x:v>-9.620000000000001</x:v>
      </x:c>
      <x:c r="O94" s="24" t="n">
        <x:f>IF(AND(ISNUMBER(C94),ISNUMBER(I94)),(I94-C94)*100,"")</x:f>
        <x:v>11.727182000000003</x:v>
      </x:c>
      <x:c r="P94" s="31" t="str">
        <x:v>不同幕混合，勿直接解释为纯强度</x:v>
      </x:c>
    </x:row>
    <x:row r="95" ht="25" customHeight="1">
      <x:c r="A95" s="2" t="str">
        <x:v>达弗</x:v>
      </x:c>
      <x:c r="B95" s="2" t="str">
        <x:v>符文金字塔</x:v>
      </x:c>
      <x:c r="C95" s="28" t="n">
        <x:f>IF('全量明细'!E194="","",'全量明细'!E194)</x:f>
        <x:v>0.44256101999999997</x:v>
      </x:c>
      <x:c r="D95" s="12" t="n">
        <x:f>IF('全量明细'!F194="","",'全量明细'!F194)</x:f>
        <x:v>4022</x:v>
      </x:c>
      <x:c r="E95" s="11" t="n">
        <x:f>IF('全量明细'!G194="","",'全量明细'!G194)</x:f>
        <x:v>0.46869999999999995</x:v>
      </x:c>
      <x:c r="F95" s="11" t="n">
        <x:f>IF('全量明细'!H194="","",'全量明细'!H194)</x:f>
        <x:v>0.5246999999999999</x:v>
      </x:c>
      <x:c r="G95" s="11" t="n">
        <x:f>IF('全量明细'!I194="","",'全量明细'!I194)</x:f>
        <x:v>0.3701</x:v>
      </x:c>
      <x:c r="H95" s="14" t="n">
        <x:f>IF('全量明细'!J194="","",'全量明细'!J194)</x:f>
        <x:v>15.459999999999996</x:v>
      </x:c>
      <x:c r="I95" s="28" t="n">
        <x:f>IF('全量明细'!E688="","",'全量明细'!E688)</x:f>
        <x:v>0.6170114999999999</x:v>
      </x:c>
      <x:c r="J95" s="12" t="n">
        <x:f>IF('全量明细'!F688="","",'全量明细'!F688)</x:f>
        <x:v>1987</x:v>
      </x:c>
      <x:c r="K95" s="11" t="n">
        <x:f>IF('全量明细'!G688="","",'全量明细'!G688)</x:f>
        <x:v>0.613</x:v>
      </x:c>
      <x:c r="L95" s="11" t="n">
        <x:f>IF('全量明细'!H688="","",'全量明细'!H688)</x:f>
        <x:v>0.6888</x:v>
      </x:c>
      <x:c r="M95" s="11" t="n">
        <x:f>IF('全量明细'!I688="","",'全量明细'!I688)</x:f>
        <x:v>0.5033</x:v>
      </x:c>
      <x:c r="N95" s="14" t="n">
        <x:f>IF('全量明细'!J688="","",'全量明细'!J688)</x:f>
        <x:v>18.55</x:v>
      </x:c>
      <x:c r="O95" s="14" t="n">
        <x:f>IF(AND(ISNUMBER(C95),ISNUMBER(I95)),(I95-C95)*100,"")</x:f>
        <x:v>17.445047999999996</x:v>
      </x:c>
      <x:c r="P95" s="17" t="str">
        <x:v>不同幕混合，勿直接解释为纯强度</x:v>
      </x:c>
    </x:row>
    <x:row r="96" ht="25" customHeight="1">
      <x:c r="A96" s="2" t="str">
        <x:v>达弗</x:v>
      </x:c>
      <x:c r="B96" s="2" t="str">
        <x:v>黑星</x:v>
      </x:c>
      <x:c r="C96" s="28" t="n">
        <x:f>IF('全量明细'!E200="","",'全量明细'!E200)</x:f>
        <x:v>0.39334314</x:v>
      </x:c>
      <x:c r="D96" s="12" t="n">
        <x:f>IF('全量明细'!F200="","",'全量明细'!F200)</x:f>
        <x:v>4045</x:v>
      </x:c>
      <x:c r="E96" s="11" t="n">
        <x:f>IF('全量明细'!G200="","",'全量明细'!G200)</x:f>
        <x:v>0.27140000000000003</x:v>
      </x:c>
      <x:c r="F96" s="11" t="n">
        <x:f>IF('全量明细'!H200="","",'全量明细'!H200)</x:f>
        <x:v>0.3497</x:v>
      </x:c>
      <x:c r="G96" s="11" t="n">
        <x:f>IF('全量明细'!I200="","",'全量明细'!I200)</x:f>
        <x:v>0.4096</x:v>
      </x:c>
      <x:c r="H96" s="14" t="n">
        <x:f>IF('全量明细'!J200="","",'全量明细'!J200)</x:f>
        <x:v>-5.990000000000001</x:v>
      </x:c>
      <x:c r="I96" s="28" t="n">
        <x:f>IF('全量明细'!E696="","",'全量明细'!E696)</x:f>
        <x:v>0.5127900000000001</x:v>
      </x:c>
      <x:c r="J96" s="12" t="n">
        <x:f>IF('全量明细'!F696="","",'全量明细'!F696)</x:f>
        <x:v>2034</x:v>
      </x:c>
      <x:c r="K96" s="11" t="n">
        <x:f>IF('全量明细'!G696="","",'全量明细'!G696)</x:f>
        <x:v>0.297</x:v>
      </x:c>
      <x:c r="L96" s="11" t="n">
        <x:f>IF('全量明细'!H696="","",'全量明细'!H696)</x:f>
        <x:v>0.4917</x:v>
      </x:c>
      <x:c r="M96" s="11" t="n">
        <x:f>IF('全量明细'!I696="","",'全量明细'!I696)</x:f>
        <x:v>0.5217</x:v>
      </x:c>
      <x:c r="N96" s="14" t="n">
        <x:f>IF('全量明细'!J696="","",'全量明细'!J696)</x:f>
        <x:v>-3.0000000000000027</x:v>
      </x:c>
      <x:c r="O96" s="14" t="n">
        <x:f>IF(AND(ISNUMBER(C96),ISNUMBER(I96)),(I96-C96)*100,"")</x:f>
        <x:v>11.94468600000001</x:v>
      </x:c>
      <x:c r="P96" s="17" t="str">
        <x:v>不同幕混合，勿直接解释为纯强度</x:v>
      </x:c>
    </x:row>
    <x:row r="97" ht="25" customHeight="1">
      <x:c r="A97" s="2" t="str">
        <x:v>达弗</x:v>
      </x:c>
      <x:c r="B97" s="2" t="str">
        <x:v>空鸟笼</x:v>
      </x:c>
      <x:c r="C97" s="28" t="n">
        <x:f>IF('全量明细'!E196="","",'全量明细'!E196)</x:f>
        <x:v>0.41753262</x:v>
      </x:c>
      <x:c r="D97" s="12" t="n">
        <x:f>IF('全量明细'!F196="","",'全量明细'!F196)</x:f>
        <x:v>4024</x:v>
      </x:c>
      <x:c r="E97" s="11" t="n">
        <x:f>IF('全量明细'!G196="","",'全量明细'!G196)</x:f>
        <x:v>0.5002</x:v>
      </x:c>
      <x:c r="F97" s="11" t="n">
        <x:f>IF('全量明细'!H196="","",'全量明细'!H196)</x:f>
        <x:v>0.3741</x:v>
      </x:c>
      <x:c r="G97" s="11" t="n">
        <x:f>IF('全量明细'!I196="","",'全量明细'!I196)</x:f>
        <x:v>0.461</x:v>
      </x:c>
      <x:c r="H97" s="14" t="n">
        <x:f>IF('全量明细'!J196="","",'全量明细'!J196)</x:f>
        <x:v>-8.690000000000003</x:v>
      </x:c>
      <x:c r="I97" s="28" t="n">
        <x:f>IF('全量明细'!E697="","",'全量明细'!E697)</x:f>
        <x:v>0.5050512</x:v>
      </x:c>
      <x:c r="J97" s="12" t="n">
        <x:f>IF('全量明细'!F697="","",'全量明细'!F697)</x:f>
        <x:v>1978</x:v>
      </x:c>
      <x:c r="K97" s="11" t="n">
        <x:f>IF('全量明细'!G697="","",'全量明细'!G697)</x:f>
        <x:v>0.544</x:v>
      </x:c>
      <x:c r="L97" s="11" t="n">
        <x:f>IF('全量明细'!H697="","",'全量明细'!H697)</x:f>
        <x:v>0.43770000000000003</x:v>
      </x:c>
      <x:c r="M97" s="11" t="n">
        <x:f>IF('全量明细'!I697="","",'全量明细'!I697)</x:f>
        <x:v>0.5854</x:v>
      </x:c>
      <x:c r="N97" s="14" t="n">
        <x:f>IF('全量明细'!J697="","",'全量明细'!J697)</x:f>
        <x:v>-14.77</x:v>
      </x:c>
      <x:c r="O97" s="14" t="n">
        <x:f>IF(AND(ISNUMBER(C97),ISNUMBER(I97)),(I97-C97)*100,"")</x:f>
        <x:v>8.751858000000002</x:v>
      </x:c>
      <x:c r="P97" s="17" t="str">
        <x:v>不同幕混合，勿直接解释为纯强度</x:v>
      </x:c>
    </x:row>
    <x:row r="98" ht="25" customHeight="1">
      <x:c r="A98" s="2" t="str">
        <x:v>达弗</x:v>
      </x:c>
      <x:c r="B98" s="2" t="str">
        <x:v>灵体外质</x:v>
      </x:c>
      <x:c r="C98" s="28" t="n">
        <x:f>IF('全量明细'!E202="","",'全量明细'!E202)</x:f>
        <x:v>0.37421994000000003</x:v>
      </x:c>
      <x:c r="D98" s="12" t="n">
        <x:f>IF('全量明细'!F202="","",'全量明细'!F202)</x:f>
        <x:v>1550</x:v>
      </x:c>
      <x:c r="E98" s="11" t="n">
        <x:f>IF('全量明细'!G202="","",'全量明细'!G202)</x:f>
        <x:v>0.1058</x:v>
      </x:c>
      <x:c r="F98" s="11" t="n">
        <x:f>IF('全量明细'!H202="","",'全量明细'!H202)</x:f>
        <x:v>0.311</x:v>
      </x:c>
      <x:c r="G98" s="11" t="n">
        <x:f>IF('全量明细'!I202="","",'全量明细'!I202)</x:f>
        <x:v>0.38170000000000004</x:v>
      </x:c>
      <x:c r="H98" s="14" t="n">
        <x:f>IF('全量明细'!J202="","",'全量明细'!J202)</x:f>
        <x:v>-7.070000000000004</x:v>
      </x:c>
      <x:c r="I98" s="28" t="n">
        <x:f>IF('全量明细'!E699="","",'全量明细'!E699)</x:f>
        <x:v>0.45235785</x:v>
      </x:c>
      <x:c r="J98" s="12" t="n">
        <x:f>IF('全量明细'!F699="","",'全量明细'!F699)</x:f>
        <x:v>1406</x:v>
      </x:c>
      <x:c r="K98" s="11" t="n">
        <x:f>IF('全量明细'!G699="","",'全量明细'!G699)</x:f>
        <x:v>0.11449999999999999</x:v>
      </x:c>
      <x:c r="L98" s="11" t="n">
        <x:f>IF('全量明细'!H699="","",'全量明细'!H699)</x:f>
        <x:v>0.4907</x:v>
      </x:c>
      <x:c r="M98" s="11" t="n">
        <x:f>IF('全量明细'!I699="","",'全量明细'!I699)</x:f>
        <x:v>0.4474</x:v>
      </x:c>
      <x:c r="N98" s="14" t="n">
        <x:f>IF('全量明细'!J699="","",'全量明细'!J699)</x:f>
        <x:v>4.33</x:v>
      </x:c>
      <x:c r="O98" s="14" t="n">
        <x:f>IF(AND(ISNUMBER(C98),ISNUMBER(I98)),(I98-C98)*100,"")</x:f>
        <x:v>7.8137909999999975</x:v>
      </x:c>
      <x:c r="P98" s="17" t="str">
        <x:v>不同幕混合，勿直接解释为纯强度</x:v>
      </x:c>
    </x:row>
    <x:row r="99" ht="25" customHeight="1">
      <x:c r="A99" s="2" t="str">
        <x:v>达弗</x:v>
      </x:c>
      <x:c r="B99" s="2" t="str">
        <x:v>潘多拉魔盒</x:v>
      </x:c>
      <x:c r="C99" s="28" t="n">
        <x:f>IF('全量明细'!E195="","",'全量明细'!E195)</x:f>
        <x:v>0.43827383000000003</x:v>
      </x:c>
      <x:c r="D99" s="12" t="n">
        <x:f>IF('全量明细'!F195="","",'全量明细'!F195)</x:f>
        <x:v>3929</x:v>
      </x:c>
      <x:c r="E99" s="11" t="n">
        <x:f>IF('全量明细'!G195="","",'全量明细'!G195)</x:f>
        <x:v>0.5029</x:v>
      </x:c>
      <x:c r="F99" s="11" t="n">
        <x:f>IF('全量明细'!H195="","",'全量明细'!H195)</x:f>
        <x:v>0.4595</x:v>
      </x:c>
      <x:c r="G99" s="11" t="n">
        <x:f>IF('全量明细'!I195="","",'全量明细'!I195)</x:f>
        <x:v>0.4168</x:v>
      </x:c>
      <x:c r="H99" s="14" t="n">
        <x:f>IF('全量明细'!J195="","",'全量明细'!J195)</x:f>
        <x:v>4.270000000000001</x:v>
      </x:c>
      <x:c r="I99" s="28" t="n">
        <x:f>IF('全量明细'!E690="","",'全量明细'!E690)</x:f>
        <x:v>0.5601385</x:v>
      </x:c>
      <x:c r="J99" s="12" t="n">
        <x:f>IF('全量明细'!F690="","",'全量明细'!F690)</x:f>
        <x:v>2012</x:v>
      </x:c>
      <x:c r="K99" s="11" t="n">
        <x:f>IF('全量明细'!G690="","",'全量明细'!G690)</x:f>
        <x:v>0.5025</x:v>
      </x:c>
      <x:c r="L99" s="11" t="n">
        <x:f>IF('全量明细'!H690="","",'全量明细'!H690)</x:f>
        <x:v>0.5678</x:v>
      </x:c>
      <x:c r="M99" s="11" t="n">
        <x:f>IF('全量明细'!I690="","",'全量明细'!I690)</x:f>
        <x:v>0.5524</x:v>
      </x:c>
      <x:c r="N99" s="14" t="n">
        <x:f>IF('全量明细'!J690="","",'全量明细'!J690)</x:f>
        <x:v>1.539999999999997</x:v>
      </x:c>
      <x:c r="O99" s="14" t="n">
        <x:f>IF(AND(ISNUMBER(C99),ISNUMBER(I99)),(I99-C99)*100,"")</x:f>
        <x:v>12.186466999999995</x:v>
      </x:c>
      <x:c r="P99" s="17" t="str">
        <x:v>不同幕混合，勿直接解释为纯强度</x:v>
      </x:c>
    </x:row>
    <x:row r="100" ht="25" customHeight="1">
      <x:c r="A100" s="2" t="str">
        <x:v>达弗</x:v>
      </x:c>
      <x:c r="B100" s="2" t="str">
        <x:v>天鹅绒颈圈</x:v>
      </x:c>
      <x:c r="C100" s="28" t="n">
        <x:f>IF('全量明细'!E192="","",'全量明细'!E192)</x:f>
        <x:v>0.52963225</x:v>
      </x:c>
      <x:c r="D100" s="12" t="n">
        <x:f>IF('全量明细'!F192="","",'全量明细'!F192)</x:f>
        <x:v>506</x:v>
      </x:c>
      <x:c r="E100" s="11" t="n">
        <x:f>IF('全量明细'!G192="","",'全量明细'!G192)</x:f>
        <x:v>0.0455</x:v>
      </x:c>
      <x:c r="F100" s="11" t="n">
        <x:f>IF('全量明细'!H192="","",'全量明细'!H192)</x:f>
        <x:v>0.3478</x:v>
      </x:c>
      <x:c r="G100" s="11" t="n">
        <x:f>IF('全量明细'!I192="","",'全量明细'!I192)</x:f>
        <x:v>0.5383</x:v>
      </x:c>
      <x:c r="H100" s="14" t="n">
        <x:f>IF('全量明细'!J192="","",'全量明细'!J192)</x:f>
        <x:v>-19.05</x:v>
      </x:c>
      <x:c r="I100" s="28" t="n">
        <x:f>IF('全量明细'!E695="","",'全量明细'!E695)</x:f>
        <x:v>0.51419894</x:v>
      </x:c>
      <x:c r="J100" s="12" t="n">
        <x:f>IF('全量明细'!F695="","",'全量明细'!F695)</x:f>
        <x:v>1966</x:v>
      </x:c>
      <x:c r="K100" s="11" t="n">
        <x:f>IF('全量明细'!G695="","",'全量明细'!G695)</x:f>
        <x:v>0.0738</x:v>
      </x:c>
      <x:c r="L100" s="11" t="n">
        <x:f>IF('全量明细'!H695="","",'全量明细'!H695)</x:f>
        <x:v>0.45520000000000005</x:v>
      </x:c>
      <x:c r="M100" s="11" t="n">
        <x:f>IF('全量明细'!I695="","",'全量明细'!I695)</x:f>
        <x:v>0.5189</x:v>
      </x:c>
      <x:c r="N100" s="14" t="n">
        <x:f>IF('全量明细'!J695="","",'全量明细'!J695)</x:f>
        <x:v>-6.369999999999997</x:v>
      </x:c>
      <x:c r="O100" s="14" t="n">
        <x:f>IF(AND(ISNUMBER(C100),ISNUMBER(I100)),(I100-C100)*100,"")</x:f>
        <x:v>-1.5433310000000033</x:v>
      </x:c>
      <x:c r="P100" s="17" t="str">
        <x:v>不同幕混合，勿直接解释为纯强度</x:v>
      </x:c>
    </x:row>
    <x:row r="101" ht="25" customHeight="1">
      <x:c r="A101" s="2" t="str">
        <x:v>达弗</x:v>
      </x:c>
      <x:c r="B101" s="2" t="str">
        <x:v>添水</x:v>
      </x:c>
      <x:c r="C101" s="28" t="n">
        <x:f>IF('全量明细'!E201="","",'全量明细'!E201)</x:f>
        <x:v>0.38267596</x:v>
      </x:c>
      <x:c r="D101" s="12" t="n">
        <x:f>IF('全量明细'!F201="","",'全量明细'!F201)</x:f>
        <x:v>1492</x:v>
      </x:c>
      <x:c r="E101" s="11" t="n">
        <x:f>IF('全量明细'!G201="","",'全量明细'!G201)</x:f>
        <x:v>0.2004</x:v>
      </x:c>
      <x:c r="F101" s="11" t="n">
        <x:f>IF('全量明细'!H201="","",'全量明细'!H201)</x:f>
        <x:v>0.3746</x:v>
      </x:c>
      <x:c r="G101" s="11" t="n">
        <x:f>IF('全量明细'!I201="","",'全量明细'!I201)</x:f>
        <x:v>0.3847</x:v>
      </x:c>
      <x:c r="H101" s="14" t="n">
        <x:f>IF('全量明细'!J201="","",'全量明细'!J201)</x:f>
        <x:v>-1.0099999999999998</x:v>
      </x:c>
      <x:c r="I101" s="28" t="n">
        <x:f>IF('全量明细'!E698="","",'全量明细'!E698)</x:f>
        <x:v>0.4612130299999999</x:v>
      </x:c>
      <x:c r="J101" s="12" t="n">
        <x:f>IF('全量明细'!F698="","",'全量明细'!F698)</x:f>
        <x:v>1444</x:v>
      </x:c>
      <x:c r="K101" s="11" t="n">
        <x:f>IF('全量明细'!G698="","",'全量明细'!G698)</x:f>
        <x:v>0.2071</x:v>
      </x:c>
      <x:c r="L101" s="11" t="n">
        <x:f>IF('全量明细'!H698="","",'全量明细'!H698)</x:f>
        <x:v>0.4448</x:v>
      </x:c>
      <x:c r="M101" s="11" t="n">
        <x:f>IF('全量明细'!I698="","",'全量明细'!I698)</x:f>
        <x:v>0.46549999999999997</x:v>
      </x:c>
      <x:c r="N101" s="14" t="n">
        <x:f>IF('全量明细'!J698="","",'全量明细'!J698)</x:f>
        <x:v>-2.0699999999999994</x:v>
      </x:c>
      <x:c r="O101" s="14" t="n">
        <x:f>IF(AND(ISNUMBER(C101),ISNUMBER(I101)),(I101-C101)*100,"")</x:f>
        <x:v>7.853706999999993</x:v>
      </x:c>
      <x:c r="P101" s="17" t="str">
        <x:v>不同幕混合，勿直接解释为纯强度</x:v>
      </x:c>
    </x:row>
    <x:row r="102" ht="25" customHeight="1">
      <x:c r="A102" s="2" t="str">
        <x:v>达弗</x:v>
      </x:c>
      <x:c r="B102" s="2" t="str">
        <x:v>贤者之石</x:v>
      </x:c>
      <x:c r="C102" s="28" t="n">
        <x:f>IF('全量明细'!E191="","",'全量明细'!E191)</x:f>
        <x:v>0.53278048</x:v>
      </x:c>
      <x:c r="D102" s="12" t="n">
        <x:f>IF('全量明细'!F191="","",'全量明细'!F191)</x:f>
        <x:v>503</x:v>
      </x:c>
      <x:c r="E102" s="11" t="n">
        <x:f>IF('全量明细'!G191="","",'全量明细'!G191)</x:f>
        <x:v>0.4056</x:v>
      </x:c>
      <x:c r="F102" s="11" t="n">
        <x:f>IF('全量明细'!H191="","",'全量明细'!H191)</x:f>
        <x:v>0.5392</x:v>
      </x:c>
      <x:c r="G102" s="11" t="n">
        <x:f>IF('全量明细'!I191="","",'全量明细'!I191)</x:f>
        <x:v>0.5284</x:v>
      </x:c>
      <x:c r="H102" s="14" t="n">
        <x:f>IF('全量明细'!J191="","",'全量明细'!J191)</x:f>
        <x:v>1.0800000000000032</x:v>
      </x:c>
      <x:c r="I102" s="28" t="n">
        <x:f>IF('全量明细'!E691="","",'全量明细'!E691)</x:f>
        <x:v>0.5491530200000001</x:v>
      </x:c>
      <x:c r="J102" s="12" t="n">
        <x:f>IF('全量明细'!F691="","",'全量明细'!F691)</x:f>
        <x:v>2076</x:v>
      </x:c>
      <x:c r="K102" s="11" t="n">
        <x:f>IF('全量明细'!G691="","",'全量明细'!G691)</x:f>
        <x:v>0.4706</x:v>
      </x:c>
      <x:c r="L102" s="11" t="n">
        <x:f>IF('全量明细'!H691="","",'全量明细'!H691)</x:f>
        <x:v>0.5527000000000001</x:v>
      </x:c>
      <x:c r="M102" s="11" t="n">
        <x:f>IF('全量明细'!I691="","",'全量明细'!I691)</x:f>
        <x:v>0.546</x:v>
      </x:c>
      <x:c r="N102" s="14" t="n">
        <x:f>IF('全量明细'!J691="","",'全量明细'!J691)</x:f>
        <x:v>0.6700000000000039</x:v>
      </x:c>
      <x:c r="O102" s="14" t="n">
        <x:f>IF(AND(ISNUMBER(C102),ISNUMBER(I102)),(I102-C102)*100,"")</x:f>
        <x:v>1.6372540000000102</x:v>
      </x:c>
      <x:c r="P102" s="17" t="str">
        <x:v>不同幕混合，勿直接解释为纯强度</x:v>
      </x:c>
    </x:row>
    <x:row r="103" ht="25" customHeight="1">
      <x:c r="A103" s="2" t="str">
        <x:v>达弗</x:v>
      </x:c>
      <x:c r="B103" s="2" t="str">
        <x:v>星盘</x:v>
      </x:c>
      <x:c r="C103" s="28" t="n">
        <x:f>IF('全量明细'!E193="","",'全量明细'!E193)</x:f>
        <x:v>0.44555510000000004</x:v>
      </x:c>
      <x:c r="D103" s="12" t="n">
        <x:f>IF('全量明细'!F193="","",'全量明细'!F193)</x:f>
        <x:v>3993</x:v>
      </x:c>
      <x:c r="E103" s="11" t="n">
        <x:f>IF('全量明细'!G193="","",'全量明细'!G193)</x:f>
        <x:v>0.7015</x:v>
      </x:c>
      <x:c r="F103" s="11" t="n">
        <x:f>IF('全量明细'!H193="","",'全量明细'!H193)</x:f>
        <x:v>0.44060000000000005</x:v>
      </x:c>
      <x:c r="G103" s="11" t="n">
        <x:f>IF('全量明细'!I193="","",'全量明细'!I193)</x:f>
        <x:v>0.4572</x:v>
      </x:c>
      <x:c r="H103" s="14" t="n">
        <x:f>IF('全量明细'!J193="","",'全量明细'!J193)</x:f>
        <x:v>-1.6599999999999948</x:v>
      </x:c>
      <x:c r="I103" s="28" t="n">
        <x:f>IF('全量明细'!E689="","",'全量明细'!E689)</x:f>
        <x:v>0.5636168399999999</x:v>
      </x:c>
      <x:c r="J103" s="12" t="n">
        <x:f>IF('全量明细'!F689="","",'全量明细'!F689)</x:f>
        <x:v>2083</x:v>
      </x:c>
      <x:c r="K103" s="11" t="n">
        <x:f>IF('全量明细'!G689="","",'全量明细'!G689)</x:f>
        <x:v>0.6908</x:v>
      </x:c>
      <x:c r="L103" s="11" t="n">
        <x:f>IF('全量明细'!H689="","",'全量明细'!H689)</x:f>
        <x:v>0.5365</x:v>
      </x:c>
      <x:c r="M103" s="11" t="n">
        <x:f>IF('全量明细'!I689="","",'全量明细'!I689)</x:f>
        <x:v>0.6242</x:v>
      </x:c>
      <x:c r="N103" s="14" t="n">
        <x:f>IF('全量明细'!J689="","",'全量明细'!J689)</x:f>
        <x:v>-8.77</x:v>
      </x:c>
      <x:c r="O103" s="14" t="n">
        <x:f>IF(AND(ISNUMBER(C103),ISNUMBER(I103)),(I103-C103)*100,"")</x:f>
        <x:v>11.806173999999986</x:v>
      </x:c>
      <x:c r="P103" s="17" t="str">
        <x:v>不同幕混合，勿直接解释为纯强度</x:v>
      </x:c>
    </x:row>
    <x:row r="104" ht="25" customHeight="1">
      <x:c r="A104" s="2" t="str">
        <x:v>达弗</x:v>
      </x:c>
      <x:c r="B104" s="2" t="str">
        <x:v>异蛇之眼</x:v>
      </x:c>
      <x:c r="C104" s="28" t="n">
        <x:f>IF('全量明细'!E198="","",'全量明细'!E198)</x:f>
        <x:v>0.41107952000000003</x:v>
      </x:c>
      <x:c r="D104" s="12" t="n">
        <x:f>IF('全量明细'!F198="","",'全量明细'!F198)</x:f>
        <x:v>4089</x:v>
      </x:c>
      <x:c r="E104" s="11" t="n">
        <x:f>IF('全量明细'!G198="","",'全量明细'!G198)</x:f>
        <x:v>0.0196</x:v>
      </x:c>
      <x:c r="F104" s="11" t="n">
        <x:f>IF('全量明细'!H198="","",'全量明细'!H198)</x:f>
        <x:v>0.275</x:v>
      </x:c>
      <x:c r="G104" s="11" t="n">
        <x:f>IF('全量明细'!I198="","",'全量明细'!I198)</x:f>
        <x:v>0.4138</x:v>
      </x:c>
      <x:c r="H104" s="14" t="n">
        <x:f>IF('全量明细'!J198="","",'全量明细'!J198)</x:f>
        <x:v>-13.879999999999997</x:v>
      </x:c>
      <x:c r="I104" s="28" t="n">
        <x:f>IF('全量明细'!E694="","",'全量明细'!E694)</x:f>
        <x:v>0.5256420599999999</x:v>
      </x:c>
      <x:c r="J104" s="12" t="n">
        <x:f>IF('全量明细'!F694="","",'全量明细'!F694)</x:f>
        <x:v>2005</x:v>
      </x:c>
      <x:c r="K104" s="11" t="n">
        <x:f>IF('全量明细'!G694="","",'全量明细'!G694)</x:f>
        <x:v>0.0454</x:v>
      </x:c>
      <x:c r="L104" s="11" t="n">
        <x:f>IF('全量明细'!H694="","",'全量明细'!H694)</x:f>
        <x:v>0.5055</x:v>
      </x:c>
      <x:c r="M104" s="11" t="n">
        <x:f>IF('全量明细'!I694="","",'全量明细'!I694)</x:f>
        <x:v>0.5266</x:v>
      </x:c>
      <x:c r="N104" s="14" t="n">
        <x:f>IF('全量明细'!J694="","",'全量明细'!J694)</x:f>
        <x:v>-2.1100000000000008</x:v>
      </x:c>
      <x:c r="O104" s="14" t="n">
        <x:f>IF(AND(ISNUMBER(C104),ISNUMBER(I104)),(I104-C104)*100,"")</x:f>
        <x:v>11.456253999999987</x:v>
      </x:c>
      <x:c r="P104" s="17" t="str">
        <x:v>不同幕混合，勿直接解释为纯强度</x:v>
      </x:c>
    </x:row>
    <x:row r="105" ht="25" customHeight="1">
      <x:c r="A105" s="2" t="str">
        <x:v>达弗</x:v>
      </x:c>
      <x:c r="B105" s="2" t="str">
        <x:v>召唤铃铛</x:v>
      </x:c>
      <x:c r="C105" s="28" t="n">
        <x:f>IF('全量明细'!E197="","",'全量明细'!E197)</x:f>
        <x:v>0.41270370999999995</x:v>
      </x:c>
      <x:c r="D105" s="12" t="n">
        <x:f>IF('全量明细'!F197="","",'全量明细'!F197)</x:f>
        <x:v>3964</x:v>
      </x:c>
      <x:c r="E105" s="11" t="n">
        <x:f>IF('全量明细'!G197="","",'全量明细'!G197)</x:f>
        <x:v>0.3643</x:v>
      </x:c>
      <x:c r="F105" s="11" t="n">
        <x:f>IF('全量明细'!H197="","",'全量明细'!H197)</x:f>
        <x:v>0.3553</x:v>
      </x:c>
      <x:c r="G105" s="11" t="n">
        <x:f>IF('全量明细'!I197="","",'全量明细'!I197)</x:f>
        <x:v>0.4456</x:v>
      </x:c>
      <x:c r="H105" s="14" t="n">
        <x:f>IF('全量明细'!J197="","",'全量明细'!J197)</x:f>
        <x:v>-9.03</x:v>
      </x:c>
      <x:c r="I105" s="28" t="n">
        <x:f>IF('全量明细'!E692="","",'全量明细'!E692)</x:f>
        <x:v>0.5317604100000001</x:v>
      </x:c>
      <x:c r="J105" s="12" t="n">
        <x:f>IF('全量明细'!F692="","",'全量明细'!F692)</x:f>
        <x:v>1950</x:v>
      </x:c>
      <x:c r="K105" s="11" t="n">
        <x:f>IF('全量明细'!G692="","",'全量明细'!G692)</x:f>
        <x:v>0.3713</x:v>
      </x:c>
      <x:c r="L105" s="11" t="n">
        <x:f>IF('全量明细'!H692="","",'全量明细'!H692)</x:f>
        <x:v>0.45990000000000003</x:v>
      </x:c>
      <x:c r="M105" s="11" t="n">
        <x:f>IF('全量明细'!I692="","",'全量明细'!I692)</x:f>
        <x:v>0.5742</x:v>
      </x:c>
      <x:c r="N105" s="14" t="n">
        <x:f>IF('全量明细'!J692="","",'全量明细'!J692)</x:f>
        <x:v>-11.430000000000001</x:v>
      </x:c>
      <x:c r="O105" s="14" t="n">
        <x:f>IF(AND(ISNUMBER(C105),ISNUMBER(I105)),(I105-C105)*100,"")</x:f>
        <x:v>11.905670000000013</x:v>
      </x:c>
      <x:c r="P105" s="17" t="str">
        <x:v>不同幕混合，勿直接解释为纯强度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f4442216407a470b"/>
  </x:tableParts>
</x:worksheet>
</file>

<file path=xl/worksheets/sheet5.xml><?xml version="1.0" encoding="utf-8"?>
<x:worksheet xmlns:x="http://schemas.openxmlformats.org/spreadsheetml/2006/main">
  <x:sheetPr>
    <x:tabColor rgb="FF087F8C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  <x:col min="8" max="8" width="17" hidden="0" customWidth="1"/>
    <x:col min="9" max="9" width="15" hidden="0" customWidth="1"/>
    <x:col min="10" max="10" width="15" hidden="0" customWidth="1"/>
    <x:col min="11" max="11" width="14" hidden="0" customWidth="1"/>
    <x:col min="12" max="12" width="16" hidden="0" customWidth="1"/>
    <x:col min="13" max="13" width="16" hidden="0" customWidth="1"/>
    <x:col min="14" max="14" width="17" hidden="0" customWidth="1"/>
    <x:col min="15" max="15" width="21" hidden="0" customWidth="1"/>
    <x:col min="16" max="16" width="55" hidden="0" customWidth="1"/>
  </x:cols>
  <x:sheetData>
    <x:row r="1" ht="43" customHeight="1">
      <x:c r="A1" s="4" t="str">
        <x:v>故障机器人 · 两版对照 / 按先古之民分组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5" customHeight="1">
      <x:c r="A2" s="6" t="str">
        <x:v>每个版本保留出现胜率、出现次数、选取率、选择/跳过后胜率和选跳差。空白表示该筛选下未显示记录；不按零值处理。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56" customHeight="1">
      <x:c r="A4" s="8" t="str">
        <x:v>先古之民</x:v>
      </x:c>
      <x:c r="B4" s="8" t="str">
        <x:v>遗物</x:v>
      </x:c>
      <x:c r="C4" s="29" t="str">
        <x:v>0.107
出现胜率</x:v>
      </x:c>
      <x:c r="D4" s="29" t="str">
        <x:v>0.107
出现次数</x:v>
      </x:c>
      <x:c r="E4" s="29" t="str">
        <x:v>0.107
选取率</x:v>
      </x:c>
      <x:c r="F4" s="29" t="str">
        <x:v>0.107
选择后胜率</x:v>
      </x:c>
      <x:c r="G4" s="29" t="str">
        <x:v>0.107
跳过后胜率</x:v>
      </x:c>
      <x:c r="H4" s="29" t="str">
        <x:v>0.107
选跳差(pp)</x:v>
      </x:c>
      <x:c r="I4" s="30" t="str">
        <x:v>0.111
出现胜率</x:v>
      </x:c>
      <x:c r="J4" s="30" t="str">
        <x:v>0.111
出现次数</x:v>
      </x:c>
      <x:c r="K4" s="30" t="str">
        <x:v>0.111
选取率</x:v>
      </x:c>
      <x:c r="L4" s="30" t="str">
        <x:v>0.111
选择后胜率</x:v>
      </x:c>
      <x:c r="M4" s="30" t="str">
        <x:v>0.111
跳过后胜率</x:v>
      </x:c>
      <x:c r="N4" s="30" t="str">
        <x:v>0.111
选跳差(pp)</x:v>
      </x:c>
      <x:c r="O4" s="8" t="str">
        <x:v>出现胜率变化
0.111−0.107(pp)</x:v>
      </x:c>
      <x:c r="P4" s="8" t="str">
        <x:v>备注</x:v>
      </x:c>
    </x:row>
    <x:row r="5" ht="25" customHeight="1">
      <x:c r="A5" s="20" t="str">
        <x:v>涅奥</x:v>
      </x:c>
      <x:c r="B5" s="20" t="str">
        <x:v>奥术卷轴</x:v>
      </x:c>
      <x:c r="C5" s="27" t="n">
        <x:f>IF('全量明细'!E216="","",'全量明细'!E216)</x:f>
        <x:v>0.17375838999999998</x:v>
      </x:c>
      <x:c r="D5" s="23" t="n">
        <x:f>IF('全量明细'!F216="","",'全量明细'!F216)</x:f>
        <x:v>7201</x:v>
      </x:c>
      <x:c r="E5" s="22" t="n">
        <x:f>IF('全量明细'!G216="","",'全量明细'!G216)</x:f>
        <x:v>0.4851</x:v>
      </x:c>
      <x:c r="F5" s="22" t="n">
        <x:f>IF('全量明细'!H216="","",'全量明细'!H216)</x:f>
        <x:v>0.132</x:v>
      </x:c>
      <x:c r="G5" s="22" t="n">
        <x:f>IF('全量明细'!I216="","",'全量明细'!I216)</x:f>
        <x:v>0.21309999999999998</x:v>
      </x:c>
      <x:c r="H5" s="24" t="n">
        <x:f>IF('全量明细'!J216="","",'全量明细'!J216)</x:f>
        <x:v>-8.109999999999998</x:v>
      </x:c>
      <x:c r="I5" s="27" t="n">
        <x:f>IF('全量明细'!E721="","",'全量明细'!E721)</x:f>
        <x:v>0.21269129999999997</x:v>
      </x:c>
      <x:c r="J5" s="23" t="n">
        <x:f>IF('全量明细'!F721="","",'全量明细'!F721)</x:f>
        <x:v>2934</x:v>
      </x:c>
      <x:c r="K5" s="22" t="n">
        <x:f>IF('全量明细'!G721="","",'全量明细'!G721)</x:f>
        <x:v>0.4894</x:v>
      </x:c>
      <x:c r="L5" s="22" t="n">
        <x:f>IF('全量明细'!H721="","",'全量明细'!H721)</x:f>
        <x:v>0.1818</x:v>
      </x:c>
      <x:c r="M5" s="22" t="n">
        <x:f>IF('全量明细'!I721="","",'全量明细'!I721)</x:f>
        <x:v>0.24230000000000002</x:v>
      </x:c>
      <x:c r="N5" s="24" t="n">
        <x:f>IF('全量明细'!J721="","",'全量明细'!J721)</x:f>
        <x:v>-6.0500000000000025</x:v>
      </x:c>
      <x:c r="O5" s="24" t="n">
        <x:f>IF(AND(ISNUMBER(C5),ISNUMBER(I5)),(I5-C5)*100,"")</x:f>
        <x:v>3.8932909999999987</x:v>
      </x:c>
      <x:c r="P5" s="31" t="str"/>
    </x:row>
    <x:row r="6" ht="25" customHeight="1">
      <x:c r="A6" s="2" t="str">
        <x:v>涅奥</x:v>
      </x:c>
      <x:c r="B6" s="2" t="str">
        <x:v>白银熔炉</x:v>
      </x:c>
      <x:c r="C6" s="28" t="n">
        <x:f>IF('全量明细'!E222="","",'全量明细'!E222)</x:f>
        <x:v>0.17089458</x:v>
      </x:c>
      <x:c r="D6" s="12" t="n">
        <x:f>IF('全量明细'!F222="","",'全量明细'!F222)</x:f>
        <x:v>8508</x:v>
      </x:c>
      <x:c r="E6" s="11" t="n">
        <x:f>IF('全量明细'!G222="","",'全量明细'!G222)</x:f>
        <x:v>0.7043</x:v>
      </x:c>
      <x:c r="F6" s="11" t="n">
        <x:f>IF('全量明细'!H222="","",'全量明细'!H222)</x:f>
        <x:v>0.18289999999999998</x:v>
      </x:c>
      <x:c r="G6" s="11" t="n">
        <x:f>IF('全量明细'!I222="","",'全量明细'!I222)</x:f>
        <x:v>0.1423</x:v>
      </x:c>
      <x:c r="H6" s="14" t="n">
        <x:f>IF('全量明细'!J222="","",'全量明细'!J222)</x:f>
        <x:v>4.059999999999997</x:v>
      </x:c>
      <x:c r="I6" s="28" t="n">
        <x:f>IF('全量明细'!E711="","",'全量明细'!E711)</x:f>
        <x:v>0.22413912</x:v>
      </x:c>
      <x:c r="J6" s="12" t="n">
        <x:f>IF('全量明细'!F711="","",'全量明细'!F711)</x:f>
        <x:v>2614</x:v>
      </x:c>
      <x:c r="K6" s="11" t="n">
        <x:f>IF('全量明细'!G711="","",'全量明细'!G711)</x:f>
        <x:v>0.7131000000000001</x:v>
      </x:c>
      <x:c r="L6" s="11" t="n">
        <x:f>IF('全量明细'!H711="","",'全量明细'!H711)</x:f>
        <x:v>0.2285</x:v>
      </x:c>
      <x:c r="M6" s="11" t="n">
        <x:f>IF('全量明细'!I711="","",'全量明细'!I711)</x:f>
        <x:v>0.2133</x:v>
      </x:c>
      <x:c r="N6" s="14" t="n">
        <x:f>IF('全量明细'!J711="","",'全量明细'!J711)</x:f>
        <x:v>1.5200000000000018</x:v>
      </x:c>
      <x:c r="O6" s="14" t="n">
        <x:f>IF(AND(ISNUMBER(C6),ISNUMBER(I6)),(I6-C6)*100,"")</x:f>
        <x:v>5.324454000000001</x:v>
      </x:c>
      <x:c r="P6" s="17" t="str"/>
    </x:row>
    <x:row r="7" ht="25" customHeight="1">
      <x:c r="A7" s="2" t="str">
        <x:v>涅奥</x:v>
      </x:c>
      <x:c r="B7" s="2" t="str">
        <x:v>沉重石板</x:v>
      </x:c>
      <x:c r="C7" s="28" t="n">
        <x:f>IF('全量明细'!E229="","",'全量明细'!E229)</x:f>
        <x:v>0.15619534000000002</x:v>
      </x:c>
      <x:c r="D7" s="12" t="n">
        <x:f>IF('全量明细'!F229="","",'全量明细'!F229)</x:f>
        <x:v>7829</x:v>
      </x:c>
      <x:c r="E7" s="11" t="n">
        <x:f>IF('全量明细'!G229="","",'全量明细'!G229)</x:f>
        <x:v>0.5529</x:v>
      </x:c>
      <x:c r="F7" s="11" t="n">
        <x:f>IF('全量明细'!H229="","",'全量明细'!H229)</x:f>
        <x:v>0.10460000000000001</x:v>
      </x:c>
      <x:c r="G7" s="11" t="n">
        <x:f>IF('全量明细'!I229="","",'全量明细'!I229)</x:f>
        <x:v>0.22</x:v>
      </x:c>
      <x:c r="H7" s="14" t="n">
        <x:f>IF('全量明细'!J229="","",'全量明细'!J229)</x:f>
        <x:v>-11.54</x:v>
      </x:c>
      <x:c r="I7" s="28" t="n">
        <x:f>IF('全量明细'!E725="","",'全量明细'!E725)</x:f>
        <x:v>0.2047738</x:v>
      </x:c>
      <x:c r="J7" s="12" t="n">
        <x:f>IF('全量明细'!F725="","",'全量明细'!F725)</x:f>
        <x:v>2510</x:v>
      </x:c>
      <x:c r="K7" s="11" t="n">
        <x:f>IF('全量明细'!G725="","",'全量明细'!G725)</x:f>
        <x:v>0.506</x:v>
      </x:c>
      <x:c r="L7" s="11" t="n">
        <x:f>IF('全量明细'!H725="","",'全量明细'!H725)</x:f>
        <x:v>0.1244</x:v>
      </x:c>
      <x:c r="M7" s="11" t="n">
        <x:f>IF('全量明细'!I725="","",'全量明细'!I725)</x:f>
        <x:v>0.2871</x:v>
      </x:c>
      <x:c r="N7" s="14" t="n">
        <x:f>IF('全量明细'!J725="","",'全量明细'!J725)</x:f>
        <x:v>-16.27</x:v>
      </x:c>
      <x:c r="O7" s="14" t="n">
        <x:f>IF(AND(ISNUMBER(C7),ISNUMBER(I7)),(I7-C7)*100,"")</x:f>
        <x:v>4.8578459999999986</x:v>
      </x:c>
      <x:c r="P7" s="17" t="str"/>
    </x:row>
    <x:row r="8" ht="25" customHeight="1">
      <x:c r="A8" s="2" t="str">
        <x:v>涅奥</x:v>
      </x:c>
      <x:c r="B8" s="2" t="str">
        <x:v>橙型香盒</x:v>
      </x:c>
      <x:c r="C8" s="28" t="n">
        <x:f>IF('全量明细'!E210="","",'全量明细'!E210)</x:f>
        <x:v>0.17750918999999998</x:v>
      </x:c>
      <x:c r="D8" s="12" t="n">
        <x:f>IF('全量明细'!F210="","",'全量明细'!F210)</x:f>
        <x:v>4231</x:v>
      </x:c>
      <x:c r="E8" s="11" t="n">
        <x:f>IF('全量明细'!G210="","",'全量明细'!G210)</x:f>
        <x:v>0.2531</x:v>
      </x:c>
      <x:c r="F8" s="11" t="n">
        <x:f>IF('全量明细'!H210="","",'全量明细'!H210)</x:f>
        <x:v>0.17370000000000002</x:v>
      </x:c>
      <x:c r="G8" s="11" t="n">
        <x:f>IF('全量明细'!I210="","",'全量明细'!I210)</x:f>
        <x:v>0.1788</x:v>
      </x:c>
      <x:c r="H8" s="14" t="n">
        <x:f>IF('全量明细'!J210="","",'全量明细'!J210)</x:f>
        <x:v>-0.5099999999999966</x:v>
      </x:c>
      <x:c r="I8" s="28" t="n">
        <x:f>IF('全量明细'!E728="","",'全量明细'!E728)</x:f>
        <x:v>0.20232359999999996</x:v>
      </x:c>
      <x:c r="J8" s="12" t="n">
        <x:f>IF('全量明细'!F728="","",'全量明细'!F728)</x:f>
        <x:v>1641</x:v>
      </x:c>
      <x:c r="K8" s="11" t="n">
        <x:f>IF('全量明细'!G728="","",'全量明细'!G728)</x:f>
        <x:v>0.298</x:v>
      </x:c>
      <x:c r="L8" s="11" t="n">
        <x:f>IF('全量明细'!H728="","",'全量明细'!H728)</x:f>
        <x:v>0.18</x:v>
      </x:c>
      <x:c r="M8" s="11" t="n">
        <x:f>IF('全量明细'!I728="","",'全量明细'!I728)</x:f>
        <x:v>0.2118</x:v>
      </x:c>
      <x:c r="N8" s="14" t="n">
        <x:f>IF('全量明细'!J728="","",'全量明细'!J728)</x:f>
        <x:v>-3.1799999999999997</x:v>
      </x:c>
      <x:c r="O8" s="14" t="n">
        <x:f>IF(AND(ISNUMBER(C8),ISNUMBER(I8)),(I8-C8)*100,"")</x:f>
        <x:v>2.481440999999998</x:v>
      </x:c>
      <x:c r="P8" s="17" t="str"/>
    </x:row>
    <x:row r="9" ht="25" customHeight="1">
      <x:c r="A9" s="2" t="str">
        <x:v>涅奥</x:v>
      </x:c>
      <x:c r="B9" s="2" t="str">
        <x:v>钓鱼竿</x:v>
      </x:c>
      <x:c r="C9" s="28" t="n">
        <x:f>IF('全量明细'!E227="","",'全量明细'!E227)</x:f>
        <x:v>0.16863519999999999</x:v>
      </x:c>
      <x:c r="D9" s="12" t="n">
        <x:f>IF('全量明细'!F227="","",'全量明细'!F227)</x:f>
        <x:v>8426</x:v>
      </x:c>
      <x:c r="E9" s="11" t="n">
        <x:f>IF('全量明细'!G227="","",'全量明细'!G227)</x:f>
        <x:v>0.22769999999999999</x:v>
      </x:c>
      <x:c r="F9" s="11" t="n">
        <x:f>IF('全量明细'!H227="","",'全量明细'!H227)</x:f>
        <x:v>0.1501</x:v>
      </x:c>
      <x:c r="G9" s="11" t="n">
        <x:f>IF('全量明细'!I227="","",'全量明细'!I227)</x:f>
        <x:v>0.1741</x:v>
      </x:c>
      <x:c r="H9" s="14" t="n">
        <x:f>IF('全量明细'!J227="","",'全量明细'!J227)</x:f>
        <x:v>-2.3999999999999995</x:v>
      </x:c>
      <x:c r="I9" s="28" t="n">
        <x:f>IF('全量明细'!E708="","",'全量明细'!E708)</x:f>
        <x:v>0.2256889</x:v>
      </x:c>
      <x:c r="J9" s="12" t="n">
        <x:f>IF('全量明细'!F708="","",'全量明细'!F708)</x:f>
        <x:v>3168</x:v>
      </x:c>
      <x:c r="K9" s="11" t="n">
        <x:f>IF('全量明细'!G708="","",'全量明细'!G708)</x:f>
        <x:v>0.203</x:v>
      </x:c>
      <x:c r="L9" s="11" t="n">
        <x:f>IF('全量明细'!H708="","",'全量明细'!H708)</x:f>
        <x:v>0.20679999999999998</x:v>
      </x:c>
      <x:c r="M9" s="11" t="n">
        <x:f>IF('全量明细'!I708="","",'全量明细'!I708)</x:f>
        <x:v>0.2305</x:v>
      </x:c>
      <x:c r="N9" s="14" t="n">
        <x:f>IF('全量明细'!J708="","",'全量明细'!J708)</x:f>
        <x:v>-2.3700000000000028</x:v>
      </x:c>
      <x:c r="O9" s="14" t="n">
        <x:f>IF(AND(ISNUMBER(C9),ISNUMBER(I9)),(I9-C9)*100,"")</x:f>
        <x:v>5.705370000000001</x:v>
      </x:c>
      <x:c r="P9" s="17" t="str"/>
    </x:row>
    <x:row r="10" ht="25" customHeight="1">
      <x:c r="A10" s="2" t="str">
        <x:v>涅奥</x:v>
      </x:c>
      <x:c r="B10" s="2" t="str">
        <x:v>轰鸣海螺</x:v>
      </x:c>
      <x:c r="C10" s="28" t="n">
        <x:f>IF('全量明细'!E213="","",'全量明细'!E213)</x:f>
        <x:v>0.17509004</x:v>
      </x:c>
      <x:c r="D10" s="12" t="n">
        <x:f>IF('全量明细'!F213="","",'全量明细'!F213)</x:f>
        <x:v>8323</x:v>
      </x:c>
      <x:c r="E10" s="11" t="n">
        <x:f>IF('全量明细'!G213="","",'全量明细'!G213)</x:f>
        <x:v>0.11470000000000001</x:v>
      </x:c>
      <x:c r="F10" s="11" t="n">
        <x:f>IF('全量明细'!H213="","",'全量明细'!H213)</x:f>
        <x:v>0.2576</x:v>
      </x:c>
      <x:c r="G10" s="11" t="n">
        <x:f>IF('全量明细'!I213="","",'全量明细'!I213)</x:f>
        <x:v>0.16440000000000002</x:v>
      </x:c>
      <x:c r="H10" s="14" t="n">
        <x:f>IF('全量明细'!J213="","",'全量明细'!J213)</x:f>
        <x:v>9.319999999999999</x:v>
      </x:c>
      <x:c r="I10" s="28" t="n">
        <x:f>IF('全量明细'!E720="","",'全量明细'!E720)</x:f>
        <x:v>0.21282372000000002</x:v>
      </x:c>
      <x:c r="J10" s="12" t="n">
        <x:f>IF('全量明细'!F720="","",'全量明细'!F720)</x:f>
        <x:v>3096</x:v>
      </x:c>
      <x:c r="K10" s="11" t="n">
        <x:f>IF('全量明细'!G720="","",'全量明细'!G720)</x:f>
        <x:v>0.16760000000000003</x:v>
      </x:c>
      <x:c r="L10" s="11" t="n">
        <x:f>IF('全量明细'!H720="","",'全量明细'!H720)</x:f>
        <x:v>0.30829999999999996</x:v>
      </x:c>
      <x:c r="M10" s="11" t="n">
        <x:f>IF('全量明细'!I720="","",'全量明细'!I720)</x:f>
        <x:v>0.1936</x:v>
      </x:c>
      <x:c r="N10" s="14" t="n">
        <x:f>IF('全量明细'!J720="","",'全量明细'!J720)</x:f>
        <x:v>11.469999999999997</x:v>
      </x:c>
      <x:c r="O10" s="14" t="n">
        <x:f>IF(AND(ISNUMBER(C10),ISNUMBER(I10)),(I10-C10)*100,"")</x:f>
        <x:v>3.773368000000002</x:v>
      </x:c>
      <x:c r="P10" s="17" t="str"/>
    </x:row>
    <x:row r="11" ht="25" customHeight="1">
      <x:c r="A11" s="2" t="str">
        <x:v>涅奥</x:v>
      </x:c>
      <x:c r="B11" s="2" t="str">
        <x:v>华美发束</x:v>
      </x:c>
      <x:c r="C11" s="28" t="n">
        <x:f>IF('全量明细'!E224="","",'全量明细'!E224)</x:f>
        <x:v>0.1697052</x:v>
      </x:c>
      <x:c r="D11" s="12" t="n">
        <x:f>IF('全量明细'!F224="","",'全量明细'!F224)</x:f>
        <x:v>8490</x:v>
      </x:c>
      <x:c r="E11" s="11" t="n">
        <x:f>IF('全量明细'!G224="","",'全量明细'!G224)</x:f>
        <x:v>0.738</x:v>
      </x:c>
      <x:c r="F11" s="11" t="n">
        <x:f>IF('全量明细'!H224="","",'全量明细'!H224)</x:f>
        <x:v>0.1685</x:v>
      </x:c>
      <x:c r="G11" s="11" t="n">
        <x:f>IF('全量明细'!I224="","",'全量明细'!I224)</x:f>
        <x:v>0.17309999999999998</x:v>
      </x:c>
      <x:c r="H11" s="14" t="n">
        <x:f>IF('全量明细'!J224="","",'全量明细'!J224)</x:f>
        <x:v>-0.4599999999999965</x:v>
      </x:c>
      <x:c r="I11" s="28" t="n">
        <x:f>IF('全量明细'!E714="","",'全量明细'!E714)</x:f>
        <x:v>0.22111653999999997</x:v>
      </x:c>
      <x:c r="J11" s="12" t="n">
        <x:f>IF('全量明细'!F714="","",'全量明细'!F714)</x:f>
        <x:v>2582</x:v>
      </x:c>
      <x:c r="K11" s="11" t="n">
        <x:f>IF('全量明细'!G714="","",'全量明细'!G714)</x:f>
        <x:v>0.7293000000000001</x:v>
      </x:c>
      <x:c r="L11" s="11" t="n">
        <x:f>IF('全量明细'!H714="","",'全量明细'!H714)</x:f>
        <x:v>0.21239999999999998</x:v>
      </x:c>
      <x:c r="M11" s="11" t="n">
        <x:f>IF('全量明细'!I714="","",'全量明细'!I714)</x:f>
        <x:v>0.2446</x:v>
      </x:c>
      <x:c r="N11" s="14" t="n">
        <x:f>IF('全量明细'!J714="","",'全量明细'!J714)</x:f>
        <x:v>-3.2200000000000033</x:v>
      </x:c>
      <x:c r="O11" s="14" t="n">
        <x:f>IF(AND(ISNUMBER(C11),ISNUMBER(I11)),(I11-C11)*100,"")</x:f>
        <x:v>5.141133999999997</x:v>
      </x:c>
      <x:c r="P11" s="17" t="str"/>
    </x:row>
    <x:row r="12" ht="25" customHeight="1">
      <x:c r="A12" s="2" t="str">
        <x:v>涅奥</x:v>
      </x:c>
      <x:c r="B12" s="2" t="str">
        <x:v>金色珍珠</x:v>
      </x:c>
      <x:c r="C12" s="28" t="n">
        <x:f>IF('全量明细'!E207="","",'全量明细'!E207)</x:f>
        <x:v>0.18032969999999998</x:v>
      </x:c>
      <x:c r="D12" s="12" t="n">
        <x:f>IF('全量明细'!F207="","",'全量明细'!F207)</x:f>
        <x:v>7310</x:v>
      </x:c>
      <x:c r="E12" s="11" t="n">
        <x:f>IF('全量明细'!G207="","",'全量明细'!G207)</x:f>
        <x:v>0.349</x:v>
      </x:c>
      <x:c r="F12" s="11" t="n">
        <x:f>IF('全量明细'!H207="","",'全量明细'!H207)</x:f>
        <x:v>0.1968</x:v>
      </x:c>
      <x:c r="G12" s="11" t="n">
        <x:f>IF('全量明细'!I207="","",'全量明细'!I207)</x:f>
        <x:v>0.17149999999999999</x:v>
      </x:c>
      <x:c r="H12" s="14" t="n">
        <x:f>IF('全量明细'!J207="","",'全量明细'!J207)</x:f>
        <x:v>2.5300000000000016</x:v>
      </x:c>
      <x:c r="I12" s="28" t="n">
        <x:f>IF('全量明细'!E704="","",'全量明细'!E704)</x:f>
        <x:v>0.2306607</x:v>
      </x:c>
      <x:c r="J12" s="12" t="n">
        <x:f>IF('全量明细'!F704="","",'全量明细'!F704)</x:f>
        <x:v>2957</x:v>
      </x:c>
      <x:c r="K12" s="11" t="n">
        <x:f>IF('全量明细'!G704="","",'全量明细'!G704)</x:f>
        <x:v>0.42950000000000005</x:v>
      </x:c>
      <x:c r="L12" s="11" t="n">
        <x:f>IF('全量明细'!H704="","",'全量明细'!H704)</x:f>
        <x:v>0.2504</x:v>
      </x:c>
      <x:c r="M12" s="11" t="n">
        <x:f>IF('全量明细'!I704="","",'全量明细'!I704)</x:f>
        <x:v>0.2158</x:v>
      </x:c>
      <x:c r="N12" s="14" t="n">
        <x:f>IF('全量明细'!J704="","",'全量明细'!J704)</x:f>
        <x:v>3.4600000000000017</x:v>
      </x:c>
      <x:c r="O12" s="14" t="n">
        <x:f>IF(AND(ISNUMBER(C12),ISNUMBER(I12)),(I12-C12)*100,"")</x:f>
        <x:v>5.033100000000001</x:v>
      </x:c>
      <x:c r="P12" s="17" t="str"/>
    </x:row>
    <x:row r="13" ht="25" customHeight="1">
      <x:c r="A13" s="2" t="str">
        <x:v>涅奥</x:v>
      </x:c>
      <x:c r="B13" s="2" t="str">
        <x:v>精准剪刀</x:v>
      </x:c>
      <x:c r="C13" s="28" t="n">
        <x:f>IF('全量明细'!E228="","",'全量明细'!E228)</x:f>
        <x:v>0.16854841999999998</x:v>
      </x:c>
      <x:c r="D13" s="12" t="n">
        <x:f>IF('全量明细'!F228="","",'全量明细'!F228)</x:f>
        <x:v>7328</x:v>
      </x:c>
      <x:c r="E13" s="11" t="n">
        <x:f>IF('全量明细'!G228="","",'全量明细'!G228)</x:f>
        <x:v>0.1438</x:v>
      </x:c>
      <x:c r="F13" s="11" t="n">
        <x:f>IF('全量明细'!H228="","",'全量明细'!H228)</x:f>
        <x:v>0.1736</x:v>
      </x:c>
      <x:c r="G13" s="11" t="n">
        <x:f>IF('全量明细'!I228="","",'全量明细'!I228)</x:f>
        <x:v>0.1677</x:v>
      </x:c>
      <x:c r="H13" s="14" t="n">
        <x:f>IF('全量明细'!J228="","",'全量明细'!J228)</x:f>
        <x:v>0.5900000000000016</x:v>
      </x:c>
      <x:c r="I13" s="28" t="n">
        <x:f>IF('全量明细'!E727="","",'全量明细'!E727)</x:f>
        <x:v>0.20353297999999997</x:v>
      </x:c>
      <x:c r="J13" s="12" t="n">
        <x:f>IF('全量明细'!F727="","",'全量明细'!F727)</x:f>
        <x:v>2835</x:v>
      </x:c>
      <x:c r="K13" s="11" t="n">
        <x:f>IF('全量明细'!G727="","",'全量明细'!G727)</x:f>
        <x:v>0.1549</x:v>
      </x:c>
      <x:c r="L13" s="11" t="n">
        <x:f>IF('全量明细'!H727="","",'全量明细'!H727)</x:f>
        <x:v>0.1868</x:v>
      </x:c>
      <x:c r="M13" s="11" t="n">
        <x:f>IF('全量明细'!I727="","",'全量明细'!I727)</x:f>
        <x:v>0.2066</x:v>
      </x:c>
      <x:c r="N13" s="14" t="n">
        <x:f>IF('全量明细'!J727="","",'全量明细'!J727)</x:f>
        <x:v>-1.9800000000000013</x:v>
      </x:c>
      <x:c r="O13" s="14" t="n">
        <x:f>IF(AND(ISNUMBER(C13),ISNUMBER(I13)),(I13-C13)*100,"")</x:f>
        <x:v>3.498456</x:v>
      </x:c>
      <x:c r="P13" s="17" t="str"/>
    </x:row>
    <x:row r="14" ht="64" customHeight="1">
      <x:c r="A14" s="21" t="str">
        <x:v>涅奥</x:v>
      </x:c>
      <x:c r="B14" s="21" t="str">
        <x:v>巨大卷轴</x:v>
      </x:c>
      <x:c r="C14" s="28" t="str">
        <x:f>IF('全量明细'!E230="","",'全量明细'!E230)</x:f>
      </x:c>
      <x:c r="D14" s="12" t="n">
        <x:f>IF('全量明细'!F230="","",'全量明细'!F230)</x:f>
        <x:v>2</x:v>
      </x:c>
      <x:c r="E14" s="11" t="str">
        <x:f>IF('全量明细'!G230="","",'全量明细'!G230)</x:f>
      </x:c>
      <x:c r="F14" s="11" t="str">
        <x:f>IF('全量明细'!H230="","",'全量明细'!H230)</x:f>
      </x:c>
      <x:c r="G14" s="11" t="str">
        <x:f>IF('全量明细'!I230="","",'全量明细'!I230)</x:f>
      </x:c>
      <x:c r="H14" s="14" t="str">
        <x:f>IF('全量明细'!J230="","",'全量明细'!J230)</x:f>
      </x:c>
      <x:c r="I14" s="28"/>
      <x:c r="J14" s="12"/>
      <x:c r="K14" s="11"/>
      <x:c r="L14" s="11"/>
      <x:c r="M14" s="11"/>
      <x:c r="N14" s="14"/>
      <x:c r="O14" s="14" t="str">
        <x:f>IF(AND(ISNUMBER(C14),ISNUMBER(I14)),(I14-C14)*100,"")</x:f>
      </x:c>
      <x:c r="P14" s="17" t="str">
        <x:v>出现次数&lt;100；一组占比显示为零，其胜率及选跳差留空</x:v>
      </x:c>
    </x:row>
    <x:row r="15" ht="25" customHeight="1">
      <x:c r="A15" s="2" t="str">
        <x:v>涅奥</x:v>
      </x:c>
      <x:c r="B15" s="2" t="str">
        <x:v>巨大扭蛋</x:v>
      </x:c>
      <x:c r="C15" s="28" t="n">
        <x:f>IF('全量明细'!E206="","",'全量明细'!E206)</x:f>
        <x:v>0.18143148</x:v>
      </x:c>
      <x:c r="D15" s="12" t="n">
        <x:f>IF('全量明细'!F206="","",'全量明细'!F206)</x:f>
        <x:v>7320</x:v>
      </x:c>
      <x:c r="E15" s="11" t="n">
        <x:f>IF('全量明细'!G206="","",'全量明细'!G206)</x:f>
        <x:v>0.2874</x:v>
      </x:c>
      <x:c r="F15" s="11" t="n">
        <x:f>IF('全量明细'!H206="","",'全量明细'!H206)</x:f>
        <x:v>0.1887</x:v>
      </x:c>
      <x:c r="G15" s="11" t="n">
        <x:f>IF('全量明细'!I206="","",'全量明细'!I206)</x:f>
        <x:v>0.17850000000000002</x:v>
      </x:c>
      <x:c r="H15" s="14" t="n">
        <x:f>IF('全量明细'!J206="","",'全量明细'!J206)</x:f>
        <x:v>1.0199999999999987</x:v>
      </x:c>
      <x:c r="I15" s="28" t="n">
        <x:f>IF('全量明细'!E705="","",'全量明细'!E705)</x:f>
        <x:v>0.22822340000000002</x:v>
      </x:c>
      <x:c r="J15" s="12" t="n">
        <x:f>IF('全量明细'!F705="","",'全量明细'!F705)</x:f>
        <x:v>2309</x:v>
      </x:c>
      <x:c r="K15" s="11" t="n">
        <x:f>IF('全量明细'!G705="","",'全量明细'!G705)</x:f>
        <x:v>0.32520000000000004</x:v>
      </x:c>
      <x:c r="L15" s="11" t="n">
        <x:f>IF('全量明细'!H705="","",'全量明细'!H705)</x:f>
        <x:v>0.265</x:v>
      </x:c>
      <x:c r="M15" s="11" t="n">
        <x:f>IF('全量明细'!I705="","",'全量明细'!I705)</x:f>
        <x:v>0.21050000000000002</x:v>
      </x:c>
      <x:c r="N15" s="14" t="n">
        <x:f>IF('全量明细'!J705="","",'全量明细'!J705)</x:f>
        <x:v>5.449999999999999</x:v>
      </x:c>
      <x:c r="O15" s="14" t="n">
        <x:f>IF(AND(ISNUMBER(C15),ISNUMBER(I15)),(I15-C15)*100,"")</x:f>
        <x:v>4.679192000000001</x:v>
      </x:c>
      <x:c r="P15" s="17" t="str"/>
    </x:row>
    <x:row r="16" ht="25" customHeight="1">
      <x:c r="A16" s="2" t="str">
        <x:v>涅奥</x:v>
      </x:c>
      <x:c r="B16" s="2" t="str">
        <x:v>卷轴箱</x:v>
      </x:c>
      <x:c r="C16" s="28" t="n">
        <x:f>IF('全量明细'!E214="","",'全量明细'!E214)</x:f>
        <x:v>0.1744536</x:v>
      </x:c>
      <x:c r="D16" s="12" t="n">
        <x:f>IF('全量明细'!F214="","",'全量明细'!F214)</x:f>
        <x:v>8190</x:v>
      </x:c>
      <x:c r="E16" s="11" t="n">
        <x:f>IF('全量明细'!G214="","",'全量明细'!G214)</x:f>
        <x:v>0.344</x:v>
      </x:c>
      <x:c r="F16" s="11" t="n">
        <x:f>IF('全量明细'!H214="","",'全量明细'!H214)</x:f>
        <x:v>0.1757</x:v>
      </x:c>
      <x:c r="G16" s="11" t="n">
        <x:f>IF('全量明细'!I214="","",'全量明细'!I214)</x:f>
        <x:v>0.17379999999999998</x:v>
      </x:c>
      <x:c r="H16" s="14" t="n">
        <x:f>IF('全量明细'!J214="","",'全量明细'!J214)</x:f>
        <x:v>0.19000000000000128</x:v>
      </x:c>
      <x:c r="I16" s="28" t="n">
        <x:f>IF('全量明细'!E724="","",'全量明细'!E724)</x:f>
        <x:v>0.20504292999999996</x:v>
      </x:c>
      <x:c r="J16" s="12" t="n">
        <x:f>IF('全量明细'!F724="","",'全量明细'!F724)</x:f>
        <x:v>3146</x:v>
      </x:c>
      <x:c r="K16" s="11" t="n">
        <x:f>IF('全量明细'!G724="","",'全量明细'!G724)</x:f>
        <x:v>0.3557</x:v>
      </x:c>
      <x:c r="L16" s="11" t="n">
        <x:f>IF('全量明细'!H724="","",'全量明细'!H724)</x:f>
        <x:v>0.2082</x:v>
      </x:c>
      <x:c r="M16" s="11" t="n">
        <x:f>IF('全量明细'!I724="","",'全量明细'!I724)</x:f>
        <x:v>0.20329999999999998</x:v>
      </x:c>
      <x:c r="N16" s="14" t="n">
        <x:f>IF('全量明细'!J724="","",'全量明细'!J724)</x:f>
        <x:v>0.49000000000000155</x:v>
      </x:c>
      <x:c r="O16" s="14" t="n">
        <x:f>IF(AND(ISNUMBER(C16),ISNUMBER(I16)),(I16-C16)*100,"")</x:f>
        <x:v>3.058932999999997</x:v>
      </x:c>
      <x:c r="P16" s="17" t="str"/>
    </x:row>
    <x:row r="17" ht="25" customHeight="1">
      <x:c r="A17" s="2" t="str">
        <x:v>涅奥</x:v>
      </x:c>
      <x:c r="B17" s="2" t="str">
        <x:v>涅奥的护符</x:v>
      </x:c>
      <x:c r="C17" s="28" t="n">
        <x:f>IF('全量明细'!E209="","",'全量明细'!E209)</x:f>
        <x:v>0.17829385000000003</x:v>
      </x:c>
      <x:c r="D17" s="12" t="n">
        <x:f>IF('全量明细'!F209="","",'全量明细'!F209)</x:f>
        <x:v>4155</x:v>
      </x:c>
      <x:c r="E17" s="11" t="n">
        <x:f>IF('全量明细'!G209="","",'全量明细'!G209)</x:f>
        <x:v>0.0787</x:v>
      </x:c>
      <x:c r="F17" s="11" t="n">
        <x:f>IF('全量明细'!H209="","",'全量明细'!H209)</x:f>
        <x:v>0.21100000000000002</x:v>
      </x:c>
      <x:c r="G17" s="11" t="n">
        <x:f>IF('全量明细'!I209="","",'全量明细'!I209)</x:f>
        <x:v>0.17550000000000002</x:v>
      </x:c>
      <x:c r="H17" s="14" t="n">
        <x:f>IF('全量明细'!J209="","",'全量明细'!J209)</x:f>
        <x:v>3.5500000000000003</x:v>
      </x:c>
      <x:c r="I17" s="28" t="n">
        <x:f>IF('全量明细'!E702="","",'全量明细'!E702)</x:f>
        <x:v>0.23943346999999998</x:v>
      </x:c>
      <x:c r="J17" s="12" t="n">
        <x:f>IF('全量明细'!F702="","",'全量明细'!F702)</x:f>
        <x:v>1583</x:v>
      </x:c>
      <x:c r="K17" s="11" t="n">
        <x:f>IF('全量明细'!G702="","",'全量明细'!G702)</x:f>
        <x:v>0.0897</x:v>
      </x:c>
      <x:c r="L17" s="11" t="n">
        <x:f>IF('全量明细'!H702="","",'全量明细'!H702)</x:f>
        <x:v>0.3169</x:v>
      </x:c>
      <x:c r="M17" s="11" t="n">
        <x:f>IF('全量明细'!I702="","",'全量明细'!I702)</x:f>
        <x:v>0.2318</x:v>
      </x:c>
      <x:c r="N17" s="14" t="n">
        <x:f>IF('全量明细'!J702="","",'全量明细'!J702)</x:f>
        <x:v>8.510000000000002</x:v>
      </x:c>
      <x:c r="O17" s="14" t="n">
        <x:f>IF(AND(ISNUMBER(C17),ISNUMBER(I17)),(I17-C17)*100,"")</x:f>
        <x:v>6.1139619999999955</x:v>
      </x:c>
      <x:c r="P17" s="17" t="str"/>
    </x:row>
    <x:row r="18" ht="25" customHeight="1">
      <x:c r="A18" s="2" t="str">
        <x:v>涅奥</x:v>
      </x:c>
      <x:c r="B18" s="2" t="str">
        <x:v>涅奥的苦痛</x:v>
      </x:c>
      <x:c r="C18" s="28" t="n">
        <x:f>IF('全量明细'!E208="","",'全量明细'!E208)</x:f>
        <x:v>0.179224</x:v>
      </x:c>
      <x:c r="D18" s="12" t="n">
        <x:f>IF('全量明细'!F208="","",'全量明细'!F208)</x:f>
        <x:v>7927</x:v>
      </x:c>
      <x:c r="E18" s="11" t="n">
        <x:f>IF('全量明细'!G208="","",'全量明细'!G208)</x:f>
        <x:v>0.08349999999999999</x:v>
      </x:c>
      <x:c r="F18" s="11" t="n">
        <x:f>IF('全量明细'!H208="","",'全量明细'!H208)</x:f>
        <x:v>0.31120000000000003</x:v>
      </x:c>
      <x:c r="G18" s="11" t="n">
        <x:f>IF('全量明细'!I208="","",'全量明细'!I208)</x:f>
        <x:v>0.1672</x:v>
      </x:c>
      <x:c r="H18" s="14" t="n">
        <x:f>IF('全量明细'!J208="","",'全量明细'!J208)</x:f>
        <x:v>14.400000000000004</x:v>
      </x:c>
      <x:c r="I18" s="28" t="n">
        <x:f>IF('全量明细'!E716="","",'全量明细'!E716)</x:f>
        <x:v>0.22021908000000004</x:v>
      </x:c>
      <x:c r="J18" s="12" t="n">
        <x:f>IF('全量明细'!F716="","",'全量明细'!F716)</x:f>
        <x:v>3287</x:v>
      </x:c>
      <x:c r="K18" s="11" t="n">
        <x:f>IF('全量明细'!G716="","",'全量明细'!G716)</x:f>
        <x:v>0.10619999999999999</x:v>
      </x:c>
      <x:c r="L18" s="11" t="n">
        <x:f>IF('全量明细'!H716="","",'全量明细'!H716)</x:f>
        <x:v>0.3037</x:v>
      </x:c>
      <x:c r="M18" s="11" t="n">
        <x:f>IF('全量明细'!I716="","",'全量明细'!I716)</x:f>
        <x:v>0.21030000000000001</x:v>
      </x:c>
      <x:c r="N18" s="14" t="n">
        <x:f>IF('全量明细'!J716="","",'全量明细'!J716)</x:f>
        <x:v>9.340000000000002</x:v>
      </x:c>
      <x:c r="O18" s="14" t="n">
        <x:f>IF(AND(ISNUMBER(C18),ISNUMBER(I18)),(I18-C18)*100,"")</x:f>
        <x:v>4.099508000000005</x:v>
      </x:c>
      <x:c r="P18" s="17" t="str"/>
    </x:row>
    <x:row r="19" ht="25" customHeight="1">
      <x:c r="A19" s="2" t="str">
        <x:v>涅奥</x:v>
      </x:c>
      <x:c r="B19" s="2" t="str">
        <x:v>涅奥的牺牲</x:v>
      </x:c>
      <x:c r="C19" s="28"/>
      <x:c r="D19" s="12"/>
      <x:c r="E19" s="11"/>
      <x:c r="F19" s="11"/>
      <x:c r="G19" s="11"/>
      <x:c r="H19" s="14"/>
      <x:c r="I19" s="28" t="n">
        <x:f>IF('全量明细'!E701="","",'全量明细'!E701)</x:f>
        <x:v>0.24435248</x:v>
      </x:c>
      <x:c r="J19" s="12" t="n">
        <x:f>IF('全量明细'!F701="","",'全量明细'!F701)</x:f>
        <x:v>2267</x:v>
      </x:c>
      <x:c r="K19" s="11" t="n">
        <x:f>IF('全量明细'!G701="","",'全量明细'!G701)</x:f>
        <x:v>0.1557</x:v>
      </x:c>
      <x:c r="L19" s="11" t="n">
        <x:f>IF('全量明细'!H701="","",'全量明细'!H701)</x:f>
        <x:v>0.3173</x:v>
      </x:c>
      <x:c r="M19" s="11" t="n">
        <x:f>IF('全量明细'!I701="","",'全量明细'!I701)</x:f>
        <x:v>0.2309</x:v>
      </x:c>
      <x:c r="N19" s="14" t="n">
        <x:f>IF('全量明细'!J701="","",'全量明细'!J701)</x:f>
        <x:v>8.640000000000004</x:v>
      </x:c>
      <x:c r="O19" s="14" t="str">
        <x:f>IF(AND(ISNUMBER(C19),ISNUMBER(I19)),(I19-C19)*100,"")</x:f>
      </x:c>
      <x:c r="P19" s="17" t="str"/>
    </x:row>
    <x:row r="20" ht="25" customHeight="1">
      <x:c r="A20" s="2" t="str">
        <x:v>涅奥</x:v>
      </x:c>
      <x:c r="B20" s="2" t="str">
        <x:v>涅奥骨骰</x:v>
      </x:c>
      <x:c r="C20" s="28" t="n">
        <x:f>IF('全量明细'!E225="","",'全量明细'!E225)</x:f>
        <x:v>0.16930345000000002</x:v>
      </x:c>
      <x:c r="D20" s="12" t="n">
        <x:f>IF('全量明细'!F225="","",'全量明细'!F225)</x:f>
        <x:v>7373</x:v>
      </x:c>
      <x:c r="E20" s="11" t="n">
        <x:f>IF('全量明细'!G225="","",'全量明细'!G225)</x:f>
        <x:v>0.49689999999999995</x:v>
      </x:c>
      <x:c r="F20" s="11" t="n">
        <x:f>IF('全量明细'!H225="","",'全量明细'!H225)</x:f>
        <x:v>0.1444</x:v>
      </x:c>
      <x:c r="G20" s="11" t="n">
        <x:f>IF('全量明细'!I225="","",'全量明细'!I225)</x:f>
        <x:v>0.19390000000000002</x:v>
      </x:c>
      <x:c r="H20" s="14" t="n">
        <x:f>IF('全量明细'!J225="","",'全量明细'!J225)</x:f>
        <x:v>-4.950000000000002</x:v>
      </x:c>
      <x:c r="I20" s="28" t="n">
        <x:f>IF('全量明细'!E726="","",'全量明细'!E726)</x:f>
        <x:v>0.20393881000000003</x:v>
      </x:c>
      <x:c r="J20" s="12" t="n">
        <x:f>IF('全量明细'!F726="","",'全量明细'!F726)</x:f>
        <x:v>2452</x:v>
      </x:c>
      <x:c r="K20" s="11" t="n">
        <x:f>IF('全量明细'!G726="","",'全量明细'!G726)</x:f>
        <x:v>0.5049</x:v>
      </x:c>
      <x:c r="L20" s="11" t="n">
        <x:f>IF('全量明细'!H726="","",'全量明细'!H726)</x:f>
        <x:v>0.1826</x:v>
      </x:c>
      <x:c r="M20" s="11" t="n">
        <x:f>IF('全量明细'!I726="","",'全量明细'!I726)</x:f>
        <x:v>0.2257</x:v>
      </x:c>
      <x:c r="N20" s="14" t="n">
        <x:f>IF('全量明细'!J726="","",'全量明细'!J726)</x:f>
        <x:v>-4.31</x:v>
      </x:c>
      <x:c r="O20" s="14" t="n">
        <x:f>IF(AND(ISNUMBER(C20),ISNUMBER(I20)),(I20-C20)*100,"")</x:f>
        <x:v>3.4635360000000004</x:v>
      </x:c>
      <x:c r="P20" s="17" t="str"/>
    </x:row>
    <x:row r="21" ht="25" customHeight="1">
      <x:c r="A21" s="2" t="str">
        <x:v>涅奥</x:v>
      </x:c>
      <x:c r="B21" s="2" t="str">
        <x:v>铅制镇纸</x:v>
      </x:c>
      <x:c r="C21" s="28" t="n">
        <x:f>IF('全量明细'!E212="","",'全量明细'!E212)</x:f>
        <x:v>0.17562397999999999</x:v>
      </x:c>
      <x:c r="D21" s="12" t="n">
        <x:f>IF('全量明细'!F212="","",'全量明细'!F212)</x:f>
        <x:v>8152</x:v>
      </x:c>
      <x:c r="E21" s="11" t="n">
        <x:f>IF('全量明细'!G212="","",'全量明细'!G212)</x:f>
        <x:v>0.27390000000000003</x:v>
      </x:c>
      <x:c r="F21" s="11" t="n">
        <x:f>IF('全量明细'!H212="","",'全量明细'!H212)</x:f>
        <x:v>0.1961</x:v>
      </x:c>
      <x:c r="G21" s="11" t="n">
        <x:f>IF('全量明细'!I212="","",'全量明细'!I212)</x:f>
        <x:v>0.1679</x:v>
      </x:c>
      <x:c r="H21" s="14" t="n">
        <x:f>IF('全量明细'!J212="","",'全量明细'!J212)</x:f>
        <x:v>2.8200000000000003</x:v>
      </x:c>
      <x:c r="I21" s="28" t="n">
        <x:f>IF('全量明细'!E717="","",'全量明细'!E717)</x:f>
        <x:v>0.21755991</x:v>
      </x:c>
      <x:c r="J21" s="12" t="n">
        <x:f>IF('全量明细'!F717="","",'全量明细'!F717)</x:f>
        <x:v>3286</x:v>
      </x:c>
      <x:c r="K21" s="11" t="n">
        <x:f>IF('全量明细'!G717="","",'全量明细'!G717)</x:f>
        <x:v>0.2827</x:v>
      </x:c>
      <x:c r="L21" s="11" t="n">
        <x:f>IF('全量明细'!H717="","",'全量明细'!H717)</x:f>
        <x:v>0.2271</x:v>
      </x:c>
      <x:c r="M21" s="11" t="n">
        <x:f>IF('全量明细'!I717="","",'全量明细'!I717)</x:f>
        <x:v>0.2138</x:v>
      </x:c>
      <x:c r="N21" s="14" t="n">
        <x:f>IF('全量明细'!J717="","",'全量明细'!J717)</x:f>
        <x:v>1.3300000000000005</x:v>
      </x:c>
      <x:c r="O21" s="14" t="n">
        <x:f>IF(AND(ISNUMBER(C21),ISNUMBER(I21)),(I21-C21)*100,"")</x:f>
        <x:v>4.193593000000001</x:v>
      </x:c>
      <x:c r="P21" s="17" t="str"/>
    </x:row>
    <x:row r="22" ht="25" customHeight="1">
      <x:c r="A22" s="2" t="str">
        <x:v>涅奥</x:v>
      </x:c>
      <x:c r="B22" s="2" t="str">
        <x:v>熔岩石</x:v>
      </x:c>
      <x:c r="C22" s="28" t="n">
        <x:f>IF('全量明细'!E226="","",'全量明细'!E226)</x:f>
        <x:v>0.16892359999999998</x:v>
      </x:c>
      <x:c r="D22" s="12" t="n">
        <x:f>IF('全量明细'!F226="","",'全量明细'!F226)</x:f>
        <x:v>3646</x:v>
      </x:c>
      <x:c r="E22" s="11" t="n">
        <x:f>IF('全量明细'!G226="","",'全量明细'!G226)</x:f>
        <x:v>0.107</x:v>
      </x:c>
      <x:c r="F22" s="11" t="n">
        <x:f>IF('全量明细'!H226="","",'全量明细'!H226)</x:f>
        <x:v>0.2</x:v>
      </x:c>
      <x:c r="G22" s="11" t="n">
        <x:f>IF('全量明细'!I226="","",'全量明细'!I226)</x:f>
        <x:v>0.16519999999999999</x:v>
      </x:c>
      <x:c r="H22" s="14" t="n">
        <x:f>IF('全量明细'!J226="","",'全量明细'!J226)</x:f>
        <x:v>3.4800000000000026</x:v>
      </x:c>
      <x:c r="I22" s="28" t="n">
        <x:f>IF('全量明细'!E712="","",'全量明细'!E712)</x:f>
        <x:v>0.22343420000000003</x:v>
      </x:c>
      <x:c r="J22" s="12" t="n">
        <x:f>IF('全量明细'!F712="","",'全量明细'!F712)</x:f>
        <x:v>1410</x:v>
      </x:c>
      <x:c r="K22" s="11" t="n">
        <x:f>IF('全量明细'!G712="","",'全量明细'!G712)</x:f>
        <x:v>0.1383</x:v>
      </x:c>
      <x:c r="L22" s="11" t="n">
        <x:f>IF('全量明细'!H712="","",'全量明细'!H712)</x:f>
        <x:v>0.2872</x:v>
      </x:c>
      <x:c r="M22" s="11" t="n">
        <x:f>IF('全量明细'!I712="","",'全量明细'!I712)</x:f>
        <x:v>0.2132</x:v>
      </x:c>
      <x:c r="N22" s="14" t="n">
        <x:f>IF('全量明细'!J712="","",'全量明细'!J712)</x:f>
        <x:v>7.400000000000001</x:v>
      </x:c>
      <x:c r="O22" s="14" t="n">
        <x:f>IF(AND(ISNUMBER(C22),ISNUMBER(I22)),(I22-C22)*100,"")</x:f>
        <x:v>5.4510600000000045</x:v>
      </x:c>
      <x:c r="P22" s="17" t="str"/>
    </x:row>
    <x:row r="23" ht="25" customHeight="1">
      <x:c r="A23" s="2" t="str">
        <x:v>涅奥</x:v>
      </x:c>
      <x:c r="B23" s="2" t="str">
        <x:v>失物盒</x:v>
      </x:c>
      <x:c r="C23" s="28" t="n">
        <x:f>IF('全量明细'!E211="","",'全量明细'!E211)</x:f>
        <x:v>0.17576329000000002</x:v>
      </x:c>
      <x:c r="D23" s="12" t="n">
        <x:f>IF('全量明细'!F211="","",'全量明细'!F211)</x:f>
        <x:v>8130</x:v>
      </x:c>
      <x:c r="E23" s="11" t="n">
        <x:f>IF('全量明细'!G211="","",'全量明细'!G211)</x:f>
        <x:v>0.2039</x:v>
      </x:c>
      <x:c r="F23" s="11" t="n">
        <x:f>IF('全量明细'!H211="","",'全量明细'!H211)</x:f>
        <x:v>0.18460000000000001</x:v>
      </x:c>
      <x:c r="G23" s="11" t="n">
        <x:f>IF('全量明细'!I211="","",'全量明细'!I211)</x:f>
        <x:v>0.17350000000000002</x:v>
      </x:c>
      <x:c r="H23" s="14" t="n">
        <x:f>IF('全量明细'!J211="","",'全量明细'!J211)</x:f>
        <x:v>1.1099999999999999</x:v>
      </x:c>
      <x:c r="I23" s="28" t="n">
        <x:f>IF('全量明细'!E718="","",'全量明细'!E718)</x:f>
        <x:v>0.21736822</x:v>
      </x:c>
      <x:c r="J23" s="12" t="n">
        <x:f>IF('全量明细'!F718="","",'全量明细'!F718)</x:f>
        <x:v>2880</x:v>
      </x:c>
      <x:c r="K23" s="11" t="n">
        <x:f>IF('全量明细'!G718="","",'全量明细'!G718)</x:f>
        <x:v>0.2413</x:v>
      </x:c>
      <x:c r="L23" s="11" t="n">
        <x:f>IF('全量明细'!H718="","",'全量明细'!H718)</x:f>
        <x:v>0.2245</x:v>
      </x:c>
      <x:c r="M23" s="11" t="n">
        <x:f>IF('全量明细'!I718="","",'全量明细'!I718)</x:f>
        <x:v>0.2151</x:v>
      </x:c>
      <x:c r="N23" s="14" t="n">
        <x:f>IF('全量明细'!J718="","",'全量明细'!J718)</x:f>
        <x:v>0.9399999999999992</x:v>
      </x:c>
      <x:c r="O23" s="14" t="n">
        <x:f>IF(AND(ISNUMBER(C23),ISNUMBER(I23)),(I23-C23)*100,"")</x:f>
        <x:v>4.160492999999999</x:v>
      </x:c>
      <x:c r="P23" s="17" t="str"/>
    </x:row>
    <x:row r="24" ht="25" customHeight="1">
      <x:c r="A24" s="2" t="str">
        <x:v>涅奥</x:v>
      </x:c>
      <x:c r="B24" s="2" t="str">
        <x:v>石炉加湿器</x:v>
      </x:c>
      <x:c r="C24" s="28" t="n">
        <x:f>IF('全量明细'!E215="","",'全量明细'!E215)</x:f>
        <x:v>0.17376589999999997</x:v>
      </x:c>
      <x:c r="D24" s="12" t="n">
        <x:f>IF('全量明细'!F215="","",'全量明细'!F215)</x:f>
        <x:v>4143</x:v>
      </x:c>
      <x:c r="E24" s="11" t="n">
        <x:f>IF('全量明细'!G215="","",'全量明细'!G215)</x:f>
        <x:v>0.10310000000000001</x:v>
      </x:c>
      <x:c r="F24" s="11" t="n">
        <x:f>IF('全量明细'!H215="","",'全量明细'!H215)</x:f>
        <x:v>0.16390000000000002</x:v>
      </x:c>
      <x:c r="G24" s="11" t="n">
        <x:f>IF('全量明细'!I215="","",'全量明细'!I215)</x:f>
        <x:v>0.17489999999999997</x:v>
      </x:c>
      <x:c r="H24" s="14" t="n">
        <x:f>IF('全量明细'!J215="","",'全量明细'!J215)</x:f>
        <x:v>-1.0999999999999954</x:v>
      </x:c>
      <x:c r="I24" s="28" t="n">
        <x:f>IF('全量明细'!E700="","",'全量明细'!E700)</x:f>
        <x:v>0.24642807999999997</x:v>
      </x:c>
      <x:c r="J24" s="12" t="n">
        <x:f>IF('全量明细'!F700="","",'全量明细'!F700)</x:f>
        <x:v>1542</x:v>
      </x:c>
      <x:c r="K24" s="11" t="n">
        <x:f>IF('全量明细'!G700="","",'全量明细'!G700)</x:f>
        <x:v>0.08039999999999999</x:v>
      </x:c>
      <x:c r="L24" s="11" t="n">
        <x:f>IF('全量明细'!H700="","",'全量明细'!H700)</x:f>
        <x:v>0.2742</x:v>
      </x:c>
      <x:c r="M24" s="11" t="n">
        <x:f>IF('全量明细'!I700="","",'全量明细'!I700)</x:f>
        <x:v>0.244</x:v>
      </x:c>
      <x:c r="N24" s="14" t="n">
        <x:f>IF('全量明细'!J700="","",'全量明细'!J700)</x:f>
        <x:v>3.0200000000000005</x:v>
      </x:c>
      <x:c r="O24" s="14" t="n">
        <x:f>IF(AND(ISNUMBER(C24),ISNUMBER(I24)),(I24-C24)*100,"")</x:f>
        <x:v>7.266217999999999</x:v>
      </x:c>
      <x:c r="P24" s="17" t="str"/>
    </x:row>
    <x:row r="25" ht="25" customHeight="1">
      <x:c r="A25" s="2" t="str">
        <x:v>涅奥</x:v>
      </x:c>
      <x:c r="B25" s="2" t="str">
        <x:v>树叶药膏</x:v>
      </x:c>
      <x:c r="C25" s="28" t="n">
        <x:f>IF('全量明细'!E203="","",'全量明细'!E203)</x:f>
        <x:v>0.19228958000000002</x:v>
      </x:c>
      <x:c r="D25" s="12" t="n">
        <x:f>IF('全量明细'!F203="","",'全量明细'!F203)</x:f>
        <x:v>7810</x:v>
      </x:c>
      <x:c r="E25" s="11" t="n">
        <x:f>IF('全量明细'!G203="","",'全量明细'!G203)</x:f>
        <x:v>0.6049</x:v>
      </x:c>
      <x:c r="F25" s="11" t="n">
        <x:f>IF('全量明细'!H203="","",'全量明细'!H203)</x:f>
        <x:v>0.1979</x:v>
      </x:c>
      <x:c r="G25" s="11" t="n">
        <x:f>IF('全量明细'!I203="","",'全量明细'!I203)</x:f>
        <x:v>0.1837</x:v>
      </x:c>
      <x:c r="H25" s="14" t="n">
        <x:f>IF('全量明细'!J203="","",'全量明细'!J203)</x:f>
        <x:v>1.419999999999999</x:v>
      </x:c>
      <x:c r="I25" s="28" t="n">
        <x:f>IF('全量明细'!E710="","",'全量明细'!E710)</x:f>
        <x:v>0.22421544</x:v>
      </x:c>
      <x:c r="J25" s="12" t="n">
        <x:f>IF('全量明细'!F710="","",'全量明细'!F710)</x:f>
        <x:v>2435</x:v>
      </x:c>
      <x:c r="K25" s="11" t="n">
        <x:f>IF('全量明细'!G710="","",'全量明细'!G710)</x:f>
        <x:v>0.5979</x:v>
      </x:c>
      <x:c r="L25" s="11" t="n">
        <x:f>IF('全量明细'!H710="","",'全量明细'!H710)</x:f>
        <x:v>0.21359999999999998</x:v>
      </x:c>
      <x:c r="M25" s="11" t="n">
        <x:f>IF('全量明细'!I710="","",'全量明细'!I710)</x:f>
        <x:v>0.24</x:v>
      </x:c>
      <x:c r="N25" s="14" t="n">
        <x:f>IF('全量明细'!J710="","",'全量明细'!J710)</x:f>
        <x:v>-2.6400000000000006</x:v>
      </x:c>
      <x:c r="O25" s="14" t="n">
        <x:f>IF(AND(ISNUMBER(C25),ISNUMBER(I25)),(I25-C25)*100,"")</x:f>
        <x:v>3.1925859999999973</x:v>
      </x:c>
      <x:c r="P25" s="17" t="str"/>
    </x:row>
    <x:row r="26" ht="25" customHeight="1">
      <x:c r="A26" s="2" t="str">
        <x:v>涅奥</x:v>
      </x:c>
      <x:c r="B26" s="2" t="str">
        <x:v>松动羊毛剪</x:v>
      </x:c>
      <x:c r="C26" s="28" t="n">
        <x:f>IF('全量明细'!E204="","",'全量明细'!E204)</x:f>
        <x:v>0.18535100000000002</x:v>
      </x:c>
      <x:c r="D26" s="12" t="n">
        <x:f>IF('全量明细'!F204="","",'全量明细'!F204)</x:f>
        <x:v>7742</x:v>
      </x:c>
      <x:c r="E26" s="11" t="n">
        <x:f>IF('全量明细'!G204="","",'全量明细'!G204)</x:f>
        <x:v>0.3396</x:v>
      </x:c>
      <x:c r="F26" s="11" t="n">
        <x:f>IF('全量明细'!H204="","",'全量明细'!H204)</x:f>
        <x:v>0.1837</x:v>
      </x:c>
      <x:c r="G26" s="11" t="n">
        <x:f>IF('全量明细'!I204="","",'全量明细'!I204)</x:f>
        <x:v>0.1862</x:v>
      </x:c>
      <x:c r="H26" s="14" t="n">
        <x:f>IF('全量明细'!J204="","",'全量明细'!J204)</x:f>
        <x:v>-0.2500000000000002</x:v>
      </x:c>
      <x:c r="I26" s="28" t="n">
        <x:f>IF('全量明细'!E707="","",'全量明细'!E707)</x:f>
        <x:v>0.22708328</x:v>
      </x:c>
      <x:c r="J26" s="12" t="n">
        <x:f>IF('全量明细'!F707="","",'全量明细'!F707)</x:f>
        <x:v>2382</x:v>
      </x:c>
      <x:c r="K26" s="11" t="n">
        <x:f>IF('全量明细'!G707="","",'全量明细'!G707)</x:f>
        <x:v>0.3346</x:v>
      </x:c>
      <x:c r="L26" s="11" t="n">
        <x:f>IF('全量明细'!H707="","",'全量明细'!H707)</x:f>
        <x:v>0.2183</x:v>
      </x:c>
      <x:c r="M26" s="11" t="n">
        <x:f>IF('全量明细'!I707="","",'全量明细'!I707)</x:f>
        <x:v>0.23149999999999998</x:v>
      </x:c>
      <x:c r="N26" s="14" t="n">
        <x:f>IF('全量明细'!J707="","",'全量明细'!J707)</x:f>
        <x:v>-1.319999999999999</x:v>
      </x:c>
      <x:c r="O26" s="14" t="n">
        <x:f>IF(AND(ISNUMBER(C26),ISNUMBER(I26)),(I26-C26)*100,"")</x:f>
        <x:v>4.173227999999998</x:v>
      </x:c>
      <x:c r="P26" s="17" t="str"/>
    </x:row>
    <x:row r="27" ht="25" customHeight="1">
      <x:c r="A27" s="2" t="str">
        <x:v>涅奥</x:v>
      </x:c>
      <x:c r="B27" s="2" t="str">
        <x:v>万花筒</x:v>
      </x:c>
      <x:c r="C27" s="28" t="n">
        <x:f>IF('全量明细'!E205="","",'全量明细'!E205)</x:f>
        <x:v>0.1822881</x:v>
      </x:c>
      <x:c r="D27" s="12" t="n">
        <x:f>IF('全量明细'!F205="","",'全量明细'!F205)</x:f>
        <x:v>7658</x:v>
      </x:c>
      <x:c r="E27" s="11" t="n">
        <x:f>IF('全量明细'!G205="","",'全量明细'!G205)</x:f>
        <x:v>0.22260000000000002</x:v>
      </x:c>
      <x:c r="F27" s="11" t="n">
        <x:f>IF('全量明细'!H205="","",'全量明细'!H205)</x:f>
        <x:v>0.1578</x:v>
      </x:c>
      <x:c r="G27" s="11" t="n">
        <x:f>IF('全量明细'!I205="","",'全量明细'!I205)</x:f>
        <x:v>0.1893</x:v>
      </x:c>
      <x:c r="H27" s="14" t="n">
        <x:f>IF('全量明细'!J205="","",'全量明细'!J205)</x:f>
        <x:v>-3.15</x:v>
      </x:c>
      <x:c r="I27" s="28" t="n">
        <x:f>IF('全量明细'!E722="","",'全量明细'!E722)</x:f>
        <x:v>0.21255198</x:v>
      </x:c>
      <x:c r="J27" s="12" t="n">
        <x:f>IF('全量明细'!F722="","",'全量明细'!F722)</x:f>
        <x:v>3058</x:v>
      </x:c>
      <x:c r="K27" s="11" t="n">
        <x:f>IF('全量明细'!G722="","",'全量明细'!G722)</x:f>
        <x:v>0.2462</x:v>
      </x:c>
      <x:c r="L27" s="11" t="n">
        <x:f>IF('全量明细'!H722="","",'全量明细'!H722)</x:f>
        <x:v>0.2072</x:v>
      </x:c>
      <x:c r="M27" s="11" t="n">
        <x:f>IF('全量明细'!I722="","",'全量明细'!I722)</x:f>
        <x:v>0.2143</x:v>
      </x:c>
      <x:c r="N27" s="14" t="n">
        <x:f>IF('全量明细'!J722="","",'全量明细'!J722)</x:f>
        <x:v>-0.7099999999999995</x:v>
      </x:c>
      <x:c r="O27" s="14" t="n">
        <x:f>IF(AND(ISNUMBER(C27),ISNUMBER(I27)),(I27-C27)*100,"")</x:f>
        <x:v>3.0263879999999994</x:v>
      </x:c>
      <x:c r="P27" s="17" t="str"/>
    </x:row>
    <x:row r="28" ht="25" customHeight="1">
      <x:c r="A28" s="2" t="str">
        <x:v>涅奥</x:v>
      </x:c>
      <x:c r="B28" s="2" t="str">
        <x:v>小型扭蛋</x:v>
      </x:c>
      <x:c r="C28" s="28" t="n">
        <x:f>IF('全量明细'!E218="","",'全量明细'!E218)</x:f>
        <x:v>0.17337487999999998</x:v>
      </x:c>
      <x:c r="D28" s="12" t="n">
        <x:f>IF('全量明细'!F218="","",'全量明细'!F218)</x:f>
        <x:v>3627</x:v>
      </x:c>
      <x:c r="E28" s="11" t="n">
        <x:f>IF('全量明细'!G218="","",'全量明细'!G218)</x:f>
        <x:v>0.2572</x:v>
      </x:c>
      <x:c r="F28" s="11" t="n">
        <x:f>IF('全量明细'!H218="","",'全量明细'!H218)</x:f>
        <x:v>0.18109999999999998</x:v>
      </x:c>
      <x:c r="G28" s="11" t="n">
        <x:f>IF('全量明细'!I218="","",'全量明细'!I218)</x:f>
        <x:v>0.1707</x:v>
      </x:c>
      <x:c r="H28" s="14" t="n">
        <x:f>IF('全量明细'!J218="","",'全量明细'!J218)</x:f>
        <x:v>1.0399999999999991</x:v>
      </x:c>
      <x:c r="I28" s="28" t="n">
        <x:f>IF('全量明细'!E703="","",'全量明细'!E703)</x:f>
        <x:v>0.23494500000000001</x:v>
      </x:c>
      <x:c r="J28" s="12" t="n">
        <x:f>IF('全量明细'!F703="","",'全量明细'!F703)</x:f>
        <x:v>1426</x:v>
      </x:c>
      <x:c r="K28" s="11" t="n">
        <x:f>IF('全量明细'!G703="","",'全量明细'!G703)</x:f>
        <x:v>0.30579999999999996</x:v>
      </x:c>
      <x:c r="L28" s="11" t="n">
        <x:f>IF('全量明细'!H703="","",'全量明细'!H703)</x:f>
        <x:v>0.2523</x:v>
      </x:c>
      <x:c r="M28" s="11" t="n">
        <x:f>IF('全量明细'!I703="","",'全量明细'!I703)</x:f>
        <x:v>0.2273</x:v>
      </x:c>
      <x:c r="N28" s="14" t="n">
        <x:f>IF('全量明细'!J703="","",'全量明细'!J703)</x:f>
        <x:v>2.500000000000002</x:v>
      </x:c>
      <x:c r="O28" s="14" t="n">
        <x:f>IF(AND(ISNUMBER(C28),ISNUMBER(I28)),(I28-C28)*100,"")</x:f>
        <x:v>6.1570120000000035</x:v>
      </x:c>
      <x:c r="P28" s="17" t="str"/>
    </x:row>
    <x:row r="29" ht="25" customHeight="1">
      <x:c r="A29" s="2" t="str">
        <x:v>涅奥</x:v>
      </x:c>
      <x:c r="B29" s="2" t="str">
        <x:v>新叶</x:v>
      </x:c>
      <x:c r="C29" s="28" t="n">
        <x:f>IF('全量明细'!E220="","",'全量明细'!E220)</x:f>
        <x:v>0.1719501</x:v>
      </x:c>
      <x:c r="D29" s="12" t="n">
        <x:f>IF('全量明细'!F220="","",'全量明细'!F220)</x:f>
        <x:v>7287</x:v>
      </x:c>
      <x:c r="E29" s="11" t="n">
        <x:f>IF('全量明细'!G220="","",'全量明细'!G220)</x:f>
        <x:v>0.389</x:v>
      </x:c>
      <x:c r="F29" s="11" t="n">
        <x:f>IF('全量明细'!H220="","",'全量明细'!H220)</x:f>
        <x:v>0.1725</x:v>
      </x:c>
      <x:c r="G29" s="11" t="n">
        <x:f>IF('全量明细'!I220="","",'全量明细'!I220)</x:f>
        <x:v>0.1716</x:v>
      </x:c>
      <x:c r="H29" s="14" t="n">
        <x:f>IF('全量明细'!J220="","",'全量明细'!J220)</x:f>
        <x:v>0.08999999999999841</x:v>
      </x:c>
      <x:c r="I29" s="28" t="n">
        <x:f>IF('全量明细'!E713="","",'全量明细'!E713)</x:f>
        <x:v>0.2227845</x:v>
      </x:c>
      <x:c r="J29" s="12" t="n">
        <x:f>IF('全量明细'!F713="","",'全量明细'!F713)</x:f>
        <x:v>2999</x:v>
      </x:c>
      <x:c r="K29" s="11" t="n">
        <x:f>IF('全量明细'!G713="","",'全量明细'!G713)</x:f>
        <x:v>0.42310000000000003</x:v>
      </x:c>
      <x:c r="L29" s="11" t="n">
        <x:f>IF('全量明细'!H713="","",'全量明细'!H713)</x:f>
        <x:v>0.21989999999999998</x:v>
      </x:c>
      <x:c r="M29" s="11" t="n">
        <x:f>IF('全量明细'!I713="","",'全量明细'!I713)</x:f>
        <x:v>0.2249</x:v>
      </x:c>
      <x:c r="N29" s="14" t="n">
        <x:f>IF('全量明细'!J713="","",'全量明细'!J713)</x:f>
        <x:v>-0.5000000000000004</x:v>
      </x:c>
      <x:c r="O29" s="14" t="n">
        <x:f>IF(AND(ISNUMBER(C29),ISNUMBER(I29)),(I29-C29)*100,"")</x:f>
        <x:v>5.08344</x:v>
      </x:c>
      <x:c r="P29" s="17" t="str"/>
    </x:row>
    <x:row r="30" ht="25" customHeight="1">
      <x:c r="A30" s="2" t="str">
        <x:v>涅奥</x:v>
      </x:c>
      <x:c r="B30" s="2" t="str">
        <x:v>寻龙尺</x:v>
      </x:c>
      <x:c r="C30" s="28"/>
      <x:c r="D30" s="12"/>
      <x:c r="E30" s="11"/>
      <x:c r="F30" s="11"/>
      <x:c r="G30" s="11"/>
      <x:c r="H30" s="14"/>
      <x:c r="I30" s="28" t="n">
        <x:f>IF('全量明细'!E723="","",'全量明细'!E723)</x:f>
        <x:v>0.20848304</x:v>
      </x:c>
      <x:c r="J30" s="12" t="n">
        <x:f>IF('全量明细'!F723="","",'全量明细'!F723)</x:f>
        <x:v>2537</x:v>
      </x:c>
      <x:c r="K30" s="11" t="n">
        <x:f>IF('全量明细'!G723="","",'全量明细'!G723)</x:f>
        <x:v>0.40240000000000004</x:v>
      </x:c>
      <x:c r="L30" s="11" t="n">
        <x:f>IF('全量明细'!H723="","",'全量明细'!H723)</x:f>
        <x:v>0.16940000000000002</x:v>
      </x:c>
      <x:c r="M30" s="11" t="n">
        <x:f>IF('全量明细'!I723="","",'全量明细'!I723)</x:f>
        <x:v>0.2348</x:v>
      </x:c>
      <x:c r="N30" s="14" t="n">
        <x:f>IF('全量明细'!J723="","",'全量明细'!J723)</x:f>
        <x:v>-6.539999999999998</x:v>
      </x:c>
      <x:c r="O30" s="14" t="str">
        <x:f>IF(AND(ISNUMBER(C30),ISNUMBER(I30)),(I30-C30)*100,"")</x:f>
      </x:c>
      <x:c r="P30" s="17" t="str"/>
    </x:row>
    <x:row r="31" ht="25" customHeight="1">
      <x:c r="A31" s="2" t="str">
        <x:v>涅奥</x:v>
      </x:c>
      <x:c r="B31" s="2" t="str">
        <x:v>药瓶皮套</x:v>
      </x:c>
      <x:c r="C31" s="28" t="n">
        <x:f>IF('全量明细'!E221="","",'全量明细'!E221)</x:f>
        <x:v>0.17138478000000001</x:v>
      </x:c>
      <x:c r="D31" s="12" t="n">
        <x:f>IF('全量明细'!F221="","",'全量明细'!F221)</x:f>
        <x:v>8139</x:v>
      </x:c>
      <x:c r="E31" s="11" t="n">
        <x:f>IF('全量明细'!G221="","",'全量明细'!G221)</x:f>
        <x:v>0.17980000000000002</x:v>
      </x:c>
      <x:c r="F31" s="11" t="n">
        <x:f>IF('全量明细'!H221="","",'全量明细'!H221)</x:f>
        <x:v>0.2256</x:v>
      </x:c>
      <x:c r="G31" s="11" t="n">
        <x:f>IF('全量明细'!I221="","",'全量明细'!I221)</x:f>
        <x:v>0.1595</x:v>
      </x:c>
      <x:c r="H31" s="14" t="n">
        <x:f>IF('全量明细'!J221="","",'全量明细'!J221)</x:f>
        <x:v>6.609999999999999</x:v>
      </x:c>
      <x:c r="I31" s="28" t="n">
        <x:f>IF('全量明细'!E715="","",'全量明细'!E715)</x:f>
        <x:v>0.22069668</x:v>
      </x:c>
      <x:c r="J31" s="12" t="n">
        <x:f>IF('全量明细'!F715="","",'全量明细'!F715)</x:f>
        <x:v>2809</x:v>
      </x:c>
      <x:c r="K31" s="11" t="n">
        <x:f>IF('全量明细'!G715="","",'全量明细'!G715)</x:f>
        <x:v>0.22039999999999998</x:v>
      </x:c>
      <x:c r="L31" s="11" t="n">
        <x:f>IF('全量明细'!H715="","",'全量明细'!H715)</x:f>
        <x:v>0.26489999999999997</x:v>
      </x:c>
      <x:c r="M31" s="11" t="n">
        <x:f>IF('全量明细'!I715="","",'全量明细'!I715)</x:f>
        <x:v>0.2082</x:v>
      </x:c>
      <x:c r="N31" s="14" t="n">
        <x:f>IF('全量明细'!J715="","",'全量明细'!J715)</x:f>
        <x:v>5.669999999999997</x:v>
      </x:c>
      <x:c r="O31" s="14" t="n">
        <x:f>IF(AND(ISNUMBER(C31),ISNUMBER(I31)),(I31-C31)*100,"")</x:f>
        <x:v>4.931189999999999</x:v>
      </x:c>
      <x:c r="P31" s="17" t="str"/>
    </x:row>
    <x:row r="32" ht="25" customHeight="1">
      <x:c r="A32" s="2" t="str">
        <x:v>涅奥</x:v>
      </x:c>
      <x:c r="B32" s="2" t="str">
        <x:v>营养牡蛎</x:v>
      </x:c>
      <x:c r="C32" s="28" t="n">
        <x:f>IF('全量明细'!E223="","",'全量明细'!E223)</x:f>
        <x:v>0.17088937999999998</x:v>
      </x:c>
      <x:c r="D32" s="12" t="n">
        <x:f>IF('全量明细'!F223="","",'全量明细'!F223)</x:f>
        <x:v>4113</x:v>
      </x:c>
      <x:c r="E32" s="11" t="n">
        <x:f>IF('全量明细'!G223="","",'全量明细'!G223)</x:f>
        <x:v>0.0814</x:v>
      </x:c>
      <x:c r="F32" s="11" t="n">
        <x:f>IF('全量明细'!H223="","",'全量明细'!H223)</x:f>
        <x:v>0.14029999999999998</x:v>
      </x:c>
      <x:c r="G32" s="11" t="n">
        <x:f>IF('全量明细'!I223="","",'全量明细'!I223)</x:f>
        <x:v>0.1736</x:v>
      </x:c>
      <x:c r="H32" s="14" t="n">
        <x:f>IF('全量明细'!J223="","",'全量明细'!J223)</x:f>
        <x:v>-3.3300000000000023</x:v>
      </x:c>
      <x:c r="I32" s="28" t="n">
        <x:f>IF('全量明细'!E709="","",'全量明细'!E709)</x:f>
        <x:v>0.22518379</x:v>
      </x:c>
      <x:c r="J32" s="12" t="n">
        <x:f>IF('全量明细'!F709="","",'全量明细'!F709)</x:f>
        <x:v>1594</x:v>
      </x:c>
      <x:c r="K32" s="11" t="n">
        <x:f>IF('全量明细'!G709="","",'全量明细'!G709)</x:f>
        <x:v>0.0621</x:v>
      </x:c>
      <x:c r="L32" s="11" t="n">
        <x:f>IF('全量明细'!H709="","",'全量明细'!H709)</x:f>
        <x:v>0.1313</x:v>
      </x:c>
      <x:c r="M32" s="11" t="n">
        <x:f>IF('全量明细'!I709="","",'全量明细'!I709)</x:f>
        <x:v>0.2314</x:v>
      </x:c>
      <x:c r="N32" s="14" t="n">
        <x:f>IF('全量明细'!J709="","",'全量明细'!J709)</x:f>
        <x:v>-10.01</x:v>
      </x:c>
      <x:c r="O32" s="14" t="n">
        <x:f>IF(AND(ISNUMBER(C32),ISNUMBER(I32)),(I32-C32)*100,"")</x:f>
        <x:v>5.4294410000000015</x:v>
      </x:c>
      <x:c r="P32" s="17" t="str"/>
    </x:row>
    <x:row r="33" ht="25" customHeight="1">
      <x:c r="A33" s="2" t="str">
        <x:v>涅奥</x:v>
      </x:c>
      <x:c r="B33" s="2" t="str">
        <x:v>羽翼之靴</x:v>
      </x:c>
      <x:c r="C33" s="28" t="n">
        <x:f>IF('全量明细'!E219="","",'全量明细'!E219)</x:f>
        <x:v>0.17324855</x:v>
      </x:c>
      <x:c r="D33" s="12" t="n">
        <x:f>IF('全量明细'!F219="","",'全量明细'!F219)</x:f>
        <x:v>8172</x:v>
      </x:c>
      <x:c r="E33" s="11" t="n">
        <x:f>IF('全量明细'!G219="","",'全量明细'!G219)</x:f>
        <x:v>0.2577</x:v>
      </x:c>
      <x:c r="F33" s="11" t="n">
        <x:f>IF('全量明细'!H219="","",'全量明细'!H219)</x:f>
        <x:v>0.2189</x:v>
      </x:c>
      <x:c r="G33" s="11" t="n">
        <x:f>IF('全量明细'!I219="","",'全量明细'!I219)</x:f>
        <x:v>0.1574</x:v>
      </x:c>
      <x:c r="H33" s="14" t="n">
        <x:f>IF('全量明细'!J219="","",'全量明细'!J219)</x:f>
        <x:v>6.15</x:v>
      </x:c>
      <x:c r="I33" s="28" t="n">
        <x:f>IF('全量明细'!E706="","",'全量明细'!E706)</x:f>
        <x:v>0.22794872000000002</x:v>
      </x:c>
      <x:c r="J33" s="12" t="n">
        <x:f>IF('全量明细'!F706="","",'全量明细'!F706)</x:f>
        <x:v>3181</x:v>
      </x:c>
      <x:c r="K33" s="11" t="n">
        <x:f>IF('全量明细'!G706="","",'全量明细'!G706)</x:f>
        <x:v>0.2584</x:v>
      </x:c>
      <x:c r="L33" s="11" t="n">
        <x:f>IF('全量明细'!H706="","",'全量明细'!H706)</x:f>
        <x:v>0.2786</x:v>
      </x:c>
      <x:c r="M33" s="11" t="n">
        <x:f>IF('全量明细'!I706="","",'全量明细'!I706)</x:f>
        <x:v>0.21030000000000001</x:v>
      </x:c>
      <x:c r="N33" s="14" t="n">
        <x:f>IF('全量明细'!J706="","",'全量明细'!J706)</x:f>
        <x:v>6.83</x:v>
      </x:c>
      <x:c r="O33" s="14" t="n">
        <x:f>IF(AND(ISNUMBER(C33),ISNUMBER(I33)),(I33-C33)*100,"")</x:f>
        <x:v>5.470017000000002</x:v>
      </x:c>
      <x:c r="P33" s="17" t="str"/>
    </x:row>
    <x:row r="34" ht="25" customHeight="1">
      <x:c r="A34" s="2" t="str">
        <x:v>涅奥</x:v>
      </x:c>
      <x:c r="B34" s="2" t="str">
        <x:v>诅咒珍珠</x:v>
      </x:c>
      <x:c r="C34" s="28" t="n">
        <x:f>IF('全量明细'!E217="","",'全量明细'!E217)</x:f>
        <x:v>0.1735128</x:v>
      </x:c>
      <x:c r="D34" s="12" t="n">
        <x:f>IF('全量明细'!F217="","",'全量明细'!F217)</x:f>
        <x:v>7931</x:v>
      </x:c>
      <x:c r="E34" s="11" t="n">
        <x:f>IF('全量明细'!G217="","",'全量明细'!G217)</x:f>
        <x:v>0.5015999999999999</x:v>
      </x:c>
      <x:c r="F34" s="11" t="n">
        <x:f>IF('全量明细'!H217="","",'全量明细'!H217)</x:f>
        <x:v>0.1775</x:v>
      </x:c>
      <x:c r="G34" s="11" t="n">
        <x:f>IF('全量明细'!I217="","",'全量明细'!I217)</x:f>
        <x:v>0.16949999999999998</x:v>
      </x:c>
      <x:c r="H34" s="14" t="n">
        <x:f>IF('全量明细'!J217="","",'全量明细'!J217)</x:f>
        <x:v>0.8000000000000007</x:v>
      </x:c>
      <x:c r="I34" s="28" t="n">
        <x:f>IF('全量明细'!E719="","",'全量明细'!E719)</x:f>
        <x:v>0.21433980000000002</x:v>
      </x:c>
      <x:c r="J34" s="12" t="n">
        <x:f>IF('全量明细'!F719="","",'全量明细'!F719)</x:f>
        <x:v>2347</x:v>
      </x:c>
      <x:c r="K34" s="11" t="n">
        <x:f>IF('全量明细'!G719="","",'全量明细'!G719)</x:f>
        <x:v>0.507</x:v>
      </x:c>
      <x:c r="L34" s="11" t="n">
        <x:f>IF('全量明细'!H719="","",'全量明细'!H719)</x:f>
        <x:v>0.2101</x:v>
      </x:c>
      <x:c r="M34" s="11" t="n">
        <x:f>IF('全量明细'!I719="","",'全量明细'!I719)</x:f>
        <x:v>0.2187</x:v>
      </x:c>
      <x:c r="N34" s="14" t="n">
        <x:f>IF('全量明细'!J719="","",'全量明细'!J719)</x:f>
        <x:v>-0.8599999999999997</x:v>
      </x:c>
      <x:c r="O34" s="14" t="n">
        <x:f>IF(AND(ISNUMBER(C34),ISNUMBER(I34)),(I34-C34)*100,"")</x:f>
        <x:v>4.082700000000003</x:v>
      </x:c>
      <x:c r="P34" s="17" t="str"/>
    </x:row>
    <x:row r="35" ht="25" customHeight="1">
      <x:c r="A35" s="20" t="str">
        <x:v>欧洛巴斯</x:v>
      </x:c>
      <x:c r="B35" s="20" t="str">
        <x:v>玻璃眼珠</x:v>
      </x:c>
      <x:c r="C35" s="27" t="n">
        <x:f>IF('全量明细'!E239="","",'全量明细'!E239)</x:f>
        <x:v>0.24269604</x:v>
      </x:c>
      <x:c r="D35" s="23" t="n">
        <x:f>IF('全量明细'!F239="","",'全量明细'!F239)</x:f>
        <x:v>3037</x:v>
      </x:c>
      <x:c r="E35" s="22" t="n">
        <x:f>IF('全量明细'!G239="","",'全量明细'!G239)</x:f>
        <x:v>0.4732</x:v>
      </x:c>
      <x:c r="F35" s="22" t="n">
        <x:f>IF('全量明细'!H239="","",'全量明细'!H239)</x:f>
        <x:v>0.2241</x:v>
      </x:c>
      <x:c r="G35" s="22" t="n">
        <x:f>IF('全量明细'!I239="","",'全量明细'!I239)</x:f>
        <x:v>0.2594</x:v>
      </x:c>
      <x:c r="H35" s="24" t="n">
        <x:f>IF('全量明细'!J239="","",'全量明细'!J239)</x:f>
        <x:v>-3.5300000000000025</x:v>
      </x:c>
      <x:c r="I35" s="27" t="n">
        <x:f>IF('全量明细'!E736="","",'全量明细'!E736)</x:f>
        <x:v>0.31099424</x:v>
      </x:c>
      <x:c r="J35" s="23" t="n">
        <x:f>IF('全量明细'!F736="","",'全量明细'!F736)</x:f>
        <x:v>1566</x:v>
      </x:c>
      <x:c r="K35" s="22" t="n">
        <x:f>IF('全量明细'!G736="","",'全量明细'!G736)</x:f>
        <x:v>0.4432</x:v>
      </x:c>
      <x:c r="L35" s="22" t="n">
        <x:f>IF('全量明细'!H736="","",'全量明细'!H736)</x:f>
        <x:v>0.2738</x:v>
      </x:c>
      <x:c r="M35" s="22" t="n">
        <x:f>IF('全量明细'!I736="","",'全量明细'!I736)</x:f>
        <x:v>0.3406</x:v>
      </x:c>
      <x:c r="N35" s="24" t="n">
        <x:f>IF('全量明细'!J736="","",'全量明细'!J736)</x:f>
        <x:v>-6.680000000000002</x:v>
      </x:c>
      <x:c r="O35" s="24" t="n">
        <x:f>IF(AND(ISNUMBER(C35),ISNUMBER(I35)),(I35-C35)*100,"")</x:f>
        <x:v>6.829819999999998</x:v>
      </x:c>
      <x:c r="P35" s="31" t="str"/>
    </x:row>
    <x:row r="36" ht="25" customHeight="1">
      <x:c r="A36" s="2" t="str">
        <x:v>欧洛巴斯</x:v>
      </x:c>
      <x:c r="B36" s="2" t="str">
        <x:v>发光珍珠</x:v>
      </x:c>
      <x:c r="C36" s="28" t="n">
        <x:f>IF('全量明细'!E238="","",'全量明细'!E238)</x:f>
        <x:v>0.2538962</x:v>
      </x:c>
      <x:c r="D36" s="12" t="n">
        <x:f>IF('全量明细'!F238="","",'全量明细'!F238)</x:f>
        <x:v>3399</x:v>
      </x:c>
      <x:c r="E36" s="11" t="n">
        <x:f>IF('全量明细'!G238="","",'全量明细'!G238)</x:f>
        <x:v>0.1862</x:v>
      </x:c>
      <x:c r="F36" s="11" t="n">
        <x:f>IF('全量明细'!H238="","",'全量明细'!H238)</x:f>
        <x:v>0.2954</x:v>
      </x:c>
      <x:c r="G36" s="11" t="n">
        <x:f>IF('全量明细'!I238="","",'全量明细'!I238)</x:f>
        <x:v>0.2444</x:v>
      </x:c>
      <x:c r="H36" s="14" t="n">
        <x:f>IF('全量明细'!J238="","",'全量明细'!J238)</x:f>
        <x:v>5.099999999999999</x:v>
      </x:c>
      <x:c r="I36" s="28" t="n">
        <x:f>IF('全量明细'!E729="","",'全量明细'!E729)</x:f>
        <x:v>0.33365416</x:v>
      </x:c>
      <x:c r="J36" s="12" t="n">
        <x:f>IF('全量明细'!F729="","",'全量明细'!F729)</x:f>
        <x:v>932</x:v>
      </x:c>
      <x:c r="K36" s="11" t="n">
        <x:f>IF('全量明细'!G729="","",'全量明细'!G729)</x:f>
        <x:v>0.24359999999999998</x:v>
      </x:c>
      <x:c r="L36" s="11" t="n">
        <x:f>IF('全量明细'!H729="","",'全量明细'!H729)</x:f>
        <x:v>0.3568</x:v>
      </x:c>
      <x:c r="M36" s="11" t="n">
        <x:f>IF('全量明细'!I729="","",'全量明细'!I729)</x:f>
        <x:v>0.3262</x:v>
      </x:c>
      <x:c r="N36" s="14" t="n">
        <x:f>IF('全量明细'!J729="","",'全量明细'!J729)</x:f>
        <x:v>3.0600000000000014</x:v>
      </x:c>
      <x:c r="O36" s="14" t="n">
        <x:f>IF(AND(ISNUMBER(C36),ISNUMBER(I36)),(I36-C36)*100,"")</x:f>
        <x:v>7.975795999999996</x:v>
      </x:c>
      <x:c r="P36" s="17" t="str"/>
    </x:row>
    <x:row r="37" ht="25" customHeight="1">
      <x:c r="A37" s="2" t="str">
        <x:v>欧洛巴斯</x:v>
      </x:c>
      <x:c r="B37" s="2" t="str">
        <x:v>放电异虾</x:v>
      </x:c>
      <x:c r="C37" s="28" t="n">
        <x:f>IF('全量明细'!E234="","",'全量明细'!E234)</x:f>
        <x:v>0.2649745</x:v>
      </x:c>
      <x:c r="D37" s="12" t="n">
        <x:f>IF('全量明细'!F234="","",'全量明细'!F234)</x:f>
        <x:v>3053</x:v>
      </x:c>
      <x:c r="E37" s="11" t="n">
        <x:f>IF('全量明细'!G234="","",'全量明细'!G234)</x:f>
        <x:v>0.267</x:v>
      </x:c>
      <x:c r="F37" s="11" t="n">
        <x:f>IF('全量明细'!H234="","",'全量明细'!H234)</x:f>
        <x:v>0.2822</x:v>
      </x:c>
      <x:c r="G37" s="11" t="n">
        <x:f>IF('全量明细'!I234="","",'全量明细'!I234)</x:f>
        <x:v>0.2587</x:v>
      </x:c>
      <x:c r="H37" s="14" t="n">
        <x:f>IF('全量明细'!J234="","",'全量明细'!J234)</x:f>
        <x:v>2.3500000000000023</x:v>
      </x:c>
      <x:c r="I37" s="28" t="n">
        <x:f>IF('全量明细'!E730="","",'全量明细'!E730)</x:f>
        <x:v>0.3314701</x:v>
      </x:c>
      <x:c r="J37" s="12" t="n">
        <x:f>IF('全量明细'!F730="","",'全量明细'!F730)</x:f>
        <x:v>1605</x:v>
      </x:c>
      <x:c r="K37" s="11" t="n">
        <x:f>IF('全量明细'!G730="","",'全量明细'!G730)</x:f>
        <x:v>0.2866</x:v>
      </x:c>
      <x:c r="L37" s="11" t="n">
        <x:f>IF('全量明细'!H730="","",'全量明细'!H730)</x:f>
        <x:v>0.33039999999999997</x:v>
      </x:c>
      <x:c r="M37" s="11" t="n">
        <x:f>IF('全量明细'!I730="","",'全量明细'!I730)</x:f>
        <x:v>0.3319</x:v>
      </x:c>
      <x:c r="N37" s="14" t="n">
        <x:f>IF('全量明细'!J730="","",'全量明细'!J730)</x:f>
        <x:v>-0.15000000000000013</x:v>
      </x:c>
      <x:c r="O37" s="14" t="n">
        <x:f>IF(AND(ISNUMBER(C37),ISNUMBER(I37)),(I37-C37)*100,"")</x:f>
        <x:v>6.649559999999999</x:v>
      </x:c>
      <x:c r="P37" s="17" t="str"/>
    </x:row>
    <x:row r="38" ht="25" customHeight="1">
      <x:c r="A38" s="2" t="str">
        <x:v>欧洛巴斯</x:v>
      </x:c>
      <x:c r="B38" s="2" t="str">
        <x:v>浮木</x:v>
      </x:c>
      <x:c r="C38" s="28" t="n">
        <x:f>IF('全量明细'!E237="","",'全量明细'!E237)</x:f>
        <x:v>0.25568143</x:v>
      </x:c>
      <x:c r="D38" s="12" t="n">
        <x:f>IF('全量明细'!F237="","",'全量明细'!F237)</x:f>
        <x:v>3262</x:v>
      </x:c>
      <x:c r="E38" s="11" t="n">
        <x:f>IF('全量明细'!G237="","",'全量明细'!G237)</x:f>
        <x:v>0.2391</x:v>
      </x:c>
      <x:c r="F38" s="11" t="n">
        <x:f>IF('全量明细'!H237="","",'全量明细'!H237)</x:f>
        <x:v>0.23079999999999998</x:v>
      </x:c>
      <x:c r="G38" s="11" t="n">
        <x:f>IF('全量明细'!I237="","",'全量明细'!I237)</x:f>
        <x:v>0.2635</x:v>
      </x:c>
      <x:c r="H38" s="14" t="n">
        <x:f>IF('全量明细'!J237="","",'全量明细'!J237)</x:f>
        <x:v>-3.2700000000000036</x:v>
      </x:c>
      <x:c r="I38" s="28" t="n">
        <x:f>IF('全量明细'!E737="","",'全量明细'!E737)</x:f>
        <x:v>0.30031250000000004</x:v>
      </x:c>
      <x:c r="J38" s="12" t="n">
        <x:f>IF('全量明细'!F737="","",'全量明细'!F737)</x:f>
        <x:v>929</x:v>
      </x:c>
      <x:c r="K38" s="11" t="n">
        <x:f>IF('全量明细'!G737="","",'全量明细'!G737)</x:f>
        <x:v>0.225</x:v>
      </x:c>
      <x:c r="L38" s="11" t="n">
        <x:f>IF('全量明细'!H737="","",'全量明细'!H737)</x:f>
        <x:v>0.22010000000000002</x:v>
      </x:c>
      <x:c r="M38" s="11" t="n">
        <x:f>IF('全量明细'!I737="","",'全量明细'!I737)</x:f>
        <x:v>0.3236</x:v>
      </x:c>
      <x:c r="N38" s="14" t="n">
        <x:f>IF('全量明细'!J737="","",'全量明细'!J737)</x:f>
        <x:v>-10.349999999999998</x:v>
      </x:c>
      <x:c r="O38" s="14" t="n">
        <x:f>IF(AND(ISNUMBER(C38),ISNUMBER(I38)),(I38-C38)*100,"")</x:f>
        <x:v>4.463107000000005</x:v>
      </x:c>
      <x:c r="P38" s="17" t="str"/>
    </x:row>
    <x:row r="39" ht="25" customHeight="1">
      <x:c r="A39" s="2" t="str">
        <x:v>欧洛巴斯</x:v>
      </x:c>
      <x:c r="B39" s="2" t="str">
        <x:v>古老牙齿</x:v>
      </x:c>
      <x:c r="C39" s="28" t="n">
        <x:f>IF('全量明细'!E235="","",'全量明细'!E235)</x:f>
        <x:v>0.26286336</x:v>
      </x:c>
      <x:c r="D39" s="12" t="n">
        <x:f>IF('全量明细'!F235="","",'全量明细'!F235)</x:f>
        <x:v>4908</x:v>
      </x:c>
      <x:c r="E39" s="11" t="n">
        <x:f>IF('全量明细'!G235="","",'全量明细'!G235)</x:f>
        <x:v>0.48840000000000006</x:v>
      </x:c>
      <x:c r="F39" s="11" t="n">
        <x:f>IF('全量明细'!H235="","",'全量明细'!H235)</x:f>
        <x:v>0.2733</x:v>
      </x:c>
      <x:c r="G39" s="11" t="n">
        <x:f>IF('全量明细'!I235="","",'全量明细'!I235)</x:f>
        <x:v>0.2529</x:v>
      </x:c>
      <x:c r="H39" s="14" t="n">
        <x:f>IF('全量明细'!J235="","",'全量明细'!J235)</x:f>
        <x:v>2.0399999999999974</x:v>
      </x:c>
      <x:c r="I39" s="28" t="n">
        <x:f>IF('全量明细'!E734="","",'全量明细'!E734)</x:f>
        <x:v>0.31449154</x:v>
      </x:c>
      <x:c r="J39" s="12" t="n">
        <x:f>IF('全量明细'!F734="","",'全量明细'!F734)</x:f>
        <x:v>1803</x:v>
      </x:c>
      <x:c r="K39" s="11" t="n">
        <x:f>IF('全量明细'!G734="","",'全量明细'!G734)</x:f>
        <x:v>0.4853</x:v>
      </x:c>
      <x:c r="L39" s="11" t="n">
        <x:f>IF('全量明细'!H734="","",'全量明细'!H734)</x:f>
        <x:v>0.34630000000000005</x:v>
      </x:c>
      <x:c r="M39" s="11" t="n">
        <x:f>IF('全量明细'!I734="","",'全量明细'!I734)</x:f>
        <x:v>0.2845</x:v>
      </x:c>
      <x:c r="N39" s="14" t="n">
        <x:f>IF('全量明细'!J734="","",'全量明细'!J734)</x:f>
        <x:v>6.180000000000008</x:v>
      </x:c>
      <x:c r="O39" s="14" t="n">
        <x:f>IF(AND(ISNUMBER(C39),ISNUMBER(I39)),(I39-C39)*100,"")</x:f>
        <x:v>5.162818000000002</x:v>
      </x:c>
      <x:c r="P39" s="17" t="str"/>
    </x:row>
    <x:row r="40" ht="25" customHeight="1">
      <x:c r="A40" s="2" t="str">
        <x:v>欧洛巴斯</x:v>
      </x:c>
      <x:c r="B40" s="2" t="str">
        <x:v>棱彩宝石</x:v>
      </x:c>
      <x:c r="C40" s="28" t="n">
        <x:f>IF('全量明细'!E231="","",'全量明细'!E231)</x:f>
        <x:v>0.28170452</x:v>
      </x:c>
      <x:c r="D40" s="12" t="n">
        <x:f>IF('全量明细'!F231="","",'全量明细'!F231)</x:f>
        <x:v>930</x:v>
      </x:c>
      <x:c r="E40" s="11" t="n">
        <x:f>IF('全量明细'!G231="","",'全量明细'!G231)</x:f>
        <x:v>0.3043</x:v>
      </x:c>
      <x:c r="F40" s="11" t="n">
        <x:f>IF('全量明细'!H231="","",'全量明细'!H231)</x:f>
        <x:v>0.2792</x:v>
      </x:c>
      <x:c r="G40" s="11" t="n">
        <x:f>IF('全量明细'!I231="","",'全量明细'!I231)</x:f>
        <x:v>0.2828</x:v>
      </x:c>
      <x:c r="H40" s="14" t="n">
        <x:f>IF('全量明细'!J231="","",'全量明细'!J231)</x:f>
        <x:v>-0.3599999999999992</x:v>
      </x:c>
      <x:c r="I40" s="28" t="n">
        <x:f>IF('全量明细'!E735="","",'全量明细'!E735)</x:f>
        <x:v>0.31192958</x:v>
      </x:c>
      <x:c r="J40" s="12" t="n">
        <x:f>IF('全量明细'!F735="","",'全量明细'!F735)</x:f>
        <x:v>513</x:v>
      </x:c>
      <x:c r="K40" s="11" t="n">
        <x:f>IF('全量明细'!G735="","",'全量明细'!G735)</x:f>
        <x:v>0.3197</x:v>
      </x:c>
      <x:c r="L40" s="11" t="n">
        <x:f>IF('全量明细'!H735="","",'全量明细'!H735)</x:f>
        <x:v>0.35369999999999996</x:v>
      </x:c>
      <x:c r="M40" s="11" t="n">
        <x:f>IF('全量明细'!I735="","",'全量明细'!I735)</x:f>
        <x:v>0.2923</x:v>
      </x:c>
      <x:c r="N40" s="14" t="n">
        <x:f>IF('全量明细'!J735="","",'全量明细'!J735)</x:f>
        <x:v>6.139999999999995</x:v>
      </x:c>
      <x:c r="O40" s="14" t="n">
        <x:f>IF(AND(ISNUMBER(C40),ISNUMBER(I40)),(I40-C40)*100,"")</x:f>
        <x:v>3.0225059999999973</x:v>
      </x:c>
      <x:c r="P40" s="17" t="str"/>
    </x:row>
    <x:row r="41" ht="25" customHeight="1">
      <x:c r="A41" s="2" t="str">
        <x:v>欧洛巴斯</x:v>
      </x:c>
      <x:c r="B41" s="2" t="str">
        <x:v>炼金箱</x:v>
      </x:c>
      <x:c r="C41" s="28" t="n">
        <x:f>IF('全量明细'!E232="","",'全量明细'!E232)</x:f>
        <x:v>0.27447024999999997</x:v>
      </x:c>
      <x:c r="D41" s="12" t="n">
        <x:f>IF('全量明细'!F232="","",'全量明细'!F232)</x:f>
        <x:v>3392</x:v>
      </x:c>
      <x:c r="E41" s="11" t="n">
        <x:f>IF('全量明细'!G232="","",'全量明细'!G232)</x:f>
        <x:v>0.2267</x:v>
      </x:c>
      <x:c r="F41" s="11" t="n">
        <x:f>IF('全量明细'!H232="","",'全量明细'!H232)</x:f>
        <x:v>0.3576</x:v>
      </x:c>
      <x:c r="G41" s="11" t="n">
        <x:f>IF('全量明细'!I232="","",'全量明细'!I232)</x:f>
        <x:v>0.2501</x:v>
      </x:c>
      <x:c r="H41" s="14" t="n">
        <x:f>IF('全量明细'!J232="","",'全量明细'!J232)</x:f>
        <x:v>10.749999999999998</x:v>
      </x:c>
      <x:c r="I41" s="28" t="n">
        <x:f>IF('全量明细'!E733="","",'全量明细'!E733)</x:f>
        <x:v>0.32135419</x:v>
      </x:c>
      <x:c r="J41" s="12" t="n">
        <x:f>IF('全量明细'!F733="","",'全量明细'!F733)</x:f>
        <x:v>921</x:v>
      </x:c>
      <x:c r="K41" s="11" t="n">
        <x:f>IF('全量明细'!G733="","",'全量明细'!G733)</x:f>
        <x:v>0.22690000000000002</x:v>
      </x:c>
      <x:c r="L41" s="11" t="n">
        <x:f>IF('全量明细'!H733="","",'全量明细'!H733)</x:f>
        <x:v>0.42579999999999996</x:v>
      </x:c>
      <x:c r="M41" s="11" t="n">
        <x:f>IF('全量明细'!I733="","",'全量明细'!I733)</x:f>
        <x:v>0.2907</x:v>
      </x:c>
      <x:c r="N41" s="14" t="n">
        <x:f>IF('全量明细'!J733="","",'全量明细'!J733)</x:f>
        <x:v>13.509999999999994</x:v>
      </x:c>
      <x:c r="O41" s="14" t="n">
        <x:f>IF(AND(ISNUMBER(C41),ISNUMBER(I41)),(I41-C41)*100,"")</x:f>
        <x:v>4.6883940000000015</x:v>
      </x:c>
      <x:c r="P41" s="17" t="str"/>
    </x:row>
    <x:row r="42" ht="25" customHeight="1">
      <x:c r="A42" s="2" t="str">
        <x:v>欧洛巴斯</x:v>
      </x:c>
      <x:c r="B42" s="2" t="str">
        <x:v>欧洛巴斯之触</x:v>
      </x:c>
      <x:c r="C42" s="28" t="n">
        <x:f>IF('全量明细'!E236="","",'全量明细'!E236)</x:f>
        <x:v>0.25964776</x:v>
      </x:c>
      <x:c r="D42" s="12" t="n">
        <x:f>IF('全量明细'!F236="","",'全量明细'!F236)</x:f>
        <x:v>5142</x:v>
      </x:c>
      <x:c r="E42" s="11" t="n">
        <x:f>IF('全量明细'!G236="","",'全量明细'!G236)</x:f>
        <x:v>0.35119999999999996</x:v>
      </x:c>
      <x:c r="F42" s="11" t="n">
        <x:f>IF('全量明细'!H236="","",'全量明细'!H236)</x:f>
        <x:v>0.22870000000000001</x:v>
      </x:c>
      <x:c r="G42" s="11" t="n">
        <x:f>IF('全量明细'!I236="","",'全量明细'!I236)</x:f>
        <x:v>0.2764</x:v>
      </x:c>
      <x:c r="H42" s="14" t="n">
        <x:f>IF('全量明细'!J236="","",'全量明细'!J236)</x:f>
        <x:v>-4.769999999999996</x:v>
      </x:c>
      <x:c r="I42" s="28" t="n">
        <x:f>IF('全量明细'!E732="","",'全量明细'!E732)</x:f>
        <x:v>0.32646147000000003</x:v>
      </x:c>
      <x:c r="J42" s="12" t="n">
        <x:f>IF('全量明细'!F732="","",'全量明细'!F732)</x:f>
        <x:v>1884</x:v>
      </x:c>
      <x:c r="K42" s="11" t="n">
        <x:f>IF('全量明细'!G732="","",'全量明细'!G732)</x:f>
        <x:v>0.31370000000000003</x:v>
      </x:c>
      <x:c r="L42" s="11" t="n">
        <x:f>IF('全量明细'!H732="","",'全量明细'!H732)</x:f>
        <x:v>0.308</x:v>
      </x:c>
      <x:c r="M42" s="11" t="n">
        <x:f>IF('全量明细'!I732="","",'全量明细'!I732)</x:f>
        <x:v>0.33490000000000003</x:v>
      </x:c>
      <x:c r="N42" s="14" t="n">
        <x:f>IF('全量明细'!J732="","",'全量明细'!J732)</x:f>
        <x:v>-2.6900000000000035</x:v>
      </x:c>
      <x:c r="O42" s="14" t="n">
        <x:f>IF(AND(ISNUMBER(C42),ISNUMBER(I42)),(I42-C42)*100,"")</x:f>
        <x:v>6.681371000000002</x:v>
      </x:c>
      <x:c r="P42" s="17" t="str"/>
    </x:row>
    <x:row r="43" ht="25" customHeight="1">
      <x:c r="A43" s="2" t="str">
        <x:v>欧洛巴斯</x:v>
      </x:c>
      <x:c r="B43" s="2" t="str">
        <x:v>沙堡</x:v>
      </x:c>
      <x:c r="C43" s="28" t="n">
        <x:f>IF('全量明细'!E233="","",'全量明细'!E233)</x:f>
        <x:v>0.26974342</x:v>
      </x:c>
      <x:c r="D43" s="12" t="n">
        <x:f>IF('全量明细'!F233="","",'全量明细'!F233)</x:f>
        <x:v>3033</x:v>
      </x:c>
      <x:c r="E43" s="11" t="n">
        <x:f>IF('全量明细'!G233="","",'全量明细'!G233)</x:f>
        <x:v>0.3722</x:v>
      </x:c>
      <x:c r="F43" s="11" t="n">
        <x:f>IF('全量明细'!H233="","",'全量明细'!H233)</x:f>
        <x:v>0.2516</x:v>
      </x:c>
      <x:c r="G43" s="11" t="n">
        <x:f>IF('全量明细'!I233="","",'全量明细'!I233)</x:f>
        <x:v>0.2805</x:v>
      </x:c>
      <x:c r="H43" s="14" t="n">
        <x:f>IF('全量明细'!J233="","",'全量明细'!J233)</x:f>
        <x:v>-2.8900000000000037</x:v>
      </x:c>
      <x:c r="I43" s="28" t="n">
        <x:f>IF('全量明细'!E731="","",'全量明细'!E731)</x:f>
        <x:v>0.32932490000000003</x:v>
      </x:c>
      <x:c r="J43" s="12" t="n">
        <x:f>IF('全量明细'!F731="","",'全量明细'!F731)</x:f>
        <x:v>908</x:v>
      </x:c>
      <x:c r="K43" s="11" t="n">
        <x:f>IF('全量明细'!G731="","",'全量明细'!G731)</x:f>
        <x:v>0.28300000000000003</x:v>
      </x:c>
      <x:c r="L43" s="11" t="n">
        <x:f>IF('全量明细'!H731="","",'全量明细'!H731)</x:f>
        <x:v>0.3152</x:v>
      </x:c>
      <x:c r="M43" s="11" t="n">
        <x:f>IF('全量明细'!I731="","",'全量明细'!I731)</x:f>
        <x:v>0.33490000000000003</x:v>
      </x:c>
      <x:c r="N43" s="14" t="n">
        <x:f>IF('全量明细'!J731="","",'全量明细'!J731)</x:f>
        <x:v>-1.970000000000005</x:v>
      </x:c>
      <x:c r="O43" s="14" t="n">
        <x:f>IF(AND(ISNUMBER(C43),ISNUMBER(I43)),(I43-C43)*100,"")</x:f>
        <x:v>5.958148000000002</x:v>
      </x:c>
      <x:c r="P43" s="17" t="str"/>
    </x:row>
    <x:row r="44" ht="25" customHeight="1">
      <x:c r="A44" s="20" t="str">
        <x:v>佩尔</x:v>
      </x:c>
      <x:c r="B44" s="20" t="str">
        <x:v>佩尔的士兵</x:v>
      </x:c>
      <x:c r="C44" s="27" t="n">
        <x:f>IF('全量明细'!E248="","",'全量明细'!E248)</x:f>
        <x:v>0.2539056</x:v>
      </x:c>
      <x:c r="D44" s="23" t="n">
        <x:f>IF('全量明细'!F248="","",'全量明细'!F248)</x:f>
        <x:v>3970</x:v>
      </x:c>
      <x:c r="E44" s="22" t="n">
        <x:f>IF('全量明细'!G248="","",'全量明细'!G248)</x:f>
        <x:v>0.40299999999999997</x:v>
      </x:c>
      <x:c r="F44" s="22" t="n">
        <x:f>IF('全量明细'!H248="","",'全量明细'!H248)</x:f>
        <x:v>0.2988</x:v>
      </x:c>
      <x:c r="G44" s="22" t="n">
        <x:f>IF('全量明细'!I248="","",'全量明细'!I248)</x:f>
        <x:v>0.2236</x:v>
      </x:c>
      <x:c r="H44" s="24" t="n">
        <x:f>IF('全量明细'!J248="","",'全量明细'!J248)</x:f>
        <x:v>7.520000000000001</x:v>
      </x:c>
      <x:c r="I44" s="27" t="n">
        <x:f>IF('全量明细'!E744="","",'全量明细'!E744)</x:f>
        <x:v>0.33417806000000005</x:v>
      </x:c>
      <x:c r="J44" s="23" t="n">
        <x:f>IF('全量明细'!F744="","",'全量明细'!F744)</x:f>
        <x:v>1574</x:v>
      </x:c>
      <x:c r="K44" s="22" t="n">
        <x:f>IF('全量明细'!G744="","",'全量明细'!G744)</x:f>
        <x:v>0.45740000000000003</x:v>
      </x:c>
      <x:c r="L44" s="22" t="n">
        <x:f>IF('全量明细'!H744="","",'全量明细'!H744)</x:f>
        <x:v>0.3542</x:v>
      </x:c>
      <x:c r="M44" s="22" t="n">
        <x:f>IF('全量明细'!I744="","",'全量明细'!I744)</x:f>
        <x:v>0.3173</x:v>
      </x:c>
      <x:c r="N44" s="24" t="n">
        <x:f>IF('全量明细'!J744="","",'全量明细'!J744)</x:f>
        <x:v>3.6899999999999986</x:v>
      </x:c>
      <x:c r="O44" s="24" t="n">
        <x:f>IF(AND(ISNUMBER(C44),ISNUMBER(I44)),(I44-C44)*100,"")</x:f>
        <x:v>8.027246000000005</x:v>
      </x:c>
      <x:c r="P44" s="31" t="str"/>
    </x:row>
    <x:row r="45" ht="25" customHeight="1">
      <x:c r="A45" s="2" t="str">
        <x:v>佩尔</x:v>
      </x:c>
      <x:c r="B45" s="2" t="str">
        <x:v>佩尔的增生组织</x:v>
      </x:c>
      <x:c r="C45" s="28" t="n">
        <x:f>IF('全量明细'!E242="","",'全量明细'!E242)</x:f>
        <x:v>0.2759</x:v>
      </x:c>
      <x:c r="D45" s="12" t="n">
        <x:f>IF('全量明细'!F242="","",'全量明细'!F242)</x:f>
        <x:v>1660</x:v>
      </x:c>
      <x:c r="E45" s="11" t="n">
        <x:f>IF('全量明细'!G242="","",'全量明细'!G242)</x:f>
        <x:v>0.29100000000000004</x:v>
      </x:c>
      <x:c r="F45" s="11" t="n">
        <x:f>IF('全量明细'!H242="","",'全量明细'!H242)</x:f>
        <x:v>0.205</x:v>
      </x:c>
      <x:c r="G45" s="11" t="n">
        <x:f>IF('全量明细'!I242="","",'全量明细'!I242)</x:f>
        <x:v>0.305</x:v>
      </x:c>
      <x:c r="H45" s="14" t="n">
        <x:f>IF('全量明细'!J242="","",'全量明细'!J242)</x:f>
        <x:v>-10</x:v>
      </x:c>
      <x:c r="I45" s="28" t="n">
        <x:f>IF('全量明细'!E739="","",'全量明细'!E739)</x:f>
        <x:v>0.39665542</x:v>
      </x:c>
      <x:c r="J45" s="12" t="n">
        <x:f>IF('全量明细'!F739="","",'全量明细'!F739)</x:f>
        <x:v>663</x:v>
      </x:c>
      <x:c r="K45" s="11" t="n">
        <x:f>IF('全量明细'!G739="","",'全量明细'!G739)</x:f>
        <x:v>0.2534</x:v>
      </x:c>
      <x:c r="L45" s="11" t="n">
        <x:f>IF('全量明细'!H739="","",'全量明细'!H739)</x:f>
        <x:v>0.3155</x:v>
      </x:c>
      <x:c r="M45" s="11" t="n">
        <x:f>IF('全量明细'!I739="","",'全量明细'!I739)</x:f>
        <x:v>0.4242</x:v>
      </x:c>
      <x:c r="N45" s="14" t="n">
        <x:f>IF('全量明细'!J739="","",'全量明细'!J739)</x:f>
        <x:v>-10.870000000000001</x:v>
      </x:c>
      <x:c r="O45" s="14" t="n">
        <x:f>IF(AND(ISNUMBER(C45),ISNUMBER(I45)),(I45-C45)*100,"")</x:f>
        <x:v>12.075542</x:v>
      </x:c>
      <x:c r="P45" s="17" t="str"/>
    </x:row>
    <x:row r="46" ht="25" customHeight="1">
      <x:c r="A46" s="2" t="str">
        <x:v>佩尔</x:v>
      </x:c>
      <x:c r="B46" s="2" t="str">
        <x:v>佩尔之角</x:v>
      </x:c>
      <x:c r="C46" s="28" t="n">
        <x:f>IF('全量明细'!E241="","",'全量明细'!E241)</x:f>
        <x:v>0.27793102000000003</x:v>
      </x:c>
      <x:c r="D46" s="12" t="n">
        <x:f>IF('全量明细'!F241="","",'全量明细'!F241)</x:f>
        <x:v>3961</x:v>
      </x:c>
      <x:c r="E46" s="11" t="n">
        <x:f>IF('全量明细'!G241="","",'全量明细'!G241)</x:f>
        <x:v>0.1134</x:v>
      </x:c>
      <x:c r="F46" s="11" t="n">
        <x:f>IF('全量明细'!H241="","",'全量明细'!H241)</x:f>
        <x:v>0.23829999999999998</x:v>
      </x:c>
      <x:c r="G46" s="11" t="n">
        <x:f>IF('全量明细'!I241="","",'全量明细'!I241)</x:f>
        <x:v>0.28300000000000003</x:v>
      </x:c>
      <x:c r="H46" s="14" t="n">
        <x:f>IF('全量明细'!J241="","",'全量明细'!J241)</x:f>
        <x:v>-4.470000000000004</x:v>
      </x:c>
      <x:c r="I46" s="28" t="n">
        <x:f>IF('全量明细'!E740="","",'全量明细'!E740)</x:f>
        <x:v>0.36932096000000003</x:v>
      </x:c>
      <x:c r="J46" s="12" t="n">
        <x:f>IF('全量明细'!F740="","",'全量明细'!F740)</x:f>
        <x:v>1557</x:v>
      </x:c>
      <x:c r="K46" s="11" t="n">
        <x:f>IF('全量明细'!G740="","",'全量明细'!G740)</x:f>
        <x:v>0.1888</x:v>
      </x:c>
      <x:c r="L46" s="11" t="n">
        <x:f>IF('全量明细'!H740="","",'全量明细'!H740)</x:f>
        <x:v>0.37070000000000003</x:v>
      </x:c>
      <x:c r="M46" s="11" t="n">
        <x:f>IF('全量明细'!I740="","",'全量明细'!I740)</x:f>
        <x:v>0.369</x:v>
      </x:c>
      <x:c r="N46" s="14" t="n">
        <x:f>IF('全量明细'!J740="","",'全量明细'!J740)</x:f>
        <x:v>0.17000000000000348</x:v>
      </x:c>
      <x:c r="O46" s="14" t="n">
        <x:f>IF(AND(ISNUMBER(C46),ISNUMBER(I46)),(I46-C46)*100,"")</x:f>
        <x:v>9.138994</x:v>
      </x:c>
      <x:c r="P46" s="17" t="str"/>
    </x:row>
    <x:row r="47" ht="25" customHeight="1">
      <x:c r="A47" s="2" t="str">
        <x:v>佩尔</x:v>
      </x:c>
      <x:c r="B47" s="2" t="str">
        <x:v>佩尔之泪</x:v>
      </x:c>
      <x:c r="C47" s="28" t="n">
        <x:f>IF('全量明细'!E246="","",'全量明细'!E246)</x:f>
        <x:v>0.26937542000000003</x:v>
      </x:c>
      <x:c r="D47" s="12" t="n">
        <x:f>IF('全量明细'!F246="","",'全量明细'!F246)</x:f>
        <x:v>4002</x:v>
      </x:c>
      <x:c r="E47" s="11" t="n">
        <x:f>IF('全量明细'!G246="","",'全量明细'!G246)</x:f>
        <x:v>0.3638</x:v>
      </x:c>
      <x:c r="F47" s="11" t="n">
        <x:f>IF('全量明细'!H246="","",'全量明细'!H246)</x:f>
        <x:v>0.2445</x:v>
      </x:c>
      <x:c r="G47" s="11" t="n">
        <x:f>IF('全量明细'!I246="","",'全量明细'!I246)</x:f>
        <x:v>0.2836</x:v>
      </x:c>
      <x:c r="H47" s="14" t="n">
        <x:f>IF('全量明细'!J246="","",'全量明细'!J246)</x:f>
        <x:v>-3.9100000000000024</x:v>
      </x:c>
      <x:c r="I47" s="28" t="n">
        <x:f>IF('全量明细'!E745="","",'全量明细'!E745)</x:f>
        <x:v>0.33187806</x:v>
      </x:c>
      <x:c r="J47" s="12" t="n">
        <x:f>IF('全量明细'!F745="","",'全量明细'!F745)</x:f>
        <x:v>1597</x:v>
      </x:c>
      <x:c r="K47" s="11" t="n">
        <x:f>IF('全量明细'!G745="","",'全量明细'!G745)</x:f>
        <x:v>0.3851</x:v>
      </x:c>
      <x:c r="L47" s="11" t="n">
        <x:f>IF('全量明细'!H745="","",'全量明细'!H745)</x:f>
        <x:v>0.31379999999999997</x:v>
      </x:c>
      <x:c r="M47" s="11" t="n">
        <x:f>IF('全量明细'!I745="","",'全量明细'!I745)</x:f>
        <x:v>0.3432</x:v>
      </x:c>
      <x:c r="N47" s="14" t="n">
        <x:f>IF('全量明细'!J745="","",'全量明细'!J745)</x:f>
        <x:v>-2.940000000000004</x:v>
      </x:c>
      <x:c r="O47" s="14" t="n">
        <x:f>IF(AND(ISNUMBER(C47),ISNUMBER(I47)),(I47-C47)*100,"")</x:f>
        <x:v>6.250263999999994</x:v>
      </x:c>
      <x:c r="P47" s="17" t="str"/>
    </x:row>
    <x:row r="48" ht="25" customHeight="1">
      <x:c r="A48" s="2" t="str">
        <x:v>佩尔</x:v>
      </x:c>
      <x:c r="B48" s="2" t="str">
        <x:v>佩尔之肉</x:v>
      </x:c>
      <x:c r="C48" s="28" t="n">
        <x:f>IF('全量明细'!E247="","",'全量明细'!E247)</x:f>
        <x:v>0.2665182</x:v>
      </x:c>
      <x:c r="D48" s="12" t="n">
        <x:f>IF('全量明细'!F247="","",'全量明细'!F247)</x:f>
        <x:v>4135</x:v>
      </x:c>
      <x:c r="E48" s="11" t="n">
        <x:f>IF('全量明细'!G247="","",'全量明细'!G247)</x:f>
        <x:v>0.3204</x:v>
      </x:c>
      <x:c r="F48" s="11" t="n">
        <x:f>IF('全量明细'!H247="","",'全量明细'!H247)</x:f>
        <x:v>0.1955</x:v>
      </x:c>
      <x:c r="G48" s="11" t="n">
        <x:f>IF('全量明细'!I247="","",'全量明细'!I247)</x:f>
        <x:v>0.3</x:v>
      </x:c>
      <x:c r="H48" s="14" t="n">
        <x:f>IF('全量明细'!J247="","",'全量明细'!J247)</x:f>
        <x:v>-10.449999999999998</x:v>
      </x:c>
      <x:c r="I48" s="28" t="n">
        <x:f>IF('全量明细'!E742="","",'全量明细'!E742)</x:f>
        <x:v>0.34845225</x:v>
      </x:c>
      <x:c r="J48" s="12" t="n">
        <x:f>IF('全量明细'!F742="","",'全量明细'!F742)</x:f>
        <x:v>1610</x:v>
      </x:c>
      <x:c r="K48" s="11" t="n">
        <x:f>IF('全量明细'!G742="","",'全量明细'!G742)</x:f>
        <x:v>0.3553</x:v>
      </x:c>
      <x:c r="L48" s="11" t="n">
        <x:f>IF('全量明细'!H742="","",'全量明细'!H742)</x:f>
        <x:v>0.2727</x:v>
      </x:c>
      <x:c r="M48" s="11" t="n">
        <x:f>IF('全量明细'!I742="","",'全量明细'!I742)</x:f>
        <x:v>0.39020000000000005</x:v>
      </x:c>
      <x:c r="N48" s="14" t="n">
        <x:f>IF('全量明细'!J742="","",'全量明细'!J742)</x:f>
        <x:v>-11.750000000000005</x:v>
      </x:c>
      <x:c r="O48" s="14" t="n">
        <x:f>IF(AND(ISNUMBER(C48),ISNUMBER(I48)),(I48-C48)*100,"")</x:f>
        <x:v>8.193405000000004</x:v>
      </x:c>
      <x:c r="P48" s="17" t="str"/>
    </x:row>
    <x:row r="49" ht="25" customHeight="1">
      <x:c r="A49" s="2" t="str">
        <x:v>佩尔</x:v>
      </x:c>
      <x:c r="B49" s="2" t="str">
        <x:v>佩尔之血</x:v>
      </x:c>
      <x:c r="C49" s="28" t="n">
        <x:f>IF('全量明细'!E240="","",'全量明细'!E240)</x:f>
        <x:v>0.31145365999999997</x:v>
      </x:c>
      <x:c r="D49" s="12" t="n">
        <x:f>IF('全量明细'!F240="","",'全量明细'!F240)</x:f>
        <x:v>4055</x:v>
      </x:c>
      <x:c r="E49" s="11" t="n">
        <x:f>IF('全量明细'!G240="","",'全量明细'!G240)</x:f>
        <x:v>0.5798</x:v>
      </x:c>
      <x:c r="F49" s="11" t="n">
        <x:f>IF('全量明细'!H240="","",'全量明细'!H240)</x:f>
        <x:v>0.37939999999999996</x:v>
      </x:c>
      <x:c r="G49" s="11" t="n">
        <x:f>IF('全量明细'!I240="","",'全量明细'!I240)</x:f>
        <x:v>0.2177</x:v>
      </x:c>
      <x:c r="H49" s="14" t="n">
        <x:f>IF('全量明细'!J240="","",'全量明细'!J240)</x:f>
        <x:v>16.169999999999995</x:v>
      </x:c>
      <x:c r="I49" s="28" t="n">
        <x:f>IF('全量明细'!E738="","",'全量明细'!E738)</x:f>
        <x:v>0.41405590999999997</x:v>
      </x:c>
      <x:c r="J49" s="12" t="n">
        <x:f>IF('全量明细'!F738="","",'全量明细'!F738)</x:f>
        <x:v>1582</x:v>
      </x:c>
      <x:c r="K49" s="11" t="n">
        <x:f>IF('全量明细'!G738="","",'全量明细'!G738)</x:f>
        <x:v>0.6201</x:v>
      </x:c>
      <x:c r="L49" s="11" t="n">
        <x:f>IF('全量明细'!H738="","",'全量明细'!H738)</x:f>
        <x:v>0.4669</x:v>
      </x:c>
      <x:c r="M49" s="11" t="n">
        <x:f>IF('全量明细'!I738="","",'全量明细'!I738)</x:f>
        <x:v>0.32780000000000004</x:v>
      </x:c>
      <x:c r="N49" s="14" t="n">
        <x:f>IF('全量明细'!J738="","",'全量明细'!J738)</x:f>
        <x:v>13.909999999999995</x:v>
      </x:c>
      <x:c r="O49" s="14" t="n">
        <x:f>IF(AND(ISNUMBER(C49),ISNUMBER(I49)),(I49-C49)*100,"")</x:f>
        <x:v>10.260225</x:v>
      </x:c>
      <x:c r="P49" s="17" t="str"/>
    </x:row>
    <x:row r="50" ht="25" customHeight="1">
      <x:c r="A50" s="2" t="str">
        <x:v>佩尔</x:v>
      </x:c>
      <x:c r="B50" s="2" t="str">
        <x:v>佩尔之牙</x:v>
      </x:c>
      <x:c r="C50" s="28" t="n">
        <x:f>IF('全量明细'!E244="","",'全量明细'!E244)</x:f>
        <x:v>0.27039727999999996</x:v>
      </x:c>
      <x:c r="D50" s="12" t="n">
        <x:f>IF('全量明细'!F244="","",'全量明细'!F244)</x:f>
        <x:v>3602</x:v>
      </x:c>
      <x:c r="E50" s="11" t="n">
        <x:f>IF('全量明细'!G244="","",'全量明细'!G244)</x:f>
        <x:v>0.2468</x:v>
      </x:c>
      <x:c r="F50" s="11" t="n">
        <x:f>IF('全量明细'!H244="","",'全量明细'!H244)</x:f>
        <x:v>0.2475</x:v>
      </x:c>
      <x:c r="G50" s="11" t="n">
        <x:f>IF('全量明细'!I244="","",'全量明细'!I244)</x:f>
        <x:v>0.2779</x:v>
      </x:c>
      <x:c r="H50" s="14" t="n">
        <x:f>IF('全量明细'!J244="","",'全量明细'!J244)</x:f>
        <x:v>-3.0399999999999983</x:v>
      </x:c>
      <x:c r="I50" s="28" t="n">
        <x:f>IF('全量明细'!E746="","",'全量明细'!E746)</x:f>
        <x:v>0.32829196000000005</x:v>
      </x:c>
      <x:c r="J50" s="12" t="n">
        <x:f>IF('全量明细'!F746="","",'全量明细'!F746)</x:f>
        <x:v>1447</x:v>
      </x:c>
      <x:c r="K50" s="11" t="n">
        <x:f>IF('全量明细'!G746="","",'全量明细'!G746)</x:f>
        <x:v>0.1804</x:v>
      </x:c>
      <x:c r="L50" s="11" t="n">
        <x:f>IF('全量明细'!H746="","",'全量明细'!H746)</x:f>
        <x:v>0.34869999999999995</x:v>
      </x:c>
      <x:c r="M50" s="11" t="n">
        <x:f>IF('全量明细'!I746="","",'全量明细'!I746)</x:f>
        <x:v>0.32380000000000003</x:v>
      </x:c>
      <x:c r="N50" s="14" t="n">
        <x:f>IF('全量明细'!J746="","",'全量明细'!J746)</x:f>
        <x:v>2.489999999999992</x:v>
      </x:c>
      <x:c r="O50" s="14" t="n">
        <x:f>IF(AND(ISNUMBER(C50),ISNUMBER(I50)),(I50-C50)*100,"")</x:f>
        <x:v>5.789468000000008</x:v>
      </x:c>
      <x:c r="P50" s="17" t="str"/>
    </x:row>
    <x:row r="51" ht="25" customHeight="1">
      <x:c r="A51" s="2" t="str">
        <x:v>佩尔</x:v>
      </x:c>
      <x:c r="B51" s="2" t="str">
        <x:v>佩尔之眼</x:v>
      </x:c>
      <x:c r="C51" s="28" t="n">
        <x:f>IF('全量明细'!E249="","",'全量明细'!E249)</x:f>
        <x:v>0.24816149999999998</x:v>
      </x:c>
      <x:c r="D51" s="12" t="n">
        <x:f>IF('全量明细'!F249="","",'全量明细'!F249)</x:f>
        <x:v>4074</x:v>
      </x:c>
      <x:c r="E51" s="11" t="n">
        <x:f>IF('全量明细'!G249="","",'全量明细'!G249)</x:f>
        <x:v>0.2425</x:v>
      </x:c>
      <x:c r="F51" s="11" t="n">
        <x:f>IF('全量明细'!H249="","",'全量明细'!H249)</x:f>
        <x:v>0.2874</x:v>
      </x:c>
      <x:c r="G51" s="11" t="n">
        <x:f>IF('全量明细'!I249="","",'全量明细'!I249)</x:f>
        <x:v>0.23559999999999998</x:v>
      </x:c>
      <x:c r="H51" s="14" t="n">
        <x:f>IF('全量明细'!J249="","",'全量明细'!J249)</x:f>
        <x:v>5.1800000000000015</x:v>
      </x:c>
      <x:c r="I51" s="28" t="n">
        <x:f>IF('全量明细'!E747="","",'全量明细'!E747)</x:f>
        <x:v>0.30158256000000006</x:v>
      </x:c>
      <x:c r="J51" s="12" t="n">
        <x:f>IF('全量明细'!F747="","",'全量明细'!F747)</x:f>
        <x:v>1608</x:v>
      </x:c>
      <x:c r="K51" s="11" t="n">
        <x:f>IF('全量明细'!G747="","",'全量明细'!G747)</x:f>
        <x:v>0.22329999999999997</x:v>
      </x:c>
      <x:c r="L51" s="11" t="n">
        <x:f>IF('全量明细'!H747="","",'全量明细'!H747)</x:f>
        <x:v>0.273</x:v>
      </x:c>
      <x:c r="M51" s="11" t="n">
        <x:f>IF('全量明细'!I747="","",'全量明细'!I747)</x:f>
        <x:v>0.3098</x:v>
      </x:c>
      <x:c r="N51" s="14" t="n">
        <x:f>IF('全量明细'!J747="","",'全量明细'!J747)</x:f>
        <x:v>-3.6799999999999997</x:v>
      </x:c>
      <x:c r="O51" s="14" t="n">
        <x:f>IF(AND(ISNUMBER(C51),ISNUMBER(I51)),(I51-C51)*100,"")</x:f>
        <x:v>5.342106000000007</x:v>
      </x:c>
      <x:c r="P51" s="17" t="str"/>
    </x:row>
    <x:row r="52" ht="25" customHeight="1">
      <x:c r="A52" s="2" t="str">
        <x:v>佩尔</x:v>
      </x:c>
      <x:c r="B52" s="2" t="str">
        <x:v>佩尔之翼</x:v>
      </x:c>
      <x:c r="C52" s="28" t="n">
        <x:f>IF('全量明细'!E245="","",'全量明细'!E245)</x:f>
        <x:v>0.27007644</x:v>
      </x:c>
      <x:c r="D52" s="12" t="n">
        <x:f>IF('全量明细'!F245="","",'全量明细'!F245)</x:f>
        <x:v>3495</x:v>
      </x:c>
      <x:c r="E52" s="11" t="n">
        <x:f>IF('全量明细'!G245="","",'全量明细'!G245)</x:f>
        <x:v>0.4003</x:v>
      </x:c>
      <x:c r="F52" s="11" t="n">
        <x:f>IF('全量明细'!H245="","",'全量明细'!H245)</x:f>
        <x:v>0.183</x:v>
      </x:c>
      <x:c r="G52" s="11" t="n">
        <x:f>IF('全量明细'!I245="","",'全量明细'!I245)</x:f>
        <x:v>0.3282</x:v>
      </x:c>
      <x:c r="H52" s="14" t="n">
        <x:f>IF('全量明细'!J245="","",'全量明细'!J245)</x:f>
        <x:v>-14.52</x:v>
      </x:c>
      <x:c r="I52" s="28" t="n">
        <x:f>IF('全量明细'!E741="","",'全量明细'!E741)</x:f>
        <x:v>0.35298505</x:v>
      </x:c>
      <x:c r="J52" s="12" t="n">
        <x:f>IF('全量明细'!F741="","",'全量明细'!F741)</x:f>
        <x:v>1320</x:v>
      </x:c>
      <x:c r="K52" s="11" t="n">
        <x:f>IF('全量明细'!G741="","",'全量明细'!G741)</x:f>
        <x:v>0.2955</x:v>
      </x:c>
      <x:c r="L52" s="11" t="n">
        <x:f>IF('全量明细'!H741="","",'全量明细'!H741)</x:f>
        <x:v>0.2974</x:v>
      </x:c>
      <x:c r="M52" s="11" t="n">
        <x:f>IF('全量明细'!I741="","",'全量明细'!I741)</x:f>
        <x:v>0.3763</x:v>
      </x:c>
      <x:c r="N52" s="14" t="n">
        <x:f>IF('全量明细'!J741="","",'全量明细'!J741)</x:f>
        <x:v>-7.890000000000002</x:v>
      </x:c>
      <x:c r="O52" s="14" t="n">
        <x:f>IF(AND(ISNUMBER(C52),ISNUMBER(I52)),(I52-C52)*100,"")</x:f>
        <x:v>8.290861000000005</x:v>
      </x:c>
      <x:c r="P52" s="17" t="str"/>
    </x:row>
    <x:row r="53" ht="25" customHeight="1">
      <x:c r="A53" s="2" t="str">
        <x:v>佩尔</x:v>
      </x:c>
      <x:c r="B53" s="2" t="str">
        <x:v>佩尔之爪</x:v>
      </x:c>
      <x:c r="C53" s="28" t="n">
        <x:f>IF('全量明细'!E243="","",'全量明细'!E243)</x:f>
        <x:v>0.27125793</x:v>
      </x:c>
      <x:c r="D53" s="12" t="n">
        <x:f>IF('全量明细'!F243="","",'全量明细'!F243)</x:f>
        <x:v>3355</x:v>
      </x:c>
      <x:c r="E53" s="11" t="n">
        <x:f>IF('全量明细'!G243="","",'全量明细'!G243)</x:f>
        <x:v>0.33770000000000006</x:v>
      </x:c>
      <x:c r="F53" s="11" t="n">
        <x:f>IF('全量明细'!H243="","",'全量明细'!H243)</x:f>
        <x:v>0.2851</x:v>
      </x:c>
      <x:c r="G53" s="11" t="n">
        <x:f>IF('全量明细'!I243="","",'全量明细'!I243)</x:f>
        <x:v>0.2642</x:v>
      </x:c>
      <x:c r="H53" s="14" t="n">
        <x:f>IF('全量明细'!J243="","",'全量明细'!J243)</x:f>
        <x:v>2.090000000000003</x:v>
      </x:c>
      <x:c r="I53" s="28" t="n">
        <x:f>IF('全量明细'!E743="","",'全量明细'!E743)</x:f>
        <x:v>0.347778</x:v>
      </x:c>
      <x:c r="J53" s="12" t="n">
        <x:f>IF('全量明细'!F743="","",'全量明细'!F743)</x:f>
        <x:v>1340</x:v>
      </x:c>
      <x:c r="K53" s="11" t="n">
        <x:f>IF('全量明细'!G743="","",'全量明细'!G743)</x:f>
        <x:v>0.2925</x:v>
      </x:c>
      <x:c r="L53" s="11" t="n">
        <x:f>IF('全量明细'!H743="","",'全量明细'!H743)</x:f>
        <x:v>0.32909999999999995</x:v>
      </x:c>
      <x:c r="M53" s="11" t="n">
        <x:f>IF('全量明细'!I743="","",'全量明细'!I743)</x:f>
        <x:v>0.3555</x:v>
      </x:c>
      <x:c r="N53" s="14" t="n">
        <x:f>IF('全量明细'!J743="","",'全量明细'!J743)</x:f>
        <x:v>-2.6400000000000032</x:v>
      </x:c>
      <x:c r="O53" s="14" t="n">
        <x:f>IF(AND(ISNUMBER(C53),ISNUMBER(I53)),(I53-C53)*100,"")</x:f>
        <x:v>7.652006999999999</x:v>
      </x:c>
      <x:c r="P53" s="17" t="str"/>
    </x:row>
    <x:row r="54" ht="25" customHeight="1">
      <x:c r="A54" s="20" t="str">
        <x:v>特兹卡塔拉</x:v>
      </x:c>
      <x:c r="B54" s="20" t="str">
        <x:v>大～抱抱</x:v>
      </x:c>
      <x:c r="C54" s="27" t="n">
        <x:f>IF('全量明细'!E253="","",'全量明细'!E253)</x:f>
        <x:v>0.28266998</x:v>
      </x:c>
      <x:c r="D54" s="23" t="n">
        <x:f>IF('全量明细'!F253="","",'全量明细'!F253)</x:f>
        <x:v>4235</x:v>
      </x:c>
      <x:c r="E54" s="22" t="n">
        <x:f>IF('全量明细'!G253="","",'全量明细'!G253)</x:f>
        <x:v>0.4878</x:v>
      </x:c>
      <x:c r="F54" s="22" t="n">
        <x:f>IF('全量明细'!H253="","",'全量明细'!H253)</x:f>
        <x:v>0.3616</x:v>
      </x:c>
      <x:c r="G54" s="22" t="n">
        <x:f>IF('全量明细'!I253="","",'全量明细'!I253)</x:f>
        <x:v>0.2075</x:v>
      </x:c>
      <x:c r="H54" s="24" t="n">
        <x:f>IF('全量明细'!J253="","",'全量明细'!J253)</x:f>
        <x:v>15.409999999999998</x:v>
      </x:c>
      <x:c r="I54" s="27" t="n">
        <x:f>IF('全量明细'!E751="","",'全量明细'!E751)</x:f>
        <x:v>0.34579592000000003</x:v>
      </x:c>
      <x:c r="J54" s="23" t="n">
        <x:f>IF('全量明细'!F751="","",'全量明细'!F751)</x:f>
        <x:v>1602</x:v>
      </x:c>
      <x:c r="K54" s="22" t="n">
        <x:f>IF('全量明细'!G751="","",'全量明细'!G751)</x:f>
        <x:v>0.4388</x:v>
      </x:c>
      <x:c r="L54" s="22" t="n">
        <x:f>IF('全量明细'!H751="","",'全量明细'!H751)</x:f>
        <x:v>0.3926</x:v>
      </x:c>
      <x:c r="M54" s="22" t="n">
        <x:f>IF('全量明细'!I751="","",'全量明细'!I751)</x:f>
        <x:v>0.30920000000000003</x:v>
      </x:c>
      <x:c r="N54" s="24" t="n">
        <x:f>IF('全量明细'!J751="","",'全量明细'!J751)</x:f>
        <x:v>8.339999999999998</x:v>
      </x:c>
      <x:c r="O54" s="24" t="n">
        <x:f>IF(AND(ISNUMBER(C54),ISNUMBER(I54)),(I54-C54)*100,"")</x:f>
        <x:v>6.312594000000004</x:v>
      </x:c>
      <x:c r="P54" s="31" t="str"/>
    </x:row>
    <x:row r="55" ht="25" customHeight="1">
      <x:c r="A55" s="2" t="str">
        <x:v>特兹卡塔拉</x:v>
      </x:c>
      <x:c r="B55" s="2" t="str">
        <x:v>故事书</x:v>
      </x:c>
      <x:c r="C55" s="28" t="n">
        <x:f>IF('全量明细'!E250="","",'全量明细'!E250)</x:f>
        <x:v>0.31144266000000004</x:v>
      </x:c>
      <x:c r="D55" s="12" t="n">
        <x:f>IF('全量明细'!F250="","",'全量明细'!F250)</x:f>
        <x:v>3911</x:v>
      </x:c>
      <x:c r="E55" s="11" t="n">
        <x:f>IF('全量明细'!G250="","",'全量明细'!G250)</x:f>
        <x:v>0.6101</x:v>
      </x:c>
      <x:c r="F55" s="11" t="n">
        <x:f>IF('全量明细'!H250="","",'全量明细'!H250)</x:f>
        <x:v>0.3764</x:v>
      </x:c>
      <x:c r="G55" s="11" t="n">
        <x:f>IF('全量明细'!I250="","",'全量明细'!I250)</x:f>
        <x:v>0.20980000000000001</x:v>
      </x:c>
      <x:c r="H55" s="14" t="n">
        <x:f>IF('全量明细'!J250="","",'全量明细'!J250)</x:f>
        <x:v>16.66</x:v>
      </x:c>
      <x:c r="I55" s="28" t="n">
        <x:f>IF('全量明细'!E755="","",'全量明细'!E755)</x:f>
        <x:v>0.33539512000000005</x:v>
      </x:c>
      <x:c r="J55" s="12" t="n">
        <x:f>IF('全量明细'!F755="","",'全量明细'!F755)</x:f>
        <x:v>1604</x:v>
      </x:c>
      <x:c r="K55" s="11" t="n">
        <x:f>IF('全量明细'!G755="","",'全量明细'!G755)</x:f>
        <x:v>0.2481</x:v>
      </x:c>
      <x:c r="L55" s="11" t="n">
        <x:f>IF('全量明细'!H755="","",'全量明细'!H755)</x:f>
        <x:v>0.37689999999999996</x:v>
      </x:c>
      <x:c r="M55" s="11" t="n">
        <x:f>IF('全量明细'!I755="","",'全量明细'!I755)</x:f>
        <x:v>0.32170000000000004</x:v>
      </x:c>
      <x:c r="N55" s="14" t="n">
        <x:f>IF('全量明细'!J755="","",'全量明细'!J755)</x:f>
        <x:v>5.519999999999992</x:v>
      </x:c>
      <x:c r="O55" s="14" t="n">
        <x:f>IF(AND(ISNUMBER(C55),ISNUMBER(I55)),(I55-C55)*100,"")</x:f>
        <x:v>2.395246000000001</x:v>
      </x:c>
      <x:c r="P55" s="17" t="str"/>
    </x:row>
    <x:row r="56" ht="25" customHeight="1">
      <x:c r="A56" s="2" t="str">
        <x:v>特兹卡塔拉</x:v>
      </x:c>
      <x:c r="B56" s="2" t="str">
        <x:v>烘焙手套</x:v>
      </x:c>
      <x:c r="C56" s="28" t="n">
        <x:f>IF('全量明细'!E259="","",'全量明细'!E259)</x:f>
        <x:v>0.25789042000000006</x:v>
      </x:c>
      <x:c r="D56" s="12" t="n">
        <x:f>IF('全量明细'!F259="","",'全量明细'!F259)</x:f>
        <x:v>4102</x:v>
      </x:c>
      <x:c r="E56" s="11" t="n">
        <x:f>IF('全量明细'!G259="","",'全量明细'!G259)</x:f>
        <x:v>0.0171</x:v>
      </x:c>
      <x:c r="F56" s="11" t="n">
        <x:f>IF('全量明细'!H259="","",'全量明细'!H259)</x:f>
        <x:v>0.2286</x:v>
      </x:c>
      <x:c r="G56" s="11" t="n">
        <x:f>IF('全量明细'!I259="","",'全量明细'!I259)</x:f>
        <x:v>0.2584</x:v>
      </x:c>
      <x:c r="H56" s="14" t="n">
        <x:f>IF('全量明细'!J259="","",'全量明细'!J259)</x:f>
        <x:v>-2.980000000000002</x:v>
      </x:c>
      <x:c r="I56" s="28" t="n">
        <x:f>IF('全量明细'!E752="","",'全量明细'!E752)</x:f>
        <x:v>0.3420462</x:v>
      </x:c>
      <x:c r="J56" s="12" t="n">
        <x:f>IF('全量明细'!F752="","",'全量明细'!F752)</x:f>
        <x:v>1643</x:v>
      </x:c>
      <x:c r="K56" s="11" t="n">
        <x:f>IF('全量明细'!G752="","",'全量明细'!G752)</x:f>
        <x:v>0.266</x:v>
      </x:c>
      <x:c r="L56" s="11" t="n">
        <x:f>IF('全量明细'!H752="","",'全量明细'!H752)</x:f>
        <x:v>0.4233</x:v>
      </x:c>
      <x:c r="M56" s="11" t="n">
        <x:f>IF('全量明细'!I752="","",'全量明细'!I752)</x:f>
        <x:v>0.3126</x:v>
      </x:c>
      <x:c r="N56" s="14" t="n">
        <x:f>IF('全量明细'!J752="","",'全量明细'!J752)</x:f>
        <x:v>11.070000000000002</x:v>
      </x:c>
      <x:c r="O56" s="14" t="n">
        <x:f>IF(AND(ISNUMBER(C56),ISNUMBER(I56)),(I56-C56)*100,"")</x:f>
        <x:v>8.415577999999996</x:v>
      </x:c>
      <x:c r="P56" s="17" t="str"/>
    </x:row>
    <x:row r="57" ht="25" customHeight="1">
      <x:c r="A57" s="2" t="str">
        <x:v>特兹卡塔拉</x:v>
      </x:c>
      <x:c r="B57" s="2" t="str">
        <x:v>黄金罗盘</x:v>
      </x:c>
      <x:c r="C57" s="28" t="n">
        <x:f>IF('全量明细'!E251="","",'全量明细'!E251)</x:f>
        <x:v>0.30443755</x:v>
      </x:c>
      <x:c r="D57" s="12" t="n">
        <x:f>IF('全量明细'!F251="","",'全量明细'!F251)</x:f>
        <x:v>3153</x:v>
      </x:c>
      <x:c r="E57" s="11" t="n">
        <x:f>IF('全量明细'!G251="","",'全量明细'!G251)</x:f>
        <x:v>0.2709</x:v>
      </x:c>
      <x:c r="F57" s="11" t="n">
        <x:f>IF('全量明细'!H251="","",'全量明细'!H251)</x:f>
        <x:v>0.2822</x:v>
      </x:c>
      <x:c r="G57" s="11" t="n">
        <x:f>IF('全量明细'!I251="","",'全量明细'!I251)</x:f>
        <x:v>0.3127</x:v>
      </x:c>
      <x:c r="H57" s="14" t="n">
        <x:f>IF('全量明细'!J251="","",'全量明细'!J251)</x:f>
        <x:v>-3.049999999999997</x:v>
      </x:c>
      <x:c r="I57" s="28" t="n">
        <x:f>IF('全量明细'!E757="","",'全量明细'!E757)</x:f>
        <x:v>0.32116966</x:v>
      </x:c>
      <x:c r="J57" s="12" t="n">
        <x:f>IF('全量明细'!F757="","",'全量明细'!F757)</x:f>
        <x:v>1258</x:v>
      </x:c>
      <x:c r="K57" s="11" t="n">
        <x:f>IF('全量明细'!G757="","",'全量明细'!G757)</x:f>
        <x:v>0.2607</x:v>
      </x:c>
      <x:c r="L57" s="11" t="n">
        <x:f>IF('全量明细'!H757="","",'全量明细'!H757)</x:f>
        <x:v>0.3018</x:v>
      </x:c>
      <x:c r="M57" s="11" t="n">
        <x:f>IF('全量明细'!I757="","",'全量明细'!I757)</x:f>
        <x:v>0.32799999999999996</x:v>
      </x:c>
      <x:c r="N57" s="14" t="n">
        <x:f>IF('全量明细'!J757="","",'全量明细'!J757)</x:f>
        <x:v>-2.6199999999999948</x:v>
      </x:c>
      <x:c r="O57" s="14" t="n">
        <x:f>IF(AND(ISNUMBER(C57),ISNUMBER(I57)),(I57-C57)*100,"")</x:f>
        <x:v>1.6732110000000022</x:v>
      </x:c>
      <x:c r="P57" s="17" t="str"/>
    </x:row>
    <x:row r="58" ht="25" customHeight="1">
      <x:c r="A58" s="2" t="str">
        <x:v>特兹卡塔拉</x:v>
      </x:c>
      <x:c r="B58" s="2" t="str">
        <x:v>黄金印</x:v>
      </x:c>
      <x:c r="C58" s="28" t="n">
        <x:f>IF('全量明细'!E258="","",'全量明细'!E258)</x:f>
        <x:v>0.2695206</x:v>
      </x:c>
      <x:c r="D58" s="12" t="n">
        <x:f>IF('全量明细'!F258="","",'全量明细'!F258)</x:f>
        <x:v>2994</x:v>
      </x:c>
      <x:c r="E58" s="11" t="n">
        <x:f>IF('全量明细'!G258="","",'全量明细'!G258)</x:f>
        <x:v>0.1039</x:v>
      </x:c>
      <x:c r="F58" s="11" t="n">
        <x:f>IF('全量明细'!H258="","",'全量明细'!H258)</x:f>
        <x:v>0.22829999999999998</x:v>
      </x:c>
      <x:c r="G58" s="11" t="n">
        <x:f>IF('全量明细'!I258="","",'全量明细'!I258)</x:f>
        <x:v>0.2743</x:v>
      </x:c>
      <x:c r="H58" s="14" t="n">
        <x:f>IF('全量明细'!J258="","",'全量明细'!J258)</x:f>
        <x:v>-4.600000000000001</x:v>
      </x:c>
      <x:c r="I58" s="28" t="n">
        <x:f>IF('全量明细'!E749="","",'全量明细'!E749)</x:f>
        <x:v>0.35311008</x:v>
      </x:c>
      <x:c r="J58" s="12" t="n">
        <x:f>IF('全量明细'!F749="","",'全量明细'!F749)</x:f>
        <x:v>1212</x:v>
      </x:c>
      <x:c r="K58" s="11" t="n">
        <x:f>IF('全量明细'!G749="","",'全量明细'!G749)</x:f>
        <x:v>0.2384</x:v>
      </x:c>
      <x:c r="L58" s="11" t="n">
        <x:f>IF('全量明细'!H749="","",'全量明细'!H749)</x:f>
        <x:v>0.34259999999999996</x:v>
      </x:c>
      <x:c r="M58" s="11" t="n">
        <x:f>IF('全量明细'!I749="","",'全量明细'!I749)</x:f>
        <x:v>0.3564</x:v>
      </x:c>
      <x:c r="N58" s="14" t="n">
        <x:f>IF('全量明细'!J749="","",'全量明细'!J749)</x:f>
        <x:v>-1.3800000000000034</x:v>
      </x:c>
      <x:c r="O58" s="14" t="n">
        <x:f>IF(AND(ISNUMBER(C58),ISNUMBER(I58)),(I58-C58)*100,"")</x:f>
        <x:v>8.358948</x:v>
      </x:c>
      <x:c r="P58" s="17" t="str"/>
    </x:row>
    <x:row r="59" ht="25" customHeight="1">
      <x:c r="A59" s="2" t="str">
        <x:v>特兹卡塔拉</x:v>
      </x:c>
      <x:c r="B59" s="2" t="str">
        <x:v>美味饼干</x:v>
      </x:c>
      <x:c r="C59" s="28" t="n">
        <x:f>IF('全量明细'!E254="","",'全量明细'!E254)</x:f>
        <x:v>0.2809416</x:v>
      </x:c>
      <x:c r="D59" s="12" t="n">
        <x:f>IF('全量明细'!F254="","",'全量明细'!F254)</x:f>
        <x:v>4100</x:v>
      </x:c>
      <x:c r="E59" s="11" t="n">
        <x:f>IF('全量明细'!G254="","",'全量明细'!G254)</x:f>
        <x:v>0.5895</x:v>
      </x:c>
      <x:c r="F59" s="11" t="n">
        <x:f>IF('全量明细'!H254="","",'全量明细'!H254)</x:f>
        <x:v>0.2238</x:v>
      </x:c>
      <x:c r="G59" s="11" t="n">
        <x:f>IF('全量明细'!I254="","",'全量明细'!I254)</x:f>
        <x:v>0.363</x:v>
      </x:c>
      <x:c r="H59" s="14" t="n">
        <x:f>IF('全量明细'!J254="","",'全量明细'!J254)</x:f>
        <x:v>-13.919999999999998</x:v>
      </x:c>
      <x:c r="I59" s="28" t="n">
        <x:f>IF('全量明细'!E754="","",'全量明细'!E754)</x:f>
        <x:v>0.33745142</x:v>
      </x:c>
      <x:c r="J59" s="12" t="n">
        <x:f>IF('全量明细'!F754="","",'全量明细'!F754)</x:f>
        <x:v>1612</x:v>
      </x:c>
      <x:c r="K59" s="11" t="n">
        <x:f>IF('全量明细'!G754="","",'全量明细'!G754)</x:f>
        <x:v>0.5614</x:v>
      </x:c>
      <x:c r="L59" s="11" t="n">
        <x:f>IF('全量明细'!H754="","",'全量明细'!H754)</x:f>
        <x:v>0.2696</x:v>
      </x:c>
      <x:c r="M59" s="11" t="n">
        <x:f>IF('全量明细'!I754="","",'全量明细'!I754)</x:f>
        <x:v>0.4243</x:v>
      </x:c>
      <x:c r="N59" s="14" t="n">
        <x:f>IF('全量明细'!J754="","",'全量明细'!J754)</x:f>
        <x:v>-15.47</x:v>
      </x:c>
      <x:c r="O59" s="14" t="n">
        <x:f>IF(AND(ISNUMBER(C59),ISNUMBER(I59)),(I59-C59)*100,"")</x:f>
        <x:v>5.650981999999999</x:v>
      </x:c>
      <x:c r="P59" s="17" t="str"/>
    </x:row>
    <x:row r="60" ht="25" customHeight="1">
      <x:c r="A60" s="2" t="str">
        <x:v>特兹卡塔拉</x:v>
      </x:c>
      <x:c r="B60" s="2" t="str">
        <x:v>南瓜蜡烛</x:v>
      </x:c>
      <x:c r="C60" s="28" t="n">
        <x:f>IF('全量明细'!E256="","",'全量明细'!E256)</x:f>
        <x:v>0.27957131</x:v>
      </x:c>
      <x:c r="D60" s="12" t="n">
        <x:f>IF('全量明细'!F256="","",'全量明细'!F256)</x:f>
        <x:v>3015</x:v>
      </x:c>
      <x:c r="E60" s="11" t="n">
        <x:f>IF('全量明细'!G256="","",'全量明细'!G256)</x:f>
        <x:v>0.2547</x:v>
      </x:c>
      <x:c r="F60" s="11" t="n">
        <x:f>IF('全量明细'!H256="","",'全量明细'!H256)</x:f>
        <x:v>0.2552</x:v>
      </x:c>
      <x:c r="G60" s="11" t="n">
        <x:f>IF('全量明细'!I256="","",'全量明细'!I256)</x:f>
        <x:v>0.2879</x:v>
      </x:c>
      <x:c r="H60" s="14" t="n">
        <x:f>IF('全量明细'!J256="","",'全量明细'!J256)</x:f>
        <x:v>-3.2700000000000005</x:v>
      </x:c>
      <x:c r="I60" s="28" t="n">
        <x:f>IF('全量明细'!E750="","",'全量明细'!E750)</x:f>
        <x:v>0.35195052000000004</x:v>
      </x:c>
      <x:c r="J60" s="12" t="n">
        <x:f>IF('全量明细'!F750="","",'全量明细'!F750)</x:f>
        <x:v>1165</x:v>
      </x:c>
      <x:c r="K60" s="11" t="n">
        <x:f>IF('全量明细'!G750="","",'全量明细'!G750)</x:f>
        <x:v>0.3193</x:v>
      </x:c>
      <x:c r="L60" s="11" t="n">
        <x:f>IF('全量明细'!H750="","",'全量明细'!H750)</x:f>
        <x:v>0.34950000000000003</x:v>
      </x:c>
      <x:c r="M60" s="11" t="n">
        <x:f>IF('全量明细'!I750="","",'全量明细'!I750)</x:f>
        <x:v>0.3531</x:v>
      </x:c>
      <x:c r="N60" s="14" t="n">
        <x:f>IF('全量明细'!J750="","",'全量明细'!J750)</x:f>
        <x:v>-0.3599999999999992</x:v>
      </x:c>
      <x:c r="O60" s="14" t="n">
        <x:f>IF(AND(ISNUMBER(C60),ISNUMBER(I60)),(I60-C60)*100,"")</x:f>
        <x:v>7.237921000000003</x:v>
      </x:c>
      <x:c r="P60" s="17" t="str"/>
    </x:row>
    <x:row r="61" ht="25" customHeight="1">
      <x:c r="A61" s="2" t="str">
        <x:v>特兹卡塔拉</x:v>
      </x:c>
      <x:c r="B61" s="2" t="str">
        <x:v>烫嘴可可</x:v>
      </x:c>
      <x:c r="C61" s="28" t="n">
        <x:f>IF('全量明细'!E255="","",'全量明细'!E255)</x:f>
        <x:v>0.28055176000000004</x:v>
      </x:c>
      <x:c r="D61" s="12" t="n">
        <x:f>IF('全量明细'!F255="","",'全量明细'!F255)</x:f>
        <x:v>4149</x:v>
      </x:c>
      <x:c r="E61" s="11" t="n">
        <x:f>IF('全量明细'!G255="","",'全量明细'!G255)</x:f>
        <x:v>0.4177</x:v>
      </x:c>
      <x:c r="F61" s="11" t="n">
        <x:f>IF('全量明细'!H255="","",'全量明细'!H255)</x:f>
        <x:v>0.2158</x:v>
      </x:c>
      <x:c r="G61" s="11" t="n">
        <x:f>IF('全量明细'!I255="","",'全量明细'!I255)</x:f>
        <x:v>0.327</x:v>
      </x:c>
      <x:c r="H61" s="14" t="n">
        <x:f>IF('全量明细'!J255="","",'全量明细'!J255)</x:f>
        <x:v>-11.120000000000003</x:v>
      </x:c>
      <x:c r="I61" s="28" t="n">
        <x:f>IF('全量明细'!E748="","",'全量明细'!E748)</x:f>
        <x:v>0.35724924</x:v>
      </x:c>
      <x:c r="J61" s="12" t="n">
        <x:f>IF('全量明细'!F748="","",'全量明细'!F748)</x:f>
        <x:v>1601</x:v>
      </x:c>
      <x:c r="K61" s="11" t="n">
        <x:f>IF('全量明细'!G748="","",'全量明细'!G748)</x:f>
        <x:v>0.3679</x:v>
      </x:c>
      <x:c r="L61" s="11" t="n">
        <x:f>IF('全量明细'!H748="","",'全量明细'!H748)</x:f>
        <x:v>0.3039</x:v>
      </x:c>
      <x:c r="M61" s="11" t="n">
        <x:f>IF('全量明细'!I748="","",'全量明细'!I748)</x:f>
        <x:v>0.3883</x:v>
      </x:c>
      <x:c r="N61" s="14" t="n">
        <x:f>IF('全量明细'!J748="","",'全量明细'!J748)</x:f>
        <x:v>-8.439999999999998</x:v>
      </x:c>
      <x:c r="O61" s="14" t="n">
        <x:f>IF(AND(ISNUMBER(C61),ISNUMBER(I61)),(I61-C61)*100,"")</x:f>
        <x:v>7.6697479999999985</x:v>
      </x:c>
      <x:c r="P61" s="17" t="str"/>
    </x:row>
    <x:row r="62" ht="25" customHeight="1">
      <x:c r="A62" s="2" t="str">
        <x:v>特兹卡塔拉</x:v>
      </x:c>
      <x:c r="B62" s="2" t="str">
        <x:v>玩具盒</x:v>
      </x:c>
      <x:c r="C62" s="28" t="n">
        <x:f>IF('全量明细'!E257="","",'全量明细'!E257)</x:f>
        <x:v>0.27883988000000004</x:v>
      </x:c>
      <x:c r="D62" s="12" t="n">
        <x:f>IF('全量明细'!F257="","",'全量明细'!F257)</x:f>
        <x:v>3109</x:v>
      </x:c>
      <x:c r="E62" s="11" t="n">
        <x:f>IF('全量明细'!G257="","",'全量明细'!G257)</x:f>
        <x:v>0.20170000000000002</x:v>
      </x:c>
      <x:c r="F62" s="11" t="n">
        <x:f>IF('全量明细'!H257="","",'全量明细'!H257)</x:f>
        <x:v>0.26</x:v>
      </x:c>
      <x:c r="G62" s="11" t="n">
        <x:f>IF('全量明细'!I257="","",'全量明细'!I257)</x:f>
        <x:v>0.2836</x:v>
      </x:c>
      <x:c r="H62" s="14" t="n">
        <x:f>IF('全量明细'!J257="","",'全量明细'!J257)</x:f>
        <x:v>-2.360000000000001</x:v>
      </x:c>
      <x:c r="I62" s="28" t="n">
        <x:f>IF('全量明细'!E753="","",'全量明细'!E753)</x:f>
        <x:v>0.34151000000000004</x:v>
      </x:c>
      <x:c r="J62" s="12" t="n">
        <x:f>IF('全量明细'!F753="","",'全量明细'!F753)</x:f>
        <x:v>1224</x:v>
      </x:c>
      <x:c r="K62" s="11" t="n">
        <x:f>IF('全量明细'!G753="","",'全量明细'!G753)</x:f>
        <x:v>0.335</x:v>
      </x:c>
      <x:c r="L62" s="11" t="n">
        <x:f>IF('全量明细'!H753="","",'全量明细'!H753)</x:f>
        <x:v>0.38539999999999996</x:v>
      </x:c>
      <x:c r="M62" s="11" t="n">
        <x:f>IF('全量明细'!I753="","",'全量明细'!I753)</x:f>
        <x:v>0.3194</x:v>
      </x:c>
      <x:c r="N62" s="14" t="n">
        <x:f>IF('全量明细'!J753="","",'全量明细'!J753)</x:f>
        <x:v>6.599999999999994</x:v>
      </x:c>
      <x:c r="O62" s="14" t="n">
        <x:f>IF(AND(ISNUMBER(C62),ISNUMBER(I62)),(I62-C62)*100,"")</x:f>
        <x:v>6.267011999999999</x:v>
      </x:c>
      <x:c r="P62" s="17" t="str"/>
    </x:row>
    <x:row r="63" ht="25" customHeight="1">
      <x:c r="A63" s="2" t="str">
        <x:v>特兹卡塔拉</x:v>
      </x:c>
      <x:c r="B63" s="2" t="str">
        <x:v>营养汤</x:v>
      </x:c>
      <x:c r="C63" s="28" t="n">
        <x:f>IF('全量明细'!E252="","",'全量明细'!E252)</x:f>
        <x:v>0.2902672</x:v>
      </x:c>
      <x:c r="D63" s="12" t="n">
        <x:f>IF('全量明细'!F252="","",'全量明细'!F252)</x:f>
        <x:v>4010</x:v>
      </x:c>
      <x:c r="E63" s="11" t="n">
        <x:f>IF('全量明细'!G252="","",'全量明细'!G252)</x:f>
        <x:v>0.2481</x:v>
      </x:c>
      <x:c r="F63" s="11" t="n">
        <x:f>IF('全量明细'!H252="","",'全量明细'!H252)</x:f>
        <x:v>0.2241</x:v>
      </x:c>
      <x:c r="G63" s="11" t="n">
        <x:f>IF('全量明细'!I252="","",'全量明细'!I252)</x:f>
        <x:v>0.3121</x:v>
      </x:c>
      <x:c r="H63" s="14" t="n">
        <x:f>IF('全量明细'!J252="","",'全量明细'!J252)</x:f>
        <x:v>-8.799999999999999</x:v>
      </x:c>
      <x:c r="I63" s="28" t="n">
        <x:f>IF('全量明细'!E756="","",'全量明细'!E756)</x:f>
        <x:v>0.32882265</x:v>
      </x:c>
      <x:c r="J63" s="12" t="n">
        <x:f>IF('全量明细'!F756="","",'全量明细'!F756)</x:f>
        <x:v>1636</x:v>
      </x:c>
      <x:c r="K63" s="11" t="n">
        <x:f>IF('全量明细'!G756="","",'全量明细'!G756)</x:f>
        <x:v>0.2433</x:v>
      </x:c>
      <x:c r="L63" s="11" t="n">
        <x:f>IF('全量明细'!H756="","",'全量明细'!H756)</x:f>
        <x:v>0.3065</x:v>
      </x:c>
      <x:c r="M63" s="11" t="n">
        <x:f>IF('全量明细'!I756="","",'全量明细'!I756)</x:f>
        <x:v>0.336</x:v>
      </x:c>
      <x:c r="N63" s="14" t="n">
        <x:f>IF('全量明细'!J756="","",'全量明细'!J756)</x:f>
        <x:v>-2.950000000000003</x:v>
      </x:c>
      <x:c r="O63" s="14" t="n">
        <x:f>IF(AND(ISNUMBER(C63),ISNUMBER(I63)),(I63-C63)*100,"")</x:f>
        <x:v>3.8555449999999993</x:v>
      </x:c>
      <x:c r="P63" s="17" t="str"/>
    </x:row>
    <x:row r="64" ht="25" customHeight="1">
      <x:c r="A64" s="20" t="str">
        <x:v>诺奴佩普</x:v>
      </x:c>
      <x:c r="B64" s="20" t="str">
        <x:v>布质果实</x:v>
      </x:c>
      <x:c r="C64" s="27" t="n">
        <x:f>IF('全量明细'!E265="","",'全量明细'!E265)</x:f>
        <x:v>0.5082361200000001</x:v>
      </x:c>
      <x:c r="D64" s="23" t="n">
        <x:f>IF('全量明细'!F265="","",'全量明细'!F265)</x:f>
        <x:v>2117</x:v>
      </x:c>
      <x:c r="E64" s="22" t="n">
        <x:f>IF('全量明细'!G265="","",'全量明细'!G265)</x:f>
        <x:v>0.24280000000000002</x:v>
      </x:c>
      <x:c r="F64" s="22" t="n">
        <x:f>IF('全量明细'!H265="","",'全量明细'!H265)</x:f>
        <x:v>0.465</x:v>
      </x:c>
      <x:c r="G64" s="22" t="n">
        <x:f>IF('全量明细'!I265="","",'全量明细'!I265)</x:f>
        <x:v>0.5221</x:v>
      </x:c>
      <x:c r="H64" s="24" t="n">
        <x:f>IF('全量明细'!J265="","",'全量明细'!J265)</x:f>
        <x:v>-5.709999999999998</x:v>
      </x:c>
      <x:c r="I64" s="27" t="n">
        <x:f>IF('全量明细'!E765="","",'全量明细'!E765)</x:f>
        <x:v>0.5725344</x:v>
      </x:c>
      <x:c r="J64" s="23" t="n">
        <x:f>IF('全量明细'!F765="","",'全量明细'!F765)</x:f>
        <x:v>896</x:v>
      </x:c>
      <x:c r="K64" s="22" t="n">
        <x:f>IF('全量明细'!G765="","",'全量明细'!G765)</x:f>
        <x:v>0.221</x:v>
      </x:c>
      <x:c r="L64" s="22" t="n">
        <x:f>IF('全量明细'!H765="","",'全量明细'!H765)</x:f>
        <x:v>0.5152</x:v>
      </x:c>
      <x:c r="M64" s="22" t="n">
        <x:f>IF('全量明细'!I765="","",'全量明细'!I765)</x:f>
        <x:v>0.5888</x:v>
      </x:c>
      <x:c r="N64" s="24" t="n">
        <x:f>IF('全量明细'!J765="","",'全量明细'!J765)</x:f>
        <x:v>-7.359999999999999</x:v>
      </x:c>
      <x:c r="O64" s="24" t="n">
        <x:f>IF(AND(ISNUMBER(C64),ISNUMBER(I64)),(I64-C64)*100,"")</x:f>
        <x:v>6.429827999999993</x:v>
      </x:c>
      <x:c r="P64" s="31" t="str"/>
    </x:row>
    <x:row r="65" ht="25" customHeight="1">
      <x:c r="A65" s="2" t="str">
        <x:v>诺奴佩普</x:v>
      </x:c>
      <x:c r="B65" s="2" t="str">
        <x:v>赐福鹿角</x:v>
      </x:c>
      <x:c r="C65" s="28" t="n">
        <x:f>IF('全量明细'!E267="","",'全量明细'!E267)</x:f>
        <x:v>0.49807992</x:v>
      </x:c>
      <x:c r="D65" s="12" t="n">
        <x:f>IF('全量明细'!F267="","",'全量明细'!F267)</x:f>
        <x:v>2098</x:v>
      </x:c>
      <x:c r="E65" s="11" t="n">
        <x:f>IF('全量明细'!G267="","",'全量明细'!G267)</x:f>
        <x:v>0.36560000000000004</x:v>
      </x:c>
      <x:c r="F65" s="11" t="n">
        <x:f>IF('全量明细'!H267="","",'全量明细'!H267)</x:f>
        <x:v>0.4446</x:v>
      </x:c>
      <x:c r="G65" s="11" t="n">
        <x:f>IF('全量明细'!I267="","",'全量明细'!I267)</x:f>
        <x:v>0.5289</x:v>
      </x:c>
      <x:c r="H65" s="14" t="n">
        <x:f>IF('全量明细'!J267="","",'全量明细'!J267)</x:f>
        <x:v>-8.430000000000003</x:v>
      </x:c>
      <x:c r="I65" s="28" t="n">
        <x:f>IF('全量明细'!E766="","",'全量明细'!E766)</x:f>
        <x:v>0.56319728</x:v>
      </x:c>
      <x:c r="J65" s="12" t="n">
        <x:f>IF('全量明细'!F766="","",'全量明细'!F766)</x:f>
        <x:v>886</x:v>
      </x:c>
      <x:c r="K65" s="11" t="n">
        <x:f>IF('全量明细'!G766="","",'全量明细'!G766)</x:f>
        <x:v>0.2968</x:v>
      </x:c>
      <x:c r="L65" s="11" t="n">
        <x:f>IF('全量明细'!H766="","",'全量明细'!H766)</x:f>
        <x:v>0.4715</x:v>
      </x:c>
      <x:c r="M65" s="11" t="n">
        <x:f>IF('全量明细'!I766="","",'全量明细'!I766)</x:f>
        <x:v>0.6019</x:v>
      </x:c>
      <x:c r="N65" s="14" t="n">
        <x:f>IF('全量明细'!J766="","",'全量明细'!J766)</x:f>
        <x:v>-13.040000000000001</x:v>
      </x:c>
      <x:c r="O65" s="14" t="n">
        <x:f>IF(AND(ISNUMBER(C65),ISNUMBER(I65)),(I65-C65)*100,"")</x:f>
        <x:v>6.511736000000001</x:v>
      </x:c>
      <x:c r="P65" s="17" t="str"/>
    </x:row>
    <x:row r="66" ht="25" customHeight="1">
      <x:c r="A66" s="2" t="str">
        <x:v>诺奴佩普</x:v>
      </x:c>
      <x:c r="B66" s="2" t="str">
        <x:v>华美手镯</x:v>
      </x:c>
      <x:c r="C66" s="28" t="n">
        <x:f>IF('全量明细'!E260="","",'全量明细'!E260)</x:f>
        <x:v>0.55061666</x:v>
      </x:c>
      <x:c r="D66" s="12" t="n">
        <x:f>IF('全量明细'!F260="","",'全量明细'!F260)</x:f>
        <x:v>1996</x:v>
      </x:c>
      <x:c r="E66" s="11" t="n">
        <x:f>IF('全量明细'!G260="","",'全量明细'!G260)</x:f>
        <x:v>0.4669</x:v>
      </x:c>
      <x:c r="F66" s="11" t="n">
        <x:f>IF('全量明细'!H260="","",'全量明细'!H260)</x:f>
        <x:v>0.6953</x:v>
      </x:c>
      <x:c r="G66" s="11" t="n">
        <x:f>IF('全量明细'!I260="","",'全量明细'!I260)</x:f>
        <x:v>0.4239</x:v>
      </x:c>
      <x:c r="H66" s="14" t="n">
        <x:f>IF('全量明细'!J260="","",'全量明细'!J260)</x:f>
        <x:v>27.140000000000004</x:v>
      </x:c>
      <x:c r="I66" s="28" t="n">
        <x:f>IF('全量明细'!E758="","",'全量明细'!E758)</x:f>
        <x:v>0.6038310399999999</x:v>
      </x:c>
      <x:c r="J66" s="12" t="n">
        <x:f>IF('全量明细'!F758="","",'全量明细'!F758)</x:f>
        <x:v>828</x:v>
      </x:c>
      <x:c r="K66" s="11" t="n">
        <x:f>IF('全量明细'!G758="","",'全量明细'!G758)</x:f>
        <x:v>0.36469999999999997</x:v>
      </x:c>
      <x:c r="L66" s="11" t="n">
        <x:f>IF('全量明细'!H758="","",'全量明细'!H758)</x:f>
        <x:v>0.6820999999999999</x:v>
      </x:c>
      <x:c r="M66" s="11" t="n">
        <x:f>IF('全量明细'!I758="","",'全量明细'!I758)</x:f>
        <x:v>0.5589</x:v>
      </x:c>
      <x:c r="N66" s="14" t="n">
        <x:f>IF('全量明细'!J758="","",'全量明细'!J758)</x:f>
        <x:v>12.319999999999997</x:v>
      </x:c>
      <x:c r="O66" s="14" t="n">
        <x:f>IF(AND(ISNUMBER(C66),ISNUMBER(I66)),(I66-C66)*100,"")</x:f>
        <x:v>5.32143799999999</x:v>
      </x:c>
      <x:c r="P66" s="17" t="str"/>
    </x:row>
    <x:row r="67" ht="25" customHeight="1">
      <x:c r="A67" s="2" t="str">
        <x:v>诺奴佩普</x:v>
      </x:c>
      <x:c r="B67" s="2" t="str">
        <x:v>娇嫩蕨草</x:v>
      </x:c>
      <x:c r="C67" s="28" t="n">
        <x:f>IF('全量明细'!E263="","",'全量明细'!E263)</x:f>
        <x:v>0.50857662</x:v>
      </x:c>
      <x:c r="D67" s="12" t="n">
        <x:f>IF('全量明细'!F263="","",'全量明细'!F263)</x:f>
        <x:v>2098</x:v>
      </x:c>
      <x:c r="E67" s="11" t="n">
        <x:f>IF('全量明细'!G263="","",'全量明细'!G263)</x:f>
        <x:v>0.1382</x:v>
      </x:c>
      <x:c r="F67" s="11" t="n">
        <x:f>IF('全量明细'!H263="","",'全量明细'!H263)</x:f>
        <x:v>0.5552</x:v>
      </x:c>
      <x:c r="G67" s="11" t="n">
        <x:f>IF('全量明细'!I263="","",'全量明细'!I263)</x:f>
        <x:v>0.5011</x:v>
      </x:c>
      <x:c r="H67" s="14" t="n">
        <x:f>IF('全量明细'!J263="","",'全量明细'!J263)</x:f>
        <x:v>5.410000000000004</x:v>
      </x:c>
      <x:c r="I67" s="28" t="n">
        <x:f>IF('全量明细'!E763="","",'全量明细'!E763)</x:f>
        <x:v>0.5771391</x:v>
      </x:c>
      <x:c r="J67" s="12" t="n">
        <x:f>IF('全量明细'!F763="","",'全量明细'!F763)</x:f>
        <x:v>849</x:v>
      </x:c>
      <x:c r="K67" s="11" t="n">
        <x:f>IF('全量明细'!G763="","",'全量明细'!G763)</x:f>
        <x:v>0.139</x:v>
      </x:c>
      <x:c r="L67" s="11" t="n">
        <x:f>IF('全量明细'!H763="","",'全量明细'!H763)</x:f>
        <x:v>0.6864</x:v>
      </x:c>
      <x:c r="M67" s="11" t="n">
        <x:f>IF('全量明细'!I763="","",'全量明细'!I763)</x:f>
        <x:v>0.5595</x:v>
      </x:c>
      <x:c r="N67" s="14" t="n">
        <x:f>IF('全量明细'!J763="","",'全量明细'!J763)</x:f>
        <x:v>12.690000000000001</x:v>
      </x:c>
      <x:c r="O67" s="14" t="n">
        <x:f>IF(AND(ISNUMBER(C67),ISNUMBER(I67)),(I67-C67)*100,"")</x:f>
        <x:v>6.856247999999998</x:v>
      </x:c>
      <x:c r="P67" s="17" t="str"/>
    </x:row>
    <x:row r="68" ht="25" customHeight="1">
      <x:c r="A68" s="2" t="str">
        <x:v>诺奴佩普</x:v>
      </x:c>
      <x:c r="B68" s="2" t="str">
        <x:v>亮片</x:v>
      </x:c>
      <x:c r="C68" s="28" t="n">
        <x:f>IF('全量明细'!E268="","",'全量明细'!E268)</x:f>
        <x:v>0.49546064</x:v>
      </x:c>
      <x:c r="D68" s="12" t="n">
        <x:f>IF('全量明细'!F268="","",'全量明细'!F268)</x:f>
        <x:v>2079</x:v>
      </x:c>
      <x:c r="E68" s="11" t="n">
        <x:f>IF('全量明细'!G268="","",'全量明细'!G268)</x:f>
        <x:v>0.4464</x:v>
      </x:c>
      <x:c r="F68" s="11" t="n">
        <x:f>IF('全量明细'!H268="","",'全量明细'!H268)</x:f>
        <x:v>0.4623</x:v>
      </x:c>
      <x:c r="G68" s="11" t="n">
        <x:f>IF('全量明细'!I268="","",'全量明细'!I268)</x:f>
        <x:v>0.5222</x:v>
      </x:c>
      <x:c r="H68" s="14" t="n">
        <x:f>IF('全量明细'!J268="","",'全量明细'!J268)</x:f>
        <x:v>-5.990000000000001</x:v>
      </x:c>
      <x:c r="I68" s="28" t="n">
        <x:f>IF('全量明细'!E762="","",'全量明细'!E762)</x:f>
        <x:v>0.58010856</x:v>
      </x:c>
      <x:c r="J68" s="12" t="n">
        <x:f>IF('全量明细'!F762="","",'全量明细'!F762)</x:f>
        <x:v>874</x:v>
      </x:c>
      <x:c r="K68" s="11" t="n">
        <x:f>IF('全量明细'!G762="","",'全量明细'!G762)</x:f>
        <x:v>0.45189999999999997</x:v>
      </x:c>
      <x:c r="L68" s="11" t="n">
        <x:f>IF('全量明细'!H762="","",'全量明细'!H762)</x:f>
        <x:v>0.5595</x:v>
      </x:c>
      <x:c r="M68" s="11" t="n">
        <x:f>IF('全量明细'!I762="","",'全量明细'!I762)</x:f>
        <x:v>0.5971</x:v>
      </x:c>
      <x:c r="N68" s="14" t="n">
        <x:f>IF('全量明细'!J762="","",'全量明细'!J762)</x:f>
        <x:v>-3.7599999999999967</x:v>
      </x:c>
      <x:c r="O68" s="14" t="n">
        <x:f>IF(AND(ISNUMBER(C68),ISNUMBER(I68)),(I68-C68)*100,"")</x:f>
        <x:v>8.464792</x:v>
      </x:c>
      <x:c r="P68" s="17" t="str"/>
    </x:row>
    <x:row r="69" ht="25" customHeight="1">
      <x:c r="A69" s="2" t="str">
        <x:v>诺奴佩普</x:v>
      </x:c>
      <x:c r="B69" s="2" t="str">
        <x:v>皮草大衣</x:v>
      </x:c>
      <x:c r="C69" s="28" t="n">
        <x:f>IF('全量明细'!E264="","",'全量明细'!E264)</x:f>
        <x:v>0.50852311</x:v>
      </x:c>
      <x:c r="D69" s="12" t="n">
        <x:f>IF('全量明细'!F264="","",'全量明细'!F264)</x:f>
        <x:v>1992</x:v>
      </x:c>
      <x:c r="E69" s="11" t="n">
        <x:f>IF('全量明细'!G264="","",'全量明细'!G264)</x:f>
        <x:v>0.2781</x:v>
      </x:c>
      <x:c r="F69" s="11" t="n">
        <x:f>IF('全量明细'!H264="","",'全量明细'!H264)</x:f>
        <x:v>0.3736</x:v>
      </x:c>
      <x:c r="G69" s="11" t="n">
        <x:f>IF('全量明细'!I264="","",'全量明细'!I264)</x:f>
        <x:v>0.5605</x:v>
      </x:c>
      <x:c r="H69" s="14" t="n">
        <x:f>IF('全量明细'!J264="","",'全量明细'!J264)</x:f>
        <x:v>-18.69</x:v>
      </x:c>
      <x:c r="I69" s="28" t="n">
        <x:f>IF('全量明细'!E767="","",'全量明细'!E767)</x:f>
        <x:v>0.54102415</x:v>
      </x:c>
      <x:c r="J69" s="12" t="n">
        <x:f>IF('全量明细'!F767="","",'全量明细'!F767)</x:f>
        <x:v>865</x:v>
      </x:c>
      <x:c r="K69" s="11" t="n">
        <x:f>IF('全量明细'!G767="","",'全量明细'!G767)</x:f>
        <x:v>0.2821</x:v>
      </x:c>
      <x:c r="L69" s="11" t="n">
        <x:f>IF('全量明细'!H767="","",'全量明细'!H767)</x:f>
        <x:v>0.4057</x:v>
      </x:c>
      <x:c r="M69" s="11" t="n">
        <x:f>IF('全量明细'!I767="","",'全量明细'!I767)</x:f>
        <x:v>0.5942000000000001</x:v>
      </x:c>
      <x:c r="N69" s="14" t="n">
        <x:f>IF('全量明细'!J767="","",'全量明细'!J767)</x:f>
        <x:v>-18.850000000000005</x:v>
      </x:c>
      <x:c r="O69" s="14" t="n">
        <x:f>IF(AND(ISNUMBER(C69),ISNUMBER(I69)),(I69-C69)*100,"")</x:f>
        <x:v>3.250104000000009</x:v>
      </x:c>
      <x:c r="P69" s="17" t="str"/>
    </x:row>
    <x:row r="70" ht="25" customHeight="1">
      <x:c r="A70" s="2" t="str">
        <x:v>诺奴佩普</x:v>
      </x:c>
      <x:c r="B70" s="2" t="str">
        <x:v>图章戒指</x:v>
      </x:c>
      <x:c r="C70" s="28" t="n">
        <x:f>IF('全量明细'!E262="","",'全量明细'!E262)</x:f>
        <x:v>0.52179632</x:v>
      </x:c>
      <x:c r="D70" s="12" t="n">
        <x:f>IF('全量明细'!F262="","",'全量明细'!F262)</x:f>
        <x:v>2089</x:v>
      </x:c>
      <x:c r="E70" s="11" t="n">
        <x:f>IF('全量明细'!G262="","",'全量明细'!G262)</x:f>
        <x:v>0.5132</x:v>
      </x:c>
      <x:c r="F70" s="11" t="n">
        <x:f>IF('全量明细'!H262="","",'全量明细'!H262)</x:f>
        <x:v>0.5401</x:v>
      </x:c>
      <x:c r="G70" s="11" t="n">
        <x:f>IF('全量明细'!I262="","",'全量明细'!I262)</x:f>
        <x:v>0.5025</x:v>
      </x:c>
      <x:c r="H70" s="14" t="n">
        <x:f>IF('全量明细'!J262="","",'全量明细'!J262)</x:f>
        <x:v>3.760000000000008</x:v>
      </x:c>
      <x:c r="I70" s="28" t="n">
        <x:f>IF('全量明细'!E760="","",'全量明细'!E760)</x:f>
        <x:v>0.59676342</x:v>
      </x:c>
      <x:c r="J70" s="12" t="n">
        <x:f>IF('全量明细'!F760="","",'全量明细'!F760)</x:f>
        <x:v>863</x:v>
      </x:c>
      <x:c r="K70" s="11" t="n">
        <x:f>IF('全量明细'!G760="","",'全量明细'!G760)</x:f>
        <x:v>0.5122</x:v>
      </x:c>
      <x:c r="L70" s="11" t="n">
        <x:f>IF('全量明细'!H760="","",'全量明细'!H760)</x:f>
        <x:v>0.5972999999999999</x:v>
      </x:c>
      <x:c r="M70" s="11" t="n">
        <x:f>IF('全量明细'!I760="","",'全量明细'!I760)</x:f>
        <x:v>0.5962</x:v>
      </x:c>
      <x:c r="N70" s="14" t="n">
        <x:f>IF('全量明细'!J760="","",'全量明细'!J760)</x:f>
        <x:v>0.10999999999999899</x:v>
      </x:c>
      <x:c r="O70" s="14" t="n">
        <x:f>IF(AND(ISNUMBER(C70),ISNUMBER(I70)),(I70-C70)*100,"")</x:f>
        <x:v>7.496710000000006</x:v>
      </x:c>
      <x:c r="P70" s="17" t="str"/>
    </x:row>
    <x:row r="71" ht="25" customHeight="1">
      <x:c r="A71" s="2" t="str">
        <x:v>诺奴佩普</x:v>
      </x:c>
      <x:c r="B71" s="2" t="str">
        <x:v>艳丽围巾</x:v>
      </x:c>
      <x:c r="C71" s="28" t="n">
        <x:f>IF('全量明细'!E269="","",'全量明细'!E269)</x:f>
        <x:v>0.49485947999999996</x:v>
      </x:c>
      <x:c r="D71" s="12" t="n">
        <x:f>IF('全量明细'!F269="","",'全量明细'!F269)</x:f>
        <x:v>2045</x:v>
      </x:c>
      <x:c r="E71" s="11" t="n">
        <x:f>IF('全量明细'!G269="","",'全量明细'!G269)</x:f>
        <x:v>0.30760000000000004</x:v>
      </x:c>
      <x:c r="F71" s="11" t="n">
        <x:f>IF('全量明细'!H269="","",'全量明细'!H269)</x:f>
        <x:v>0.5103</x:v>
      </x:c>
      <x:c r="G71" s="11" t="n">
        <x:f>IF('全量明细'!I269="","",'全量明细'!I269)</x:f>
        <x:v>0.488</x:v>
      </x:c>
      <x:c r="H71" s="14" t="n">
        <x:f>IF('全量明细'!J269="","",'全量明细'!J269)</x:f>
        <x:v>2.2299999999999986</x:v>
      </x:c>
      <x:c r="I71" s="28" t="n">
        <x:f>IF('全量明细'!E761="","",'全量明细'!E761)</x:f>
        <x:v>0.5860504</x:v>
      </x:c>
      <x:c r="J71" s="12" t="n">
        <x:f>IF('全量明细'!F761="","",'全量明细'!F761)</x:f>
        <x:v>860</x:v>
      </x:c>
      <x:c r="K71" s="11" t="n">
        <x:f>IF('全量明细'!G761="","",'全量明细'!G761)</x:f>
        <x:v>0.3465</x:v>
      </x:c>
      <x:c r="L71" s="11" t="n">
        <x:f>IF('全量明细'!H761="","",'全量明细'!H761)</x:f>
        <x:v>0.6812</x:v>
      </x:c>
      <x:c r="M71" s="11" t="n">
        <x:f>IF('全量明细'!I761="","",'全量明细'!I761)</x:f>
        <x:v>0.5356000000000001</x:v>
      </x:c>
      <x:c r="N71" s="14" t="n">
        <x:f>IF('全量明细'!J761="","",'全量明细'!J761)</x:f>
        <x:v>14.559999999999995</x:v>
      </x:c>
      <x:c r="O71" s="14" t="n">
        <x:f>IF(AND(ISNUMBER(C71),ISNUMBER(I71)),(I71-C71)*100,"")</x:f>
        <x:v>9.119092</x:v>
      </x:c>
      <x:c r="P71" s="17" t="str"/>
    </x:row>
    <x:row r="72" ht="25" customHeight="1">
      <x:c r="A72" s="2" t="str">
        <x:v>诺奴佩普</x:v>
      </x:c>
      <x:c r="B72" s="2" t="str">
        <x:v>珠宝盒</x:v>
      </x:c>
      <x:c r="C72" s="28" t="n">
        <x:f>IF('全量明细'!E261="","",'全量明细'!E261)</x:f>
        <x:v>0.5429116299999999</x:v>
      </x:c>
      <x:c r="D72" s="12" t="n">
        <x:f>IF('全量明细'!F261="","",'全量明细'!F261)</x:f>
        <x:v>2052</x:v>
      </x:c>
      <x:c r="E72" s="11" t="n">
        <x:f>IF('全量明细'!G261="","",'全量明细'!G261)</x:f>
        <x:v>0.37329999999999997</x:v>
      </x:c>
      <x:c r="F72" s="11" t="n">
        <x:f>IF('全量明细'!H261="","",'全量明细'!H261)</x:f>
        <x:v>0.5247999999999999</x:v>
      </x:c>
      <x:c r="G72" s="11" t="n">
        <x:f>IF('全量明细'!I261="","",'全量明细'!I261)</x:f>
        <x:v>0.5537</x:v>
      </x:c>
      <x:c r="H72" s="14" t="n">
        <x:f>IF('全量明细'!J261="","",'全量明细'!J261)</x:f>
        <x:v>-2.8900000000000037</x:v>
      </x:c>
      <x:c r="I72" s="28" t="n">
        <x:f>IF('全量明细'!E759="","",'全量明细'!E759)</x:f>
        <x:v>0.60003718</x:v>
      </x:c>
      <x:c r="J72" s="12" t="n">
        <x:f>IF('全量明细'!F759="","",'全量明细'!F759)</x:f>
        <x:v>830</x:v>
      </x:c>
      <x:c r="K72" s="11" t="n">
        <x:f>IF('全量明细'!G759="","",'全量明细'!G759)</x:f>
        <x:v>0.32770000000000005</x:v>
      </x:c>
      <x:c r="L72" s="11" t="n">
        <x:f>IF('全量明细'!H759="","",'全量明细'!H759)</x:f>
        <x:v>0.5956</x:v>
      </x:c>
      <x:c r="M72" s="11" t="n">
        <x:f>IF('全量明细'!I759="","",'全量明细'!I759)</x:f>
        <x:v>0.6022</x:v>
      </x:c>
      <x:c r="N72" s="14" t="n">
        <x:f>IF('全量明细'!J759="","",'全量明细'!J759)</x:f>
        <x:v>-0.6599999999999939</x:v>
      </x:c>
      <x:c r="O72" s="14" t="n">
        <x:f>IF(AND(ISNUMBER(C72),ISNUMBER(I72)),(I72-C72)*100,"")</x:f>
        <x:v>5.712555000000008</x:v>
      </x:c>
      <x:c r="P72" s="17" t="str"/>
    </x:row>
    <x:row r="73" ht="25" customHeight="1">
      <x:c r="A73" s="2" t="str">
        <x:v>诺奴佩普</x:v>
      </x:c>
      <x:c r="B73" s="2" t="str">
        <x:v>钻石头冠</x:v>
      </x:c>
      <x:c r="C73" s="28" t="n">
        <x:f>IF('全量明细'!E266="","",'全量明细'!E266)</x:f>
        <x:v>0.50623708</x:v>
      </x:c>
      <x:c r="D73" s="12" t="n">
        <x:f>IF('全量明细'!F266="","",'全量明细'!F266)</x:f>
        <x:v>2082</x:v>
      </x:c>
      <x:c r="E73" s="11" t="n">
        <x:f>IF('全量明细'!G266="","",'全量明细'!G266)</x:f>
        <x:v>0.1993</x:v>
      </x:c>
      <x:c r="F73" s="11" t="n">
        <x:f>IF('全量明细'!H266="","",'全量明细'!H266)</x:f>
        <x:v>0.4867</x:v>
      </x:c>
      <x:c r="G73" s="11" t="n">
        <x:f>IF('全量明细'!I266="","",'全量明细'!I266)</x:f>
        <x:v>0.5111</x:v>
      </x:c>
      <x:c r="H73" s="14" t="n">
        <x:f>IF('全量明细'!J266="","",'全量明细'!J266)</x:f>
        <x:v>-2.4399999999999977</x:v>
      </x:c>
      <x:c r="I73" s="28" t="n">
        <x:f>IF('全量明细'!E764="","",'全量明细'!E764)</x:f>
        <x:v>0.5730244</x:v>
      </x:c>
      <x:c r="J73" s="12" t="n">
        <x:f>IF('全量明细'!F764="","",'全量明细'!F764)</x:f>
        <x:v>897</x:v>
      </x:c>
      <x:c r="K73" s="11" t="n">
        <x:f>IF('全量明细'!G764="","",'全量明细'!G764)</x:f>
        <x:v>0.3768</x:v>
      </x:c>
      <x:c r="L73" s="11" t="n">
        <x:f>IF('全量明细'!H764="","",'全量明细'!H764)</x:f>
        <x:v>0.5858</x:v>
      </x:c>
      <x:c r="M73" s="11" t="n">
        <x:f>IF('全量明细'!I764="","",'全量明细'!I764)</x:f>
        <x:v>0.5653</x:v>
      </x:c>
      <x:c r="N73" s="14" t="n">
        <x:f>IF('全量明细'!J764="","",'全量明细'!J764)</x:f>
        <x:v>2.0499999999999963</x:v>
      </x:c>
      <x:c r="O73" s="14" t="n">
        <x:f>IF(AND(ISNUMBER(C73),ISNUMBER(I73)),(I73-C73)*100,"")</x:f>
        <x:v>6.678731999999998</x:v>
      </x:c>
      <x:c r="P73" s="17" t="str"/>
    </x:row>
    <x:row r="74" ht="25" customHeight="1">
      <x:c r="A74" s="20" t="str">
        <x:v>坦克斯</x:v>
      </x:c>
      <x:c r="B74" s="20" t="str">
        <x:v>钗</x:v>
      </x:c>
      <x:c r="C74" s="27" t="n">
        <x:f>IF('全量明细'!E271="","",'全量明细'!E271)</x:f>
        <x:v>0.54942767</x:v>
      </x:c>
      <x:c r="D74" s="23" t="n">
        <x:f>IF('全量明细'!F271="","",'全量明细'!F271)</x:f>
        <x:v>2135</x:v>
      </x:c>
      <x:c r="E74" s="22" t="n">
        <x:f>IF('全量明细'!G271="","",'全量明细'!G271)</x:f>
        <x:v>0.49229999999999996</x:v>
      </x:c>
      <x:c r="F74" s="22" t="n">
        <x:f>IF('全量明细'!H271="","",'全量明细'!H271)</x:f>
        <x:v>0.5509000000000001</x:v>
      </x:c>
      <x:c r="G74" s="22" t="n">
        <x:f>IF('全量明细'!I271="","",'全量明细'!I271)</x:f>
        <x:v>0.5479999999999999</x:v>
      </x:c>
      <x:c r="H74" s="24" t="n">
        <x:f>IF('全量明细'!J271="","",'全量明细'!J271)</x:f>
        <x:v>0.29000000000001247</x:v>
      </x:c>
      <x:c r="I74" s="27" t="n">
        <x:f>IF('全量明细'!E769="","",'全量明细'!E769)</x:f>
        <x:v>0.60606573</x:v>
      </x:c>
      <x:c r="J74" s="23" t="n">
        <x:f>IF('全量明细'!F769="","",'全量明细'!F769)</x:f>
        <x:v>891</x:v>
      </x:c>
      <x:c r="K74" s="22" t="n">
        <x:f>IF('全量明细'!G769="","",'全量明细'!G769)</x:f>
        <x:v>0.48710000000000003</x:v>
      </x:c>
      <x:c r="L74" s="22" t="n">
        <x:f>IF('全量明细'!H769="","",'全量明细'!H769)</x:f>
        <x:v>0.6452</x:v>
      </x:c>
      <x:c r="M74" s="22" t="n">
        <x:f>IF('全量明细'!I769="","",'全量明细'!I769)</x:f>
        <x:v>0.5689</x:v>
      </x:c>
      <x:c r="N74" s="24" t="n">
        <x:f>IF('全量明细'!J769="","",'全量明细'!J769)</x:f>
        <x:v>7.6300000000000034</x:v>
      </x:c>
      <x:c r="O74" s="24" t="n">
        <x:f>IF(AND(ISNUMBER(C74),ISNUMBER(I74)),(I74-C74)*100,"")</x:f>
        <x:v>5.663805999999994</x:v>
      </x:c>
      <x:c r="P74" s="31" t="str"/>
    </x:row>
    <x:row r="75" ht="25" customHeight="1">
      <x:c r="A75" s="2" t="str">
        <x:v>坦克斯</x:v>
      </x:c>
      <x:c r="B75" s="2" t="str">
        <x:v>带刺手甲</x:v>
      </x:c>
      <x:c r="C75" s="28" t="n">
        <x:f>IF('全量明细'!E276="","",'全量明细'!E276)</x:f>
        <x:v>0.49807592</x:v>
      </x:c>
      <x:c r="D75" s="12" t="n">
        <x:f>IF('全量明细'!F276="","",'全量明细'!F276)</x:f>
        <x:v>2098</x:v>
      </x:c>
      <x:c r="E75" s="11" t="n">
        <x:f>IF('全量明细'!G276="","",'全量明细'!G276)</x:f>
        <x:v>0.1864</x:v>
      </x:c>
      <x:c r="F75" s="11" t="n">
        <x:f>IF('全量明细'!H276="","",'全量明细'!H276)</x:f>
        <x:v>0.43729999999999997</x:v>
      </x:c>
      <x:c r="G75" s="11" t="n">
        <x:f>IF('全量明细'!I276="","",'全量明细'!I276)</x:f>
        <x:v>0.512</x:v>
      </x:c>
      <x:c r="H75" s="14" t="n">
        <x:f>IF('全量明细'!J276="","",'全量明细'!J276)</x:f>
        <x:v>-7.470000000000004</x:v>
      </x:c>
      <x:c r="I75" s="28" t="n">
        <x:f>IF('全量明细'!E776="","",'全量明细'!E776)</x:f>
        <x:v>0.55957602</x:v>
      </x:c>
      <x:c r="J75" s="12" t="n">
        <x:f>IF('全量明细'!F776="","",'全量明细'!F776)</x:f>
        <x:v>949</x:v>
      </x:c>
      <x:c r="K75" s="11" t="n">
        <x:f>IF('全量明细'!G776="","",'全量明细'!G776)</x:f>
        <x:v>0.1591</x:v>
      </x:c>
      <x:c r="L75" s="11" t="n">
        <x:f>IF('全量明细'!H776="","",'全量明细'!H776)</x:f>
        <x:v>0.4437</x:v>
      </x:c>
      <x:c r="M75" s="11" t="n">
        <x:f>IF('全量明细'!I776="","",'全量明细'!I776)</x:f>
        <x:v>0.5815</x:v>
      </x:c>
      <x:c r="N75" s="14" t="n">
        <x:f>IF('全量明细'!J776="","",'全量明细'!J776)</x:f>
        <x:v>-13.780000000000003</x:v>
      </x:c>
      <x:c r="O75" s="14" t="n">
        <x:f>IF(AND(ISNUMBER(C75),ISNUMBER(I75)),(I75-C75)*100,"")</x:f>
        <x:v>6.150009999999995</x:v>
      </x:c>
      <x:c r="P75" s="17" t="str"/>
    </x:row>
    <x:row r="76" ht="25" customHeight="1">
      <x:c r="A76" s="2" t="str">
        <x:v>坦克斯</x:v>
      </x:c>
      <x:c r="B76" s="2" t="str">
        <x:v>利爪</x:v>
      </x:c>
      <x:c r="C76" s="28" t="n">
        <x:f>IF('全量明细'!E278="","",'全量明细'!E278)</x:f>
        <x:v>0.49722043</x:v>
      </x:c>
      <x:c r="D76" s="12" t="n">
        <x:f>IF('全量明细'!F278="","",'全量明细'!F278)</x:f>
        <x:v>2148</x:v>
      </x:c>
      <x:c r="E76" s="11" t="n">
        <x:f>IF('全量明细'!G278="","",'全量明细'!G278)</x:f>
        <x:v>0.1387</x:v>
      </x:c>
      <x:c r="F76" s="11" t="n">
        <x:f>IF('全量明细'!H278="","",'全量明细'!H278)</x:f>
        <x:v>0.3154</x:v>
      </x:c>
      <x:c r="G76" s="11" t="n">
        <x:f>IF('全量明细'!I278="","",'全量明细'!I278)</x:f>
        <x:v>0.5265</x:v>
      </x:c>
      <x:c r="H76" s="14" t="n">
        <x:f>IF('全量明细'!J278="","",'全量明细'!J278)</x:f>
        <x:v>-21.109999999999996</x:v>
      </x:c>
      <x:c r="I76" s="28" t="n">
        <x:f>IF('全量明细'!E771="","",'全量明细'!E771)</x:f>
        <x:v>0.59454655</x:v>
      </x:c>
      <x:c r="J76" s="12" t="n">
        <x:f>IF('全量明细'!F771="","",'全量明细'!F771)</x:f>
        <x:v>920</x:v>
      </x:c>
      <x:c r="K76" s="11" t="n">
        <x:f>IF('全量明细'!G771="","",'全量明细'!G771)</x:f>
        <x:v>0.24350000000000002</x:v>
      </x:c>
      <x:c r="L76" s="11" t="n">
        <x:f>IF('全量明细'!H771="","",'全量明细'!H771)</x:f>
        <x:v>0.5804</x:v>
      </x:c>
      <x:c r="M76" s="11" t="n">
        <x:f>IF('全量明细'!I771="","",'全量明细'!I771)</x:f>
        <x:v>0.5991</x:v>
      </x:c>
      <x:c r="N76" s="14" t="n">
        <x:f>IF('全量明细'!J771="","",'全量明细'!J771)</x:f>
        <x:v>-1.869999999999994</x:v>
      </x:c>
      <x:c r="O76" s="14" t="n">
        <x:f>IF(AND(ISNUMBER(C76),ISNUMBER(I76)),(I76-C76)*100,"")</x:f>
        <x:v>9.732612000000001</x:v>
      </x:c>
      <x:c r="P76" s="17" t="str"/>
    </x:row>
    <x:row r="77" ht="25" customHeight="1">
      <x:c r="A77" s="2" t="str">
        <x:v>坦克斯</x:v>
      </x:c>
      <x:c r="B77" s="2" t="str">
        <x:v>切肉刀</x:v>
      </x:c>
      <x:c r="C77" s="28" t="n">
        <x:f>IF('全量明细'!E273="","",'全量明细'!E273)</x:f>
        <x:v>0.5207236399999999</x:v>
      </x:c>
      <x:c r="D77" s="12" t="n">
        <x:f>IF('全量明细'!F273="","",'全量明细'!F273)</x:f>
        <x:v>2095</x:v>
      </x:c>
      <x:c r="E77" s="11" t="n">
        <x:f>IF('全量明细'!G273="","",'全量明细'!G273)</x:f>
        <x:v>0.5537</x:v>
      </x:c>
      <x:c r="F77" s="11" t="n">
        <x:f>IF('全量明细'!H273="","",'全量明细'!H273)</x:f>
        <x:v>0.5284</x:v>
      </x:c>
      <x:c r="G77" s="11" t="n">
        <x:f>IF('全量明细'!I273="","",'全量明细'!I273)</x:f>
        <x:v>0.5112</x:v>
      </x:c>
      <x:c r="H77" s="14" t="n">
        <x:f>IF('全量明细'!J273="","",'全量明细'!J273)</x:f>
        <x:v>1.7199999999999993</x:v>
      </x:c>
      <x:c r="I77" s="28" t="n">
        <x:f>IF('全量明细'!E774="","",'全量明细'!E774)</x:f>
        <x:v>0.5832566400000001</x:v>
      </x:c>
      <x:c r="J77" s="12" t="n">
        <x:f>IF('全量明细'!F774="","",'全量明细'!F774)</x:f>
        <x:v>895</x:v>
      </x:c>
      <x:c r="K77" s="11" t="n">
        <x:f>IF('全量明细'!G774="","",'全量明细'!G774)</x:f>
        <x:v>0.46259999999999996</x:v>
      </x:c>
      <x:c r="L77" s="11" t="n">
        <x:f>IF('全量明细'!H774="","",'全量明细'!H774)</x:f>
        <x:v>0.5652</x:v>
      </x:c>
      <x:c r="M77" s="11" t="n">
        <x:f>IF('全量明细'!I774="","",'全量明细'!I774)</x:f>
        <x:v>0.5988</x:v>
      </x:c>
      <x:c r="N77" s="14" t="n">
        <x:f>IF('全量明细'!J774="","",'全量明细'!J774)</x:f>
        <x:v>-3.3599999999999963</x:v>
      </x:c>
      <x:c r="O77" s="14" t="n">
        <x:f>IF(AND(ISNUMBER(C77),ISNUMBER(I77)),(I77-C77)*100,"")</x:f>
        <x:v>6.253300000000017</x:v>
      </x:c>
      <x:c r="P77" s="17" t="str"/>
    </x:row>
    <x:row r="78" ht="25" customHeight="1">
      <x:c r="A78" s="2" t="str">
        <x:v>坦克斯</x:v>
      </x:c>
      <x:c r="B78" s="2" t="str">
        <x:v>三刃回旋镖</x:v>
      </x:c>
      <x:c r="C78" s="28" t="n">
        <x:f>IF('全量明细'!E277="","",'全量明细'!E277)</x:f>
        <x:v>0.49732959</x:v>
      </x:c>
      <x:c r="D78" s="12" t="n">
        <x:f>IF('全量明细'!F277="","",'全量明细'!F277)</x:f>
        <x:v>1874</x:v>
      </x:c>
      <x:c r="E78" s="11" t="n">
        <x:f>IF('全量明细'!G277="","",'全量明细'!G277)</x:f>
        <x:v>0.2753</x:v>
      </x:c>
      <x:c r="F78" s="11" t="n">
        <x:f>IF('全量明细'!H277="","",'全量明细'!H277)</x:f>
        <x:v>0.4903</x:v>
      </x:c>
      <x:c r="G78" s="11" t="n">
        <x:f>IF('全量明细'!I277="","",'全量明细'!I277)</x:f>
        <x:v>0.5</x:v>
      </x:c>
      <x:c r="H78" s="14" t="n">
        <x:f>IF('全量明细'!J277="","",'全量明细'!J277)</x:f>
        <x:v>-0.9699999999999986</x:v>
      </x:c>
      <x:c r="I78" s="28" t="n">
        <x:f>IF('全量明细'!E775="","",'全量明细'!E775)</x:f>
        <x:v>0.5676838000000001</x:v>
      </x:c>
      <x:c r="J78" s="12" t="n">
        <x:f>IF('全量明细'!F775="","",'全量明细'!F775)</x:f>
        <x:v>842</x:v>
      </x:c>
      <x:c r="K78" s="11" t="n">
        <x:f>IF('全量明细'!G775="","",'全量明细'!G775)</x:f>
        <x:v>0.266</x:v>
      </x:c>
      <x:c r="L78" s="11" t="n">
        <x:f>IF('全量明细'!H775="","",'全量明细'!H775)</x:f>
        <x:v>0.5268</x:v>
      </x:c>
      <x:c r="M78" s="11" t="n">
        <x:f>IF('全量明细'!I775="","",'全量明细'!I775)</x:f>
        <x:v>0.5825</x:v>
      </x:c>
      <x:c r="N78" s="14" t="n">
        <x:f>IF('全量明细'!J775="","",'全量明细'!J775)</x:f>
        <x:v>-5.569999999999997</x:v>
      </x:c>
      <x:c r="O78" s="14" t="n">
        <x:f>IF(AND(ISNUMBER(C78),ISNUMBER(I78)),(I78-C78)*100,"")</x:f>
        <x:v>7.035421000000008</x:v>
      </x:c>
      <x:c r="P78" s="17" t="str"/>
    </x:row>
    <x:row r="79" ht="25" customHeight="1">
      <x:c r="A79" s="2" t="str">
        <x:v>坦克斯</x:v>
      </x:c>
      <x:c r="B79" s="2" t="str">
        <x:v>十字弓</x:v>
      </x:c>
      <x:c r="C79" s="28" t="n">
        <x:f>IF('全量明细'!E272="","",'全量明细'!E272)</x:f>
        <x:v>0.5311202199999999</x:v>
      </x:c>
      <x:c r="D79" s="12" t="n">
        <x:f>IF('全量明细'!F272="","",'全量明细'!F272)</x:f>
        <x:v>2088</x:v>
      </x:c>
      <x:c r="E79" s="11" t="n">
        <x:f>IF('全量明细'!G272="","",'全量明细'!G272)</x:f>
        <x:v>0.17190000000000003</x:v>
      </x:c>
      <x:c r="F79" s="11" t="n">
        <x:f>IF('全量明细'!H272="","",'全量明细'!H272)</x:f>
        <x:v>0.4763</x:v>
      </x:c>
      <x:c r="G79" s="11" t="n">
        <x:f>IF('全量明细'!I272="","",'全量明细'!I272)</x:f>
        <x:v>0.5425</x:v>
      </x:c>
      <x:c r="H79" s="14" t="n">
        <x:f>IF('全量明细'!J272="","",'全量明细'!J272)</x:f>
        <x:v>-6.619999999999998</x:v>
      </x:c>
      <x:c r="I79" s="28" t="n">
        <x:f>IF('全量明细'!E772="","",'全量明细'!E772)</x:f>
        <x:v>0.58465088</x:v>
      </x:c>
      <x:c r="J79" s="12" t="n">
        <x:f>IF('全量明细'!F772="","",'全量明细'!F772)</x:f>
        <x:v>939</x:v>
      </x:c>
      <x:c r="K79" s="11" t="n">
        <x:f>IF('全量明细'!G772="","",'全量明细'!G772)</x:f>
        <x:v>0.1864</x:v>
      </x:c>
      <x:c r="L79" s="11" t="n">
        <x:f>IF('全量明细'!H772="","",'全量明细'!H772)</x:f>
        <x:v>0.6857</x:v>
      </x:c>
      <x:c r="M79" s="11" t="n">
        <x:f>IF('全量明细'!I772="","",'全量明细'!I772)</x:f>
        <x:v>0.5615</x:v>
      </x:c>
      <x:c r="N79" s="14" t="n">
        <x:f>IF('全量明细'!J772="","",'全量明细'!J772)</x:f>
        <x:v>12.419999999999998</x:v>
      </x:c>
      <x:c r="O79" s="14" t="n">
        <x:f>IF(AND(ISNUMBER(C79),ISNUMBER(I79)),(I79-C79)*100,"")</x:f>
        <x:v>5.353066000000006</x:v>
      </x:c>
      <x:c r="P79" s="17" t="str"/>
    </x:row>
    <x:row r="80" ht="25" customHeight="1">
      <x:c r="A80" s="2" t="str">
        <x:v>坦克斯</x:v>
      </x:c>
      <x:c r="B80" s="2" t="str">
        <x:v>坦克斯的哨子</x:v>
      </x:c>
      <x:c r="C80" s="28" t="n">
        <x:f>IF('全量明细'!E279="","",'全量明细'!E279)</x:f>
        <x:v>0.48684716</x:v>
      </x:c>
      <x:c r="D80" s="12" t="n">
        <x:f>IF('全量明细'!F279="","",'全量明细'!F279)</x:f>
        <x:v>2132</x:v>
      </x:c>
      <x:c r="E80" s="11" t="n">
        <x:f>IF('全量明细'!G279="","",'全量明细'!G279)</x:f>
        <x:v>0.1764</x:v>
      </x:c>
      <x:c r="F80" s="11" t="n">
        <x:f>IF('全量明细'!H279="","",'全量明细'!H279)</x:f>
        <x:v>0.34840000000000004</x:v>
      </x:c>
      <x:c r="G80" s="11" t="n">
        <x:f>IF('全量明细'!I279="","",'全量明细'!I279)</x:f>
        <x:v>0.5165</x:v>
      </x:c>
      <x:c r="H80" s="14" t="n">
        <x:f>IF('全量明细'!J279="","",'全量明细'!J279)</x:f>
        <x:v>-16.80999999999999</x:v>
      </x:c>
      <x:c r="I80" s="28" t="n">
        <x:f>IF('全量明细'!E770="","",'全量明细'!E770)</x:f>
        <x:v>0.60002704</x:v>
      </x:c>
      <x:c r="J80" s="12" t="n">
        <x:f>IF('全量明细'!F770="","",'全量明细'!F770)</x:f>
        <x:v>840</x:v>
      </x:c>
      <x:c r="K80" s="11" t="n">
        <x:f>IF('全量明细'!G770="","",'全量明细'!G770)</x:f>
        <x:v>0.25120000000000003</x:v>
      </x:c>
      <x:c r="L80" s="11" t="n">
        <x:f>IF('全量明细'!H770="","",'全量明细'!H770)</x:f>
        <x:v>0.5545</x:v>
      </x:c>
      <x:c r="M80" s="11" t="n">
        <x:f>IF('全量明细'!I770="","",'全量明细'!I770)</x:f>
        <x:v>0.6153</x:v>
      </x:c>
      <x:c r="N80" s="14" t="n">
        <x:f>IF('全量明细'!J770="","",'全量明细'!J770)</x:f>
        <x:v>-6.0799999999999965</x:v>
      </x:c>
      <x:c r="O80" s="14" t="n">
        <x:f>IF(AND(ISNUMBER(C80),ISNUMBER(I80)),(I80-C80)*100,"")</x:f>
        <x:v>11.317987999999996</x:v>
      </x:c>
      <x:c r="P80" s="17" t="str"/>
    </x:row>
    <x:row r="81" ht="25" customHeight="1">
      <x:c r="A81" s="2" t="str">
        <x:v>坦克斯</x:v>
      </x:c>
      <x:c r="B81" s="2" t="str">
        <x:v>铁棒</x:v>
      </x:c>
      <x:c r="C81" s="28" t="n">
        <x:f>IF('全量明细'!E270="","",'全量明细'!E270)</x:f>
        <x:v>0.5813349400000001</x:v>
      </x:c>
      <x:c r="D81" s="12" t="n">
        <x:f>IF('全量明细'!F270="","",'全量明细'!F270)</x:f>
        <x:v>2133</x:v>
      </x:c>
      <x:c r="E81" s="11" t="n">
        <x:f>IF('全量明细'!G270="","",'全量明细'!G270)</x:f>
        <x:v>0.6038</x:v>
      </x:c>
      <x:c r="F81" s="11" t="n">
        <x:f>IF('全量明细'!H270="","",'全量明细'!H270)</x:f>
        <x:v>0.6809000000000001</x:v>
      </x:c>
      <x:c r="G81" s="11" t="n">
        <x:f>IF('全量明细'!I270="","",'全量明细'!I270)</x:f>
        <x:v>0.4296</x:v>
      </x:c>
      <x:c r="H81" s="14" t="n">
        <x:f>IF('全量明细'!J270="","",'全量明细'!J270)</x:f>
        <x:v>25.13000000000001</x:v>
      </x:c>
      <x:c r="I81" s="28" t="n">
        <x:f>IF('全量明细'!E768="","",'全量明细'!E768)</x:f>
        <x:v>0.6277000199999999</x:v>
      </x:c>
      <x:c r="J81" s="12" t="n">
        <x:f>IF('全量明细'!F768="","",'全量明细'!F768)</x:f>
        <x:v>932</x:v>
      </x:c>
      <x:c r="K81" s="11" t="n">
        <x:f>IF('全量明细'!G768="","",'全量明细'!G768)</x:f>
        <x:v>0.6019</x:v>
      </x:c>
      <x:c r="L81" s="11" t="n">
        <x:f>IF('全量明细'!H768="","",'全量明细'!H768)</x:f>
        <x:v>0.6738</x:v>
      </x:c>
      <x:c r="M81" s="11" t="n">
        <x:f>IF('全量明细'!I768="","",'全量明细'!I768)</x:f>
        <x:v>0.5579999999999999</x:v>
      </x:c>
      <x:c r="N81" s="14" t="n">
        <x:f>IF('全量明细'!J768="","",'全量明细'!J768)</x:f>
        <x:v>11.580000000000002</x:v>
      </x:c>
      <x:c r="O81" s="14" t="n">
        <x:f>IF(AND(ISNUMBER(C81),ISNUMBER(I81)),(I81-C81)*100,"")</x:f>
        <x:v>4.636507999999983</x:v>
      </x:c>
      <x:c r="P81" s="17" t="str"/>
    </x:row>
    <x:row r="82" ht="25" customHeight="1">
      <x:c r="A82" s="2" t="str">
        <x:v>坦克斯</x:v>
      </x:c>
      <x:c r="B82" s="2" t="str">
        <x:v>投斧</x:v>
      </x:c>
      <x:c r="C82" s="28" t="n">
        <x:f>IF('全量明细'!E275="","",'全量明细'!E275)</x:f>
        <x:v>0.5048054799999999</x:v>
      </x:c>
      <x:c r="D82" s="12" t="n">
        <x:f>IF('全量明细'!F275="","",'全量明细'!F275)</x:f>
        <x:v>2082</x:v>
      </x:c>
      <x:c r="E82" s="11" t="n">
        <x:f>IF('全量明细'!G275="","",'全量明细'!G275)</x:f>
        <x:v>0.4428</x:v>
      </x:c>
      <x:c r="F82" s="11" t="n">
        <x:f>IF('全量明细'!H275="","",'全量明细'!H275)</x:f>
        <x:v>0.4653</x:v>
      </x:c>
      <x:c r="G82" s="11" t="n">
        <x:f>IF('全量明细'!I275="","",'全量明细'!I275)</x:f>
        <x:v>0.5362</x:v>
      </x:c>
      <x:c r="H82" s="14" t="n">
        <x:f>IF('全量明细'!J275="","",'全量明细'!J275)</x:f>
        <x:v>-7.090000000000002</x:v>
      </x:c>
      <x:c r="I82" s="28" t="n">
        <x:f>IF('全量明细'!E777="","",'全量明细'!E777)</x:f>
        <x:v>0.55579584</x:v>
      </x:c>
      <x:c r="J82" s="12" t="n">
        <x:f>IF('全量明细'!F777="","",'全量明细'!F777)</x:f>
        <x:v>959</x:v>
      </x:c>
      <x:c r="K82" s="11" t="n">
        <x:f>IF('全量明细'!G777="","",'全量明细'!G777)</x:f>
        <x:v>0.4004</x:v>
      </x:c>
      <x:c r="L82" s="11" t="n">
        <x:f>IF('全量明细'!H777="","",'全量明细'!H777)</x:f>
        <x:v>0.48960000000000004</x:v>
      </x:c>
      <x:c r="M82" s="11" t="n">
        <x:f>IF('全量明细'!I777="","",'全量明细'!I777)</x:f>
        <x:v>0.6</x:v>
      </x:c>
      <x:c r="N82" s="14" t="n">
        <x:f>IF('全量明细'!J777="","",'全量明细'!J777)</x:f>
        <x:v>-11.039999999999994</x:v>
      </x:c>
      <x:c r="O82" s="14" t="n">
        <x:f>IF(AND(ISNUMBER(C82),ISNUMBER(I82)),(I82-C82)*100,"")</x:f>
        <x:v>5.099036000000012</x:v>
      </x:c>
      <x:c r="P82" s="17" t="str"/>
    </x:row>
    <x:row r="83" ht="25" customHeight="1">
      <x:c r="A83" s="2" t="str">
        <x:v>坦克斯</x:v>
      </x:c>
      <x:c r="B83" s="2" t="str">
        <x:v>战锤</x:v>
      </x:c>
      <x:c r="C83" s="28" t="n">
        <x:f>IF('全量明细'!E274="","",'全量明细'!E274)</x:f>
        <x:v>0.51269708</x:v>
      </x:c>
      <x:c r="D83" s="12" t="n">
        <x:f>IF('全量明细'!F274="","",'全量明细'!F274)</x:f>
        <x:v>2044</x:v>
      </x:c>
      <x:c r="E83" s="11" t="n">
        <x:f>IF('全量明细'!G274="","",'全量明细'!G274)</x:f>
        <x:v>0.2818</x:v>
      </x:c>
      <x:c r="F83" s="11" t="n">
        <x:f>IF('全量明细'!H274="","",'全量明细'!H274)</x:f>
        <x:v>0.4844</x:v>
      </x:c>
      <x:c r="G83" s="11" t="n">
        <x:f>IF('全量明细'!I274="","",'全量明细'!I274)</x:f>
        <x:v>0.5238</x:v>
      </x:c>
      <x:c r="H83" s="14" t="n">
        <x:f>IF('全量明细'!J274="","",'全量明细'!J274)</x:f>
        <x:v>-3.940000000000005</x:v>
      </x:c>
      <x:c r="I83" s="28" t="n">
        <x:f>IF('全量明细'!E773="","",'全量明细'!E773)</x:f>
        <x:v>0.5836034299999999</x:v>
      </x:c>
      <x:c r="J83" s="12" t="n">
        <x:f>IF('全量明细'!F773="","",'全量明细'!F773)</x:f>
        <x:v>927</x:v>
      </x:c>
      <x:c r="K83" s="11" t="n">
        <x:f>IF('全量明细'!G773="","",'全量明细'!G773)</x:f>
        <x:v>0.2557</x:v>
      </x:c>
      <x:c r="L83" s="11" t="n">
        <x:f>IF('全量明细'!H773="","",'全量明细'!H773)</x:f>
        <x:v>0.5611999999999999</x:v>
      </x:c>
      <x:c r="M83" s="11" t="n">
        <x:f>IF('全量明细'!I773="","",'全量明细'!I773)</x:f>
        <x:v>0.5913</x:v>
      </x:c>
      <x:c r="N83" s="14" t="n">
        <x:f>IF('全量明细'!J773="","",'全量明细'!J773)</x:f>
        <x:v>-3.0100000000000127</x:v>
      </x:c>
      <x:c r="O83" s="14" t="n">
        <x:f>IF(AND(ISNUMBER(C83),ISNUMBER(I83)),(I83-C83)*100,"")</x:f>
        <x:v>7.09063499999999</x:v>
      </x:c>
      <x:c r="P83" s="17" t="str"/>
    </x:row>
    <x:row r="84" ht="25" customHeight="1">
      <x:c r="A84" s="20" t="str">
        <x:v>瓦库</x:v>
      </x:c>
      <x:c r="B84" s="20" t="str">
        <x:v>宝石面具</x:v>
      </x:c>
      <x:c r="C84" s="27" t="n">
        <x:f>IF('全量明细'!E285="","",'全量明细'!E285)</x:f>
        <x:v>0.45692368</x:v>
      </x:c>
      <x:c r="D84" s="23" t="n">
        <x:f>IF('全量明细'!F285="","",'全量明细'!F285)</x:f>
        <x:v>1740</x:v>
      </x:c>
      <x:c r="E84" s="22" t="n">
        <x:f>IF('全量明细'!G285="","",'全量明细'!G285)</x:f>
        <x:v>0.7092</x:v>
      </x:c>
      <x:c r="F84" s="22" t="n">
        <x:f>IF('全量明细'!H285="","",'全量明细'!H285)</x:f>
        <x:v>0.4425</x:v>
      </x:c>
      <x:c r="G84" s="22" t="n">
        <x:f>IF('全量明细'!I285="","",'全量明细'!I285)</x:f>
        <x:v>0.4921</x:v>
      </x:c>
      <x:c r="H84" s="24" t="n">
        <x:f>IF('全量明细'!J285="","",'全量明细'!J285)</x:f>
        <x:v>-4.959999999999997</x:v>
      </x:c>
      <x:c r="I84" s="27" t="n">
        <x:f>IF('全量明细'!E781="","",'全量明细'!E781)</x:f>
        <x:v>0.52404884</x:v>
      </x:c>
      <x:c r="J84" s="23" t="n">
        <x:f>IF('全量明细'!F781="","",'全量明细'!F781)</x:f>
        <x:v>748</x:v>
      </x:c>
      <x:c r="K84" s="22" t="n">
        <x:f>IF('全量明细'!G781="","",'全量明细'!G781)</x:f>
        <x:v>0.7286</x:v>
      </x:c>
      <x:c r="L84" s="22" t="n">
        <x:f>IF('全量明细'!H781="","",'全量明细'!H781)</x:f>
        <x:v>0.5266</x:v>
      </x:c>
      <x:c r="M84" s="22" t="n">
        <x:f>IF('全量明细'!I781="","",'全量明细'!I781)</x:f>
        <x:v>0.5172</x:v>
      </x:c>
      <x:c r="N84" s="24" t="n">
        <x:f>IF('全量明细'!J781="","",'全量明细'!J781)</x:f>
        <x:v>0.9399999999999964</x:v>
      </x:c>
      <x:c r="O84" s="24" t="n">
        <x:f>IF(AND(ISNUMBER(C84),ISNUMBER(I84)),(I84-C84)*100,"")</x:f>
        <x:v>6.712515999999996</x:v>
      </x:c>
      <x:c r="P84" s="31" t="str"/>
    </x:row>
    <x:row r="85" ht="25" customHeight="1">
      <x:c r="A85" s="2" t="str">
        <x:v>瓦库</x:v>
      </x:c>
      <x:c r="B85" s="2" t="str">
        <x:v>低语耳环</x:v>
      </x:c>
      <x:c r="C85" s="28" t="n">
        <x:f>IF('全量明细'!E282="","",'全量明细'!E282)</x:f>
        <x:v>0.47156413999999997</x:v>
      </x:c>
      <x:c r="D85" s="12" t="n">
        <x:f>IF('全量明细'!F282="","",'全量明细'!F282)</x:f>
        <x:v>2322</x:v>
      </x:c>
      <x:c r="E85" s="11" t="n">
        <x:f>IF('全量明细'!G282="","",'全量明细'!G282)</x:f>
        <x:v>0.1318</x:v>
      </x:c>
      <x:c r="F85" s="11" t="n">
        <x:f>IF('全量明细'!H282="","",'全量明细'!H282)</x:f>
        <x:v>0.3824</x:v>
      </x:c>
      <x:c r="G85" s="11" t="n">
        <x:f>IF('全量明细'!I282="","",'全量明细'!I282)</x:f>
        <x:v>0.4851</x:v>
      </x:c>
      <x:c r="H85" s="14" t="n">
        <x:f>IF('全量明细'!J282="","",'全量明细'!J282)</x:f>
        <x:v>-10.269999999999996</x:v>
      </x:c>
      <x:c r="I85" s="28" t="n">
        <x:f>IF('全量明细'!E778="","",'全量明细'!E778)</x:f>
        <x:v>0.53850752</x:v>
      </x:c>
      <x:c r="J85" s="12" t="n">
        <x:f>IF('全量明细'!F778="","",'全量明细'!F778)</x:f>
        <x:v>947</x:v>
      </x:c>
      <x:c r="K85" s="11" t="n">
        <x:f>IF('全量明细'!G778="","",'全量明细'!G778)</x:f>
        <x:v>0.1394</x:v>
      </x:c>
      <x:c r="L85" s="11" t="n">
        <x:f>IF('全量明细'!H778="","",'全量明细'!H778)</x:f>
        <x:v>0.40149999999999997</x:v>
      </x:c>
      <x:c r="M85" s="11" t="n">
        <x:f>IF('全量明细'!I778="","",'全量明细'!I778)</x:f>
        <x:v>0.5607</x:v>
      </x:c>
      <x:c r="N85" s="14" t="n">
        <x:f>IF('全量明细'!J778="","",'全量明细'!J778)</x:f>
        <x:v>-15.920000000000002</x:v>
      </x:c>
      <x:c r="O85" s="14" t="n">
        <x:f>IF(AND(ISNUMBER(C85),ISNUMBER(I85)),(I85-C85)*100,"")</x:f>
        <x:v>6.6943380000000055</x:v>
      </x:c>
      <x:c r="P85" s="17" t="str"/>
    </x:row>
    <x:row r="86" ht="25" customHeight="1">
      <x:c r="A86" s="2" t="str">
        <x:v>瓦库</x:v>
      </x:c>
      <x:c r="B86" s="2" t="str">
        <x:v>领主阳伞</x:v>
      </x:c>
      <x:c r="C86" s="28" t="n">
        <x:f>IF('全量明细'!E289="","",'全量明细'!E289)</x:f>
        <x:v>0.43588367000000006</x:v>
      </x:c>
      <x:c r="D86" s="12" t="n">
        <x:f>IF('全量明细'!F289="","",'全量明细'!F289)</x:f>
        <x:v>1794</x:v>
      </x:c>
      <x:c r="E86" s="11" t="n">
        <x:f>IF('全量明细'!G289="","",'全量明细'!G289)</x:f>
        <x:v>0.2007</x:v>
      </x:c>
      <x:c r="F86" s="11" t="n">
        <x:f>IF('全量明细'!H289="","",'全量明细'!H289)</x:f>
        <x:v>0.3944</x:v>
      </x:c>
      <x:c r="G86" s="11" t="n">
        <x:f>IF('全量明细'!I289="","",'全量明细'!I289)</x:f>
        <x:v>0.44630000000000003</x:v>
      </x:c>
      <x:c r="H86" s="14" t="n">
        <x:f>IF('全量明细'!J289="","",'全量明细'!J289)</x:f>
        <x:v>-5.190000000000006</x:v>
      </x:c>
      <x:c r="I86" s="28" t="n">
        <x:f>IF('全量明细'!E786="","",'全量明细'!E786)</x:f>
        <x:v>0.501415</x:v>
      </x:c>
      <x:c r="J86" s="12" t="n">
        <x:f>IF('全量明细'!F786="","",'全量明细'!F786)</x:f>
        <x:v>720</x:v>
      </x:c>
      <x:c r="K86" s="11" t="n">
        <x:f>IF('全量明细'!G786="","",'全量明细'!G786)</x:f>
        <x:v>0.15</x:v>
      </x:c>
      <x:c r="L86" s="11" t="n">
        <x:f>IF('全量明细'!H786="","",'全量明细'!H786)</x:f>
        <x:v>0.5185</x:v>
      </x:c>
      <x:c r="M86" s="11" t="n">
        <x:f>IF('全量明细'!I786="","",'全量明细'!I786)</x:f>
        <x:v>0.4984</x:v>
      </x:c>
      <x:c r="N86" s="14" t="n">
        <x:f>IF('全量明细'!J786="","",'全量明细'!J786)</x:f>
        <x:v>2.0099999999999953</x:v>
      </x:c>
      <x:c r="O86" s="14" t="n">
        <x:f>IF(AND(ISNUMBER(C86),ISNUMBER(I86)),(I86-C86)*100,"")</x:f>
        <x:v>6.553133</x:v>
      </x:c>
      <x:c r="P86" s="17" t="str"/>
    </x:row>
    <x:row r="87" ht="25" customHeight="1">
      <x:c r="A87" s="2" t="str">
        <x:v>瓦库</x:v>
      </x:c>
      <x:c r="B87" s="2" t="str">
        <x:v>小提琴</x:v>
      </x:c>
      <x:c r="C87" s="28" t="n">
        <x:f>IF('全量明细'!E287="","",'全量明细'!E287)</x:f>
        <x:v>0.44723552</x:v>
      </x:c>
      <x:c r="D87" s="12" t="n">
        <x:f>IF('全量明细'!F287="","",'全量明细'!F287)</x:f>
        <x:v>2339</x:v>
      </x:c>
      <x:c r="E87" s="11" t="n">
        <x:f>IF('全量明细'!G287="","",'全量明细'!G287)</x:f>
        <x:v>0.07519999999999999</x:v>
      </x:c>
      <x:c r="F87" s="11" t="n">
        <x:f>IF('全量明细'!H287="","",'全量明细'!H287)</x:f>
        <x:v>0.40340000000000004</x:v>
      </x:c>
      <x:c r="G87" s="11" t="n">
        <x:f>IF('全量明细'!I287="","",'全量明细'!I287)</x:f>
        <x:v>0.4508</x:v>
      </x:c>
      <x:c r="H87" s="14" t="n">
        <x:f>IF('全量明细'!J287="","",'全量明细'!J287)</x:f>
        <x:v>-4.739999999999994</x:v>
      </x:c>
      <x:c r="I87" s="28" t="n">
        <x:f>IF('全量明细'!E785="","",'全量明细'!E785)</x:f>
        <x:v>0.5060098</x:v>
      </x:c>
      <x:c r="J87" s="12" t="n">
        <x:f>IF('全量明细'!F785="","",'全量明细'!F785)</x:f>
        <x:v>992</x:v>
      </x:c>
      <x:c r="K87" s="11" t="n">
        <x:f>IF('全量明细'!G785="","",'全量明细'!G785)</x:f>
        <x:v>0.11689999999999999</x:v>
      </x:c>
      <x:c r="L87" s="11" t="n">
        <x:f>IF('全量明细'!H785="","",'全量明细'!H785)</x:f>
        <x:v>0.5431</x:v>
      </x:c>
      <x:c r="M87" s="11" t="n">
        <x:f>IF('全量明细'!I785="","",'全量明细'!I785)</x:f>
        <x:v>0.5011</x:v>
      </x:c>
      <x:c r="N87" s="14" t="n">
        <x:f>IF('全量明细'!J785="","",'全量明细'!J785)</x:f>
        <x:v>4.200000000000004</x:v>
      </x:c>
      <x:c r="O87" s="14" t="n">
        <x:f>IF(AND(ISNUMBER(C87),ISNUMBER(I87)),(I87-C87)*100,"")</x:f>
        <x:v>5.877427999999996</x:v>
      </x:c>
      <x:c r="P87" s="17" t="str"/>
    </x:row>
    <x:row r="88" ht="25" customHeight="1">
      <x:c r="A88" s="2" t="str">
        <x:v>瓦库</x:v>
      </x:c>
      <x:c r="B88" s="2" t="str">
        <x:v>选择悖论</x:v>
      </x:c>
      <x:c r="C88" s="28" t="n">
        <x:f>IF('全量明细'!E283="","",'全量明细'!E283)</x:f>
        <x:v>0.46566213999999995</x:v>
      </x:c>
      <x:c r="D88" s="12" t="n">
        <x:f>IF('全量明细'!F283="","",'全量明细'!F283)</x:f>
        <x:v>1763</x:v>
      </x:c>
      <x:c r="E88" s="11" t="n">
        <x:f>IF('全量明细'!G283="","",'全量明细'!G283)</x:f>
        <x:v>0.46740000000000004</x:v>
      </x:c>
      <x:c r="F88" s="11" t="n">
        <x:f>IF('全量明细'!H283="","",'全量明细'!H283)</x:f>
        <x:v>0.4769</x:v>
      </x:c>
      <x:c r="G88" s="11" t="n">
        <x:f>IF('全量明细'!I283="","",'全量明细'!I283)</x:f>
        <x:v>0.4558</x:v>
      </x:c>
      <x:c r="H88" s="14" t="n">
        <x:f>IF('全量明细'!J283="","",'全量明细'!J283)</x:f>
        <x:v>2.1100000000000008</x:v>
      </x:c>
      <x:c r="I88" s="28" t="n">
        <x:f>IF('全量明细'!E783="","",'全量明细'!E783)</x:f>
        <x:v>0.51892748</x:v>
      </x:c>
      <x:c r="J88" s="12" t="n">
        <x:f>IF('全量明细'!F783="","",'全量明细'!F783)</x:f>
        <x:v>688</x:v>
      </x:c>
      <x:c r="K88" s="11" t="n">
        <x:f>IF('全量明细'!G783="","",'全量明细'!G783)</x:f>
        <x:v>0.4404</x:v>
      </x:c>
      <x:c r="L88" s="11" t="n">
        <x:f>IF('全量明细'!H783="","",'全量明细'!H783)</x:f>
        <x:v>0.5182</x:v>
      </x:c>
      <x:c r="M88" s="11" t="n">
        <x:f>IF('全量明细'!I783="","",'全量明细'!I783)</x:f>
        <x:v>0.5195000000000001</x:v>
      </x:c>
      <x:c r="N88" s="14" t="n">
        <x:f>IF('全量明细'!J783="","",'全量明细'!J783)</x:f>
        <x:v>-0.1300000000000079</x:v>
      </x:c>
      <x:c r="O88" s="14" t="n">
        <x:f>IF(AND(ISNUMBER(C88),ISNUMBER(I88)),(I88-C88)*100,"")</x:f>
        <x:v>5.326534000000005</x:v>
      </x:c>
      <x:c r="P88" s="17" t="str"/>
    </x:row>
    <x:row r="89" ht="25" customHeight="1">
      <x:c r="A89" s="2" t="str">
        <x:v>瓦库</x:v>
      </x:c>
      <x:c r="B89" s="2" t="str">
        <x:v>血染玫瑰</x:v>
      </x:c>
      <x:c r="C89" s="28" t="n">
        <x:f>IF('全量明细'!E284="","",'全量明细'!E284)</x:f>
        <x:v>0.46311528</x:v>
      </x:c>
      <x:c r="D89" s="12" t="n">
        <x:f>IF('全量明细'!F284="","",'全量明细'!F284)</x:f>
        <x:v>2360</x:v>
      </x:c>
      <x:c r="E89" s="11" t="n">
        <x:f>IF('全量明细'!G284="","",'全量明细'!G284)</x:f>
        <x:v>0.1076</x:v>
      </x:c>
      <x:c r="F89" s="11" t="n">
        <x:f>IF('全量明细'!H284="","",'全量明细'!H284)</x:f>
        <x:v>0.2559</x:v>
      </x:c>
      <x:c r="G89" s="11" t="n">
        <x:f>IF('全量明细'!I284="","",'全量明细'!I284)</x:f>
        <x:v>0.48810000000000003</x:v>
      </x:c>
      <x:c r="H89" s="14" t="n">
        <x:f>IF('全量明细'!J284="","",'全量明细'!J284)</x:f>
        <x:v>-23.220000000000002</x:v>
      </x:c>
      <x:c r="I89" s="28" t="n">
        <x:f>IF('全量明细'!E784="","",'全量明细'!E784)</x:f>
        <x:v>0.5103446</x:v>
      </x:c>
      <x:c r="J89" s="12" t="n">
        <x:f>IF('全量明细'!F784="","",'全量明细'!F784)</x:f>
        <x:v>970</x:v>
      </x:c>
      <x:c r="K89" s="11" t="n">
        <x:f>IF('全量明细'!G784="","",'全量明细'!G784)</x:f>
        <x:v>0.1278</x:v>
      </x:c>
      <x:c r="L89" s="11" t="n">
        <x:f>IF('全量明细'!H784="","",'全量明细'!H784)</x:f>
        <x:v>0.2984</x:v>
      </x:c>
      <x:c r="M89" s="11" t="n">
        <x:f>IF('全量明细'!I784="","",'全量明细'!I784)</x:f>
        <x:v>0.5414</x:v>
      </x:c>
      <x:c r="N89" s="14" t="n">
        <x:f>IF('全量明细'!J784="","",'全量明细'!J784)</x:f>
        <x:v>-24.3</x:v>
      </x:c>
      <x:c r="O89" s="14" t="n">
        <x:f>IF(AND(ISNUMBER(C89),ISNUMBER(I89)),(I89-C89)*100,"")</x:f>
        <x:v>4.722932000000002</x:v>
      </x:c>
      <x:c r="P89" s="17" t="str"/>
    </x:row>
    <x:row r="90" ht="25" customHeight="1">
      <x:c r="A90" s="2" t="str">
        <x:v>瓦库</x:v>
      </x:c>
      <x:c r="B90" s="2" t="str">
        <x:v>腌制活雾</x:v>
      </x:c>
      <x:c r="C90" s="28" t="n">
        <x:f>IF('全量明细'!E286="","",'全量明细'!E286)</x:f>
        <x:v>0.4559666</x:v>
      </x:c>
      <x:c r="D90" s="12" t="n">
        <x:f>IF('全量明细'!F286="","",'全量明细'!F286)</x:f>
        <x:v>2307</x:v>
      </x:c>
      <x:c r="E90" s="11" t="n">
        <x:f>IF('全量明细'!G286="","",'全量明细'!G286)</x:f>
        <x:v>0.5977</x:v>
      </x:c>
      <x:c r="F90" s="11" t="n">
        <x:f>IF('全量明细'!H286="","",'全量明细'!H286)</x:f>
        <x:v>0.4793</x:v>
      </x:c>
      <x:c r="G90" s="11" t="n">
        <x:f>IF('全量明细'!I286="","",'全量明细'!I286)</x:f>
        <x:v>0.4213</x:v>
      </x:c>
      <x:c r="H90" s="14" t="n">
        <x:f>IF('全量明细'!J286="","",'全量明细'!J286)</x:f>
        <x:v>5.8</x:v>
      </x:c>
      <x:c r="I90" s="28" t="n">
        <x:f>IF('全量明细'!E787="","",'全量明细'!E787)</x:f>
        <x:v>0.5010195000000001</x:v>
      </x:c>
      <x:c r="J90" s="12" t="n">
        <x:f>IF('全量明细'!F787="","",'全量明细'!F787)</x:f>
        <x:v>954</x:v>
      </x:c>
      <x:c r="K90" s="11" t="n">
        <x:f>IF('全量明细'!G787="","",'全量明细'!G787)</x:f>
        <x:v>0.5975</x:v>
      </x:c>
      <x:c r="L90" s="11" t="n">
        <x:f>IF('全量明细'!H787="","",'全量明细'!H787)</x:f>
        <x:v>0.5333</x:v>
      </x:c>
      <x:c r="M90" s="11" t="n">
        <x:f>IF('全量明细'!I787="","",'全量明细'!I787)</x:f>
        <x:v>0.4531</x:v>
      </x:c>
      <x:c r="N90" s="14" t="n">
        <x:f>IF('全量明细'!J787="","",'全量明细'!J787)</x:f>
        <x:v>8.02</x:v>
      </x:c>
      <x:c r="O90" s="14" t="n">
        <x:f>IF(AND(ISNUMBER(C90),ISNUMBER(I90)),(I90-C90)*100,"")</x:f>
        <x:v>4.505290000000006</x:v>
      </x:c>
      <x:c r="P90" s="17" t="str"/>
    </x:row>
    <x:row r="91" ht="25" customHeight="1">
      <x:c r="A91" s="2" t="str">
        <x:v>瓦库</x:v>
      </x:c>
      <x:c r="B91" s="2" t="str">
        <x:v>音乐盒</x:v>
      </x:c>
      <x:c r="C91" s="28" t="n">
        <x:f>IF('全量明细'!E280="","",'全量明细'!E280)</x:f>
        <x:v>0.48713610000000007</x:v>
      </x:c>
      <x:c r="D91" s="12" t="n">
        <x:f>IF('全量明细'!F280="","",'全量明细'!F280)</x:f>
        <x:v>1747</x:v>
      </x:c>
      <x:c r="E91" s="11" t="n">
        <x:f>IF('全量明细'!G280="","",'全量明细'!G280)</x:f>
        <x:v>0.3898</x:v>
      </x:c>
      <x:c r="F91" s="11" t="n">
        <x:f>IF('全量明细'!H280="","",'全量明细'!H280)</x:f>
        <x:v>0.5448</x:v>
      </x:c>
      <x:c r="G91" s="11" t="n">
        <x:f>IF('全量明细'!I280="","",'全量明细'!I280)</x:f>
        <x:v>0.45030000000000003</x:v>
      </x:c>
      <x:c r="H91" s="14" t="n">
        <x:f>IF('全量明细'!J280="","",'全量明细'!J280)</x:f>
        <x:v>9.449999999999992</x:v>
      </x:c>
      <x:c r="I91" s="28" t="n">
        <x:f>IF('全量明细'!E780="","",'全量明细'!E780)</x:f>
        <x:v>0.52841502</x:v>
      </x:c>
      <x:c r="J91" s="12" t="n">
        <x:f>IF('全量明细'!F780="","",'全量明细'!F780)</x:f>
        <x:v>757</x:v>
      </x:c>
      <x:c r="K91" s="11" t="n">
        <x:f>IF('全量明细'!G780="","",'全量明细'!G780)</x:f>
        <x:v>0.3567</x:v>
      </x:c>
      <x:c r="L91" s="11" t="n">
        <x:f>IF('全量明细'!H780="","",'全量明细'!H780)</x:f>
        <x:v>0.5481</x:v>
      </x:c>
      <x:c r="M91" s="11" t="n">
        <x:f>IF('全量明细'!I780="","",'全量明细'!I780)</x:f>
        <x:v>0.5175</x:v>
      </x:c>
      <x:c r="N91" s="14" t="n">
        <x:f>IF('全量明细'!J780="","",'全量明细'!J780)</x:f>
        <x:v>3.060000000000007</x:v>
      </x:c>
      <x:c r="O91" s="14" t="n">
        <x:f>IF(AND(ISNUMBER(C91),ISNUMBER(I91)),(I91-C91)*100,"")</x:f>
        <x:v>4.127891999999989</x:v>
      </x:c>
      <x:c r="P91" s="17" t="str"/>
    </x:row>
    <x:row r="92" ht="25" customHeight="1">
      <x:c r="A92" s="2" t="str">
        <x:v>瓦库</x:v>
      </x:c>
      <x:c r="B92" s="2" t="str">
        <x:v>原初之爪</x:v>
      </x:c>
      <x:c r="C92" s="28" t="n">
        <x:f>IF('全量明细'!E288="","",'全量明细'!E288)</x:f>
        <x:v>0.44386226999999995</x:v>
      </x:c>
      <x:c r="D92" s="12" t="n">
        <x:f>IF('全量明细'!F288="","",'全量明细'!F288)</x:f>
        <x:v>2323</x:v>
      </x:c>
      <x:c r="E92" s="11" t="n">
        <x:f>IF('全量明细'!G288="","",'全量明细'!G288)</x:f>
        <x:v>0.18510000000000001</x:v>
      </x:c>
      <x:c r="F92" s="11" t="n">
        <x:f>IF('全量明细'!H288="","",'全量明细'!H288)</x:f>
        <x:v>0.3442</x:v>
      </x:c>
      <x:c r="G92" s="11" t="n">
        <x:f>IF('全量明细'!I288="","",'全量明细'!I288)</x:f>
        <x:v>0.46649999999999997</x:v>
      </x:c>
      <x:c r="H92" s="14" t="n">
        <x:f>IF('全量明细'!J288="","",'全量明细'!J288)</x:f>
        <x:v>-12.229999999999997</x:v>
      </x:c>
      <x:c r="I92" s="28" t="n">
        <x:f>IF('全量明细'!E779="","",'全量明细'!E779)</x:f>
        <x:v>0.52978355</x:v>
      </x:c>
      <x:c r="J92" s="12" t="n">
        <x:f>IF('全量明细'!F779="","",'全量明细'!F779)</x:f>
        <x:v>974</x:v>
      </x:c>
      <x:c r="K92" s="11" t="n">
        <x:f>IF('全量明细'!G779="","",'全量明细'!G779)</x:f>
        <x:v>0.5185</x:v>
      </x:c>
      <x:c r="L92" s="11" t="n">
        <x:f>IF('全量明细'!H779="","",'全量明细'!H779)</x:f>
        <x:v>0.5722999999999999</x:v>
      </x:c>
      <x:c r="M92" s="11" t="n">
        <x:f>IF('全量明细'!I779="","",'全量明细'!I779)</x:f>
        <x:v>0.484</x:v>
      </x:c>
      <x:c r="N92" s="14" t="n">
        <x:f>IF('全量明细'!J779="","",'全量明细'!J779)</x:f>
        <x:v>8.829999999999993</x:v>
      </x:c>
      <x:c r="O92" s="14" t="n">
        <x:f>IF(AND(ISNUMBER(C92),ISNUMBER(I92)),(I92-C92)*100,"")</x:f>
        <x:v>8.592128000000004</x:v>
      </x:c>
      <x:c r="P92" s="17" t="str"/>
    </x:row>
    <x:row r="93" ht="25" customHeight="1">
      <x:c r="A93" s="2" t="str">
        <x:v>瓦库</x:v>
      </x:c>
      <x:c r="B93" s="2" t="str">
        <x:v>卓越斗篷</x:v>
      </x:c>
      <x:c r="C93" s="28" t="n">
        <x:f>IF('全量明细'!E281="","",'全量明细'!E281)</x:f>
        <x:v>0.48246523999999996</x:v>
      </x:c>
      <x:c r="D93" s="12" t="n">
        <x:f>IF('全量明细'!F281="","",'全量明细'!F281)</x:f>
        <x:v>2396</x:v>
      </x:c>
      <x:c r="E93" s="11" t="n">
        <x:f>IF('全量明细'!G281="","",'全量明细'!G281)</x:f>
        <x:v>0.5676</x:v>
      </x:c>
      <x:c r="F93" s="11" t="n">
        <x:f>IF('全量明细'!H281="","",'全量明细'!H281)</x:f>
        <x:v>0.5235</x:v>
      </x:c>
      <x:c r="G93" s="11" t="n">
        <x:f>IF('全量明细'!I281="","",'全量明细'!I281)</x:f>
        <x:v>0.4286</x:v>
      </x:c>
      <x:c r="H93" s="14" t="n">
        <x:f>IF('全量明细'!J281="","",'全量明细'!J281)</x:f>
        <x:v>9.489999999999998</x:v>
      </x:c>
      <x:c r="I93" s="28" t="n">
        <x:f>IF('全量明细'!E782="","",'全量明细'!E782)</x:f>
        <x:v>0.52295524</x:v>
      </x:c>
      <x:c r="J93" s="12" t="n">
        <x:f>IF('全量明细'!F782="","",'全量明细'!F782)</x:f>
        <x:v>981</x:v>
      </x:c>
      <x:c r="K93" s="11" t="n">
        <x:f>IF('全量明细'!G782="","",'全量明细'!G782)</x:f>
        <x:v>0.2324</x:v>
      </x:c>
      <x:c r="L93" s="11" t="n">
        <x:f>IF('全量明细'!H782="","",'全量明细'!H782)</x:f>
        <x:v>0.4693</x:v>
      </x:c>
      <x:c r="M93" s="11" t="n">
        <x:f>IF('全量明细'!I782="","",'全量明细'!I782)</x:f>
        <x:v>0.5392</x:v>
      </x:c>
      <x:c r="N93" s="14" t="n">
        <x:f>IF('全量明细'!J782="","",'全量明细'!J782)</x:f>
        <x:v>-6.990000000000002</x:v>
      </x:c>
      <x:c r="O93" s="14" t="n">
        <x:f>IF(AND(ISNUMBER(C93),ISNUMBER(I93)),(I93-C93)*100,"")</x:f>
        <x:v>4.049000000000008</x:v>
      </x:c>
      <x:c r="P93" s="17" t="str"/>
    </x:row>
    <x:row r="94" ht="25" customHeight="1">
      <x:c r="A94" s="20" t="str">
        <x:v>达弗</x:v>
      </x:c>
      <x:c r="B94" s="20" t="str">
        <x:v>尘封魔典</x:v>
      </x:c>
      <x:c r="C94" s="27" t="n">
        <x:f>IF('全量明细'!E297="","",'全量明细'!E297)</x:f>
        <x:v>0.32920694999999994</x:v>
      </x:c>
      <x:c r="D94" s="23" t="n">
        <x:f>IF('全量明细'!F297="","",'全量明细'!F297)</x:f>
        <x:v>3287</x:v>
      </x:c>
      <x:c r="E94" s="22" t="n">
        <x:f>IF('全量明细'!G297="","",'全量明细'!G297)</x:f>
        <x:v>0.18309999999999998</x:v>
      </x:c>
      <x:c r="F94" s="22" t="n">
        <x:f>IF('全量明细'!H297="","",'全量明细'!H297)</x:f>
        <x:v>0.2757</x:v>
      </x:c>
      <x:c r="G94" s="22" t="n">
        <x:f>IF('全量明细'!I297="","",'全量明细'!I297)</x:f>
        <x:v>0.34119999999999995</x:v>
      </x:c>
      <x:c r="H94" s="24" t="n">
        <x:f>IF('全量明细'!J297="","",'全量明细'!J297)</x:f>
        <x:v>-6.5499999999999945</x:v>
      </x:c>
      <x:c r="I94" s="27" t="n">
        <x:f>IF('全量明细'!E793="","",'全量明细'!E793)</x:f>
        <x:v>0.42630928</x:v>
      </x:c>
      <x:c r="J94" s="23" t="n">
        <x:f>IF('全量明细'!F793="","",'全量明细'!F793)</x:f>
        <x:v>1330</x:v>
      </x:c>
      <x:c r="K94" s="22" t="n">
        <x:f>IF('全量明细'!G793="","",'全量明细'!G793)</x:f>
        <x:v>0.3068</x:v>
      </x:c>
      <x:c r="L94" s="22" t="n">
        <x:f>IF('全量明细'!H793="","",'全量明细'!H793)</x:f>
        <x:v>0.4191</x:v>
      </x:c>
      <x:c r="M94" s="22" t="n">
        <x:f>IF('全量明细'!I793="","",'全量明细'!I793)</x:f>
        <x:v>0.42950000000000005</x:v>
      </x:c>
      <x:c r="N94" s="24" t="n">
        <x:f>IF('全量明细'!J793="","",'全量明细'!J793)</x:f>
        <x:v>-1.0400000000000076</x:v>
      </x:c>
      <x:c r="O94" s="24" t="n">
        <x:f>IF(AND(ISNUMBER(C94),ISNUMBER(I94)),(I94-C94)*100,"")</x:f>
        <x:v>9.710233000000008</x:v>
      </x:c>
      <x:c r="P94" s="31" t="str">
        <x:v>不同幕混合，勿直接解释为纯强度</x:v>
      </x:c>
    </x:row>
    <x:row r="95" ht="25" customHeight="1">
      <x:c r="A95" s="2" t="str">
        <x:v>达弗</x:v>
      </x:c>
      <x:c r="B95" s="2" t="str">
        <x:v>符文金字塔</x:v>
      </x:c>
      <x:c r="C95" s="28" t="n">
        <x:f>IF('全量明细'!E292="","",'全量明细'!E292)</x:f>
        <x:v>0.39291511999999995</x:v>
      </x:c>
      <x:c r="D95" s="12" t="n">
        <x:f>IF('全量明细'!F292="","",'全量明细'!F292)</x:f>
        <x:v>2059</x:v>
      </x:c>
      <x:c r="E95" s="11" t="n">
        <x:f>IF('全量明细'!G292="","",'全量明细'!G292)</x:f>
        <x:v>0.5352</x:v>
      </x:c>
      <x:c r="F95" s="11" t="n">
        <x:f>IF('全量明细'!H292="","",'全量明细'!H292)</x:f>
        <x:v>0.4664</x:v>
      </x:c>
      <x:c r="G95" s="11" t="n">
        <x:f>IF('全量明细'!I292="","",'全量明细'!I292)</x:f>
        <x:v>0.30829999999999996</x:v>
      </x:c>
      <x:c r="H95" s="14" t="n">
        <x:f>IF('全量明细'!J292="","",'全量明细'!J292)</x:f>
        <x:v>15.810000000000002</x:v>
      </x:c>
      <x:c r="I95" s="28" t="n">
        <x:f>IF('全量明细'!E788="","",'全量明细'!E788)</x:f>
        <x:v>0.47828572</x:v>
      </x:c>
      <x:c r="J95" s="12" t="n">
        <x:f>IF('全量明细'!F788="","",'全量明细'!F788)</x:f>
        <x:v>644</x:v>
      </x:c>
      <x:c r="K95" s="11" t="n">
        <x:f>IF('全量明细'!G788="","",'全量明细'!G788)</x:f>
        <x:v>0.6242</x:v>
      </x:c>
      <x:c r="L95" s="11" t="n">
        <x:f>IF('全量明细'!H788="","",'全量明细'!H788)</x:f>
        <x:v>0.5672</x:v>
      </x:c>
      <x:c r="M95" s="11" t="n">
        <x:f>IF('全量明细'!I788="","",'全量明细'!I788)</x:f>
        <x:v>0.3306</x:v>
      </x:c>
      <x:c r="N95" s="14" t="n">
        <x:f>IF('全量明细'!J788="","",'全量明细'!J788)</x:f>
        <x:v>23.660000000000004</x:v>
      </x:c>
      <x:c r="O95" s="14" t="n">
        <x:f>IF(AND(ISNUMBER(C95),ISNUMBER(I95)),(I95-C95)*100,"")</x:f>
        <x:v>8.537060000000007</x:v>
      </x:c>
      <x:c r="P95" s="17" t="str">
        <x:v>不同幕混合，勿直接解释为纯强度</x:v>
      </x:c>
    </x:row>
    <x:row r="96" ht="25" customHeight="1">
      <x:c r="A96" s="2" t="str">
        <x:v>达弗</x:v>
      </x:c>
      <x:c r="B96" s="2" t="str">
        <x:v>黑星</x:v>
      </x:c>
      <x:c r="C96" s="28" t="n">
        <x:f>IF('全量明细'!E299="","",'全量明细'!E299)</x:f>
        <x:v>0.31225638</x:v>
      </x:c>
      <x:c r="D96" s="12" t="n">
        <x:f>IF('全量明细'!F299="","",'全量明细'!F299)</x:f>
        <x:v>2085</x:v>
      </x:c>
      <x:c r="E96" s="11" t="n">
        <x:f>IF('全量明细'!G299="","",'全量明细'!G299)</x:f>
        <x:v>0.2206</x:v>
      </x:c>
      <x:c r="F96" s="11" t="n">
        <x:f>IF('全量明细'!H299="","",'全量明细'!H299)</x:f>
        <x:v>0.24780000000000002</x:v>
      </x:c>
      <x:c r="G96" s="11" t="n">
        <x:f>IF('全量明细'!I299="","",'全量明细'!I299)</x:f>
        <x:v>0.33049999999999996</x:v>
      </x:c>
      <x:c r="H96" s="14" t="n">
        <x:f>IF('全量明细'!J299="","",'全量明细'!J299)</x:f>
        <x:v>-8.269999999999994</x:v>
      </x:c>
      <x:c r="I96" s="28" t="n">
        <x:f>IF('全量明细'!E796="","",'全量明细'!E796)</x:f>
        <x:v>0.40416887</x:v>
      </x:c>
      <x:c r="J96" s="12" t="n">
        <x:f>IF('全量明细'!F796="","",'全量明细'!F796)</x:f>
        <x:v>668</x:v>
      </x:c>
      <x:c r="K96" s="11" t="n">
        <x:f>IF('全量明细'!G796="","",'全量明细'!G796)</x:f>
        <x:v>0.2829</x:v>
      </x:c>
      <x:c r="L96" s="11" t="n">
        <x:f>IF('全量明细'!H796="","",'全量明细'!H796)</x:f>
        <x:v>0.3757</x:v>
      </x:c>
      <x:c r="M96" s="11" t="n">
        <x:f>IF('全量明细'!I796="","",'全量明细'!I796)</x:f>
        <x:v>0.4154</x:v>
      </x:c>
      <x:c r="N96" s="14" t="n">
        <x:f>IF('全量明细'!J796="","",'全量明细'!J796)</x:f>
        <x:v>-3.9700000000000015</x:v>
      </x:c>
      <x:c r="O96" s="14" t="n">
        <x:f>IF(AND(ISNUMBER(C96),ISNUMBER(I96)),(I96-C96)*100,"")</x:f>
        <x:v>9.191249000000001</x:v>
      </x:c>
      <x:c r="P96" s="17" t="str">
        <x:v>不同幕混合，勿直接解释为纯强度</x:v>
      </x:c>
    </x:row>
    <x:row r="97" ht="25" customHeight="1">
      <x:c r="A97" s="2" t="str">
        <x:v>达弗</x:v>
      </x:c>
      <x:c r="B97" s="2" t="str">
        <x:v>空鸟笼</x:v>
      </x:c>
      <x:c r="C97" s="28" t="n">
        <x:f>IF('全量明细'!E296="","",'全量明细'!E296)</x:f>
        <x:v>0.34648204000000005</x:v>
      </x:c>
      <x:c r="D97" s="12" t="n">
        <x:f>IF('全量明细'!F296="","",'全量明细'!F296)</x:f>
        <x:v>2136</x:v>
      </x:c>
      <x:c r="E97" s="11" t="n">
        <x:f>IF('全量明细'!G296="","",'全量明细'!G296)</x:f>
        <x:v>0.45740000000000003</x:v>
      </x:c>
      <x:c r="F97" s="11" t="n">
        <x:f>IF('全量明细'!H296="","",'全量明细'!H296)</x:f>
        <x:v>0.33270000000000005</x:v>
      </x:c>
      <x:c r="G97" s="11" t="n">
        <x:f>IF('全量明细'!I296="","",'全量明细'!I296)</x:f>
        <x:v>0.35810000000000003</x:v>
      </x:c>
      <x:c r="H97" s="14" t="n">
        <x:f>IF('全量明细'!J296="","",'全量明细'!J296)</x:f>
        <x:v>-2.539999999999998</x:v>
      </x:c>
      <x:c r="I97" s="28" t="n">
        <x:f>IF('全量明细'!E795="","",'全量明细'!E795)</x:f>
        <x:v>0.41457354</x:v>
      </x:c>
      <x:c r="J97" s="12" t="n">
        <x:f>IF('全量明细'!F795="","",'全量明细'!F795)</x:f>
        <x:v>632</x:v>
      </x:c>
      <x:c r="K97" s="11" t="n">
        <x:f>IF('全量明细'!G795="","",'全量明细'!G795)</x:f>
        <x:v>0.4778</x:v>
      </x:c>
      <x:c r="L97" s="11" t="n">
        <x:f>IF('全量明细'!H795="","",'全量明细'!H795)</x:f>
        <x:v>0.3411</x:v>
      </x:c>
      <x:c r="M97" s="11" t="n">
        <x:f>IF('全量明细'!I795="","",'全量明细'!I795)</x:f>
        <x:v>0.4818</x:v>
      </x:c>
      <x:c r="N97" s="14" t="n">
        <x:f>IF('全量明细'!J795="","",'全量明细'!J795)</x:f>
        <x:v>-14.069999999999999</x:v>
      </x:c>
      <x:c r="O97" s="14" t="n">
        <x:f>IF(AND(ISNUMBER(C97),ISNUMBER(I97)),(I97-C97)*100,"")</x:f>
        <x:v>6.809149999999997</x:v>
      </x:c>
      <x:c r="P97" s="17" t="str">
        <x:v>不同幕混合，勿直接解释为纯强度</x:v>
      </x:c>
    </x:row>
    <x:row r="98" ht="25" customHeight="1">
      <x:c r="A98" s="2" t="str">
        <x:v>达弗</x:v>
      </x:c>
      <x:c r="B98" s="2" t="str">
        <x:v>灵体外质</x:v>
      </x:c>
      <x:c r="C98" s="28" t="n">
        <x:f>IF('全量明细'!E300="","",'全量明细'!E300)</x:f>
        <x:v>0.29010715</x:v>
      </x:c>
      <x:c r="D98" s="12" t="n">
        <x:f>IF('全量明细'!F300="","",'全量明细'!F300)</x:f>
        <x:v>817</x:v>
      </x:c>
      <x:c r="E98" s="11" t="n">
        <x:f>IF('全量明细'!G300="","",'全量明细'!G300)</x:f>
        <x:v>0.0747</x:v>
      </x:c>
      <x:c r="F98" s="11" t="n">
        <x:f>IF('全量明细'!H300="","",'全量明细'!H300)</x:f>
        <x:v>0.22949999999999998</x:v>
      </x:c>
      <x:c r="G98" s="11" t="n">
        <x:f>IF('全量明细'!I300="","",'全量明细'!I300)</x:f>
        <x:v>0.295</x:v>
      </x:c>
      <x:c r="H98" s="14" t="n">
        <x:f>IF('全量明细'!J300="","",'全量明细'!J300)</x:f>
        <x:v>-6.550000000000001</x:v>
      </x:c>
      <x:c r="I98" s="28" t="n">
        <x:f>IF('全量明细'!E798="","",'全量明细'!E798)</x:f>
        <x:v>0.36710000000000004</x:v>
      </x:c>
      <x:c r="J98" s="12" t="n">
        <x:f>IF('全量明细'!F798="","",'全量明细'!F798)</x:f>
        <x:v>425</x:v>
      </x:c>
      <x:c r="K98" s="11" t="n">
        <x:f>IF('全量明细'!G798="","",'全量明细'!G798)</x:f>
        <x:v>0.08</x:v>
      </x:c>
      <x:c r="L98" s="11" t="n">
        <x:f>IF('全量明细'!H798="","",'全量明细'!H798)</x:f>
        <x:v>0.4706</x:v>
      </x:c>
      <x:c r="M98" s="11" t="n">
        <x:f>IF('全量明细'!I798="","",'全量明细'!I798)</x:f>
        <x:v>0.35810000000000003</x:v>
      </x:c>
      <x:c r="N98" s="14" t="n">
        <x:f>IF('全量明细'!J798="","",'全量明细'!J798)</x:f>
        <x:v>11.249999999999998</x:v>
      </x:c>
      <x:c r="O98" s="14" t="n">
        <x:f>IF(AND(ISNUMBER(C98),ISNUMBER(I98)),(I98-C98)*100,"")</x:f>
        <x:v>7.699285000000006</x:v>
      </x:c>
      <x:c r="P98" s="17" t="str">
        <x:v>不同幕混合，勿直接解释为纯强度</x:v>
      </x:c>
    </x:row>
    <x:row r="99" ht="25" customHeight="1">
      <x:c r="A99" s="2" t="str">
        <x:v>达弗</x:v>
      </x:c>
      <x:c r="B99" s="2" t="str">
        <x:v>潘多拉魔盒</x:v>
      </x:c>
      <x:c r="C99" s="28" t="n">
        <x:f>IF('全量明细'!E293="","",'全量明细'!E293)</x:f>
        <x:v>0.3730962</x:v>
      </x:c>
      <x:c r="D99" s="12" t="n">
        <x:f>IF('全量明细'!F293="","",'全量明细'!F293)</x:f>
        <x:v>2045</x:v>
      </x:c>
      <x:c r="E99" s="11" t="n">
        <x:f>IF('全量明细'!G293="","",'全量明细'!G293)</x:f>
        <x:v>0.5609000000000001</x:v>
      </x:c>
      <x:c r="F99" s="11" t="n">
        <x:f>IF('全量明细'!H293="","",'全量明细'!H293)</x:f>
        <x:v>0.381</x:v>
      </x:c>
      <x:c r="G99" s="11" t="n">
        <x:f>IF('全量明细'!I293="","",'全量明细'!I293)</x:f>
        <x:v>0.363</x:v>
      </x:c>
      <x:c r="H99" s="14" t="n">
        <x:f>IF('全量明细'!J293="","",'全量明细'!J293)</x:f>
        <x:v>1.8000000000000016</x:v>
      </x:c>
      <x:c r="I99" s="28" t="n">
        <x:f>IF('全量明细'!E790="","",'全量明细'!E790)</x:f>
        <x:v>0.44876842</x:v>
      </x:c>
      <x:c r="J99" s="12" t="n">
        <x:f>IF('全量明细'!F790="","",'全量明细'!F790)</x:f>
        <x:v>644</x:v>
      </x:c>
      <x:c r="K99" s="11" t="n">
        <x:f>IF('全量明细'!G790="","",'全量明细'!G790)</x:f>
        <x:v>0.5326</x:v>
      </x:c>
      <x:c r="L99" s="11" t="n">
        <x:f>IF('全量明细'!H790="","",'全量明细'!H790)</x:f>
        <x:v>0.45189999999999997</x:v>
      </x:c>
      <x:c r="M99" s="11" t="n">
        <x:f>IF('全量明细'!I790="","",'全量明细'!I790)</x:f>
        <x:v>0.44520000000000004</x:v>
      </x:c>
      <x:c r="N99" s="14" t="n">
        <x:f>IF('全量明细'!J790="","",'全量明细'!J790)</x:f>
        <x:v>0.6699999999999928</x:v>
      </x:c>
      <x:c r="O99" s="14" t="n">
        <x:f>IF(AND(ISNUMBER(C99),ISNUMBER(I99)),(I99-C99)*100,"")</x:f>
        <x:v>7.567222000000001</x:v>
      </x:c>
      <x:c r="P99" s="17" t="str">
        <x:v>不同幕混合，勿直接解释为纯强度</x:v>
      </x:c>
    </x:row>
    <x:row r="100" ht="25" customHeight="1">
      <x:c r="A100" s="2" t="str">
        <x:v>达弗</x:v>
      </x:c>
      <x:c r="B100" s="2" t="str">
        <x:v>天鹅绒颈圈</x:v>
      </x:c>
      <x:c r="C100" s="28" t="n">
        <x:f>IF('全量明细'!E291="","",'全量明细'!E291)</x:f>
        <x:v>0.46662649999999994</x:v>
      </x:c>
      <x:c r="D100" s="12" t="n">
        <x:f>IF('全量明细'!F291="","",'全量明细'!F291)</x:f>
        <x:v>255</x:v>
      </x:c>
      <x:c r="E100" s="11" t="n">
        <x:f>IF('全量明细'!G291="","",'全量明细'!G291)</x:f>
        <x:v>0.051</x:v>
      </x:c>
      <x:c r="F100" s="11" t="n">
        <x:f>IF('全量明细'!H291="","",'全量明细'!H291)</x:f>
        <x:v>0.23079999999999998</x:v>
      </x:c>
      <x:c r="G100" s="11" t="n">
        <x:f>IF('全量明细'!I291="","",'全量明细'!I291)</x:f>
        <x:v>0.4793</x:v>
      </x:c>
      <x:c r="H100" s="14" t="n">
        <x:f>IF('全量明细'!J291="","",'全量明细'!J291)</x:f>
        <x:v>-24.85</x:v>
      </x:c>
      <x:c r="I100" s="28" t="n">
        <x:f>IF('全量明细'!E792="","",'全量明细'!E792)</x:f>
        <x:v>0.43019734000000004</x:v>
      </x:c>
      <x:c r="J100" s="12" t="n">
        <x:f>IF('全量明细'!F792="","",'全量明细'!F792)</x:f>
        <x:v>609</x:v>
      </x:c>
      <x:c r="K100" s="11" t="n">
        <x:f>IF('全量明细'!G792="","",'全量明细'!G792)</x:f>
        <x:v>0.0509</x:v>
      </x:c>
      <x:c r="L100" s="11" t="n">
        <x:f>IF('全量明细'!H792="","",'全量明细'!H792)</x:f>
        <x:v>0.2903</x:v>
      </x:c>
      <x:c r="M100" s="11" t="n">
        <x:f>IF('全量明细'!I792="","",'全量明细'!I792)</x:f>
        <x:v>0.43770000000000003</x:v>
      </x:c>
      <x:c r="N100" s="14" t="n">
        <x:f>IF('全量明细'!J792="","",'全量明细'!J792)</x:f>
        <x:v>-14.740000000000004</x:v>
      </x:c>
      <x:c r="O100" s="14" t="n">
        <x:f>IF(AND(ISNUMBER(C100),ISNUMBER(I100)),(I100-C100)*100,"")</x:f>
        <x:v>-3.6429159999999907</x:v>
      </x:c>
      <x:c r="P100" s="17" t="str">
        <x:v>不同幕混合，勿直接解释为纯强度</x:v>
      </x:c>
    </x:row>
    <x:row r="101" ht="25" customHeight="1">
      <x:c r="A101" s="2" t="str">
        <x:v>达弗</x:v>
      </x:c>
      <x:c r="B101" s="2" t="str">
        <x:v>添水</x:v>
      </x:c>
      <x:c r="C101" s="28" t="n">
        <x:f>IF('全量明细'!E301="","",'全量明细'!E301)</x:f>
        <x:v>0.27517075</x:v>
      </x:c>
      <x:c r="D101" s="12" t="n">
        <x:f>IF('全量明细'!F301="","",'全量明细'!F301)</x:f>
        <x:v>865</x:v>
      </x:c>
      <x:c r="E101" s="11" t="n">
        <x:f>IF('全量明细'!G301="","",'全量明细'!G301)</x:f>
        <x:v>0.1295</x:v>
      </x:c>
      <x:c r="F101" s="11" t="n">
        <x:f>IF('全量明细'!H301="","",'全量明细'!H301)</x:f>
        <x:v>0.1607</x:v>
      </x:c>
      <x:c r="G101" s="11" t="n">
        <x:f>IF('全量明细'!I301="","",'全量明细'!I301)</x:f>
        <x:v>0.2922</x:v>
      </x:c>
      <x:c r="H101" s="14" t="n">
        <x:f>IF('全量明细'!J301="","",'全量明细'!J301)</x:f>
        <x:v>-13.15</x:v>
      </x:c>
      <x:c r="I101" s="28" t="n">
        <x:f>IF('全量明细'!E799="","",'全量明细'!E799)</x:f>
        <x:v>0.34487577999999997</x:v>
      </x:c>
      <x:c r="J101" s="12" t="n">
        <x:f>IF('全量明细'!F799="","",'全量明细'!F799)</x:f>
        <x:v>490</x:v>
      </x:c>
      <x:c r="K101" s="11" t="n">
        <x:f>IF('全量明细'!G799="","",'全量明细'!G799)</x:f>
        <x:v>0.1469</x:v>
      </x:c>
      <x:c r="L101" s="11" t="n">
        <x:f>IF('全量明细'!H799="","",'全量明细'!H799)</x:f>
        <x:v>0.22219999999999998</x:v>
      </x:c>
      <x:c r="M101" s="11" t="n">
        <x:f>IF('全量明细'!I799="","",'全量明细'!I799)</x:f>
        <x:v>0.366</x:v>
      </x:c>
      <x:c r="N101" s="14" t="n">
        <x:f>IF('全量明细'!J799="","",'全量明细'!J799)</x:f>
        <x:v>-14.38</x:v>
      </x:c>
      <x:c r="O101" s="14" t="n">
        <x:f>IF(AND(ISNUMBER(C101),ISNUMBER(I101)),(I101-C101)*100,"")</x:f>
        <x:v>6.970502999999995</x:v>
      </x:c>
      <x:c r="P101" s="17" t="str">
        <x:v>不同幕混合，勿直接解释为纯强度</x:v>
      </x:c>
    </x:row>
    <x:row r="102" ht="25" customHeight="1">
      <x:c r="A102" s="2" t="str">
        <x:v>达弗</x:v>
      </x:c>
      <x:c r="B102" s="2" t="str">
        <x:v>贤者之石</x:v>
      </x:c>
      <x:c r="C102" s="28" t="n">
        <x:f>IF('全量明细'!E290="","",'全量明细'!E290)</x:f>
        <x:v>0.4669531</x:v>
      </x:c>
      <x:c r="D102" s="12" t="n">
        <x:f>IF('全量明细'!F290="","",'全量明细'!F290)</x:f>
        <x:v>227</x:v>
      </x:c>
      <x:c r="E102" s="11" t="n">
        <x:f>IF('全量明细'!G290="","",'全量明细'!G290)</x:f>
        <x:v>0.2907</x:v>
      </x:c>
      <x:c r="F102" s="11" t="n">
        <x:f>IF('全量明细'!H290="","",'全量明细'!H290)</x:f>
        <x:v>0.34850000000000003</x:v>
      </x:c>
      <x:c r="G102" s="11" t="n">
        <x:f>IF('全量明细'!I290="","",'全量明细'!I290)</x:f>
        <x:v>0.5155</x:v>
      </x:c>
      <x:c r="H102" s="14" t="n">
        <x:f>IF('全量明细'!J290="","",'全量明细'!J290)</x:f>
        <x:v>-16.699999999999992</x:v>
      </x:c>
      <x:c r="I102" s="28" t="n">
        <x:f>IF('全量明细'!E791="","",'全量明细'!E791)</x:f>
        <x:v>0.43259156000000004</x:v>
      </x:c>
      <x:c r="J102" s="12" t="n">
        <x:f>IF('全量明细'!F791="","",'全量明细'!F791)</x:f>
        <x:v>675</x:v>
      </x:c>
      <x:c r="K102" s="11" t="n">
        <x:f>IF('全量明细'!G791="","",'全量明细'!G791)</x:f>
        <x:v>0.3007</x:v>
      </x:c>
      <x:c r="L102" s="11" t="n">
        <x:f>IF('全量明细'!H791="","",'全量明细'!H791)</x:f>
        <x:v>0.38420000000000004</x:v>
      </x:c>
      <x:c r="M102" s="11" t="n">
        <x:f>IF('全量明细'!I791="","",'全量明细'!I791)</x:f>
        <x:v>0.4534</x:v>
      </x:c>
      <x:c r="N102" s="14" t="n">
        <x:f>IF('全量明细'!J791="","",'全量明细'!J791)</x:f>
        <x:v>-6.919999999999998</x:v>
      </x:c>
      <x:c r="O102" s="14" t="n">
        <x:f>IF(AND(ISNUMBER(C102),ISNUMBER(I102)),(I102-C102)*100,"")</x:f>
        <x:v>-3.4361539999999966</x:v>
      </x:c>
      <x:c r="P102" s="17" t="str">
        <x:v>不同幕混合，勿直接解释为纯强度</x:v>
      </x:c>
    </x:row>
    <x:row r="103" ht="25" customHeight="1">
      <x:c r="A103" s="2" t="str">
        <x:v>达弗</x:v>
      </x:c>
      <x:c r="B103" s="2" t="str">
        <x:v>星盘</x:v>
      </x:c>
      <x:c r="C103" s="28" t="n">
        <x:f>IF('全量明细'!E294="","",'全量明细'!E294)</x:f>
        <x:v>0.36258289</x:v>
      </x:c>
      <x:c r="D103" s="12" t="n">
        <x:f>IF('全量明细'!F294="","",'全量明细'!F294)</x:f>
        <x:v>2005</x:v>
      </x:c>
      <x:c r="E103" s="11" t="n">
        <x:f>IF('全量明细'!G294="","",'全量明细'!G294)</x:f>
        <x:v>0.6803</x:v>
      </x:c>
      <x:c r="F103" s="11" t="n">
        <x:f>IF('全量明细'!H294="","",'全量明细'!H294)</x:f>
        <x:v>0.3614</x:v>
      </x:c>
      <x:c r="G103" s="11" t="n">
        <x:f>IF('全量明细'!I294="","",'全量明细'!I294)</x:f>
        <x:v>0.3651</x:v>
      </x:c>
      <x:c r="H103" s="14" t="n">
        <x:f>IF('全量明细'!J294="","",'全量明细'!J294)</x:f>
        <x:v>-0.3699999999999981</x:v>
      </x:c>
      <x:c r="I103" s="28" t="n">
        <x:f>IF('全量明细'!E789="","",'全量明细'!E789)</x:f>
        <x:v>0.46409133999999996</x:v>
      </x:c>
      <x:c r="J103" s="12" t="n">
        <x:f>IF('全量明细'!F789="","",'全量明细'!F789)</x:f>
        <x:v>640</x:v>
      </x:c>
      <x:c r="K103" s="11" t="n">
        <x:f>IF('全量明细'!G789="","",'全量明细'!G789)</x:f>
        <x:v>0.6640999999999999</x:v>
      </x:c>
      <x:c r="L103" s="11" t="n">
        <x:f>IF('全量明细'!H789="","",'全量明细'!H789)</x:f>
        <x:v>0.45649999999999996</x:v>
      </x:c>
      <x:c r="M103" s="11" t="n">
        <x:f>IF('全量明细'!I789="","",'全量明细'!I789)</x:f>
        <x:v>0.47909999999999997</x:v>
      </x:c>
      <x:c r="N103" s="14" t="n">
        <x:f>IF('全量明细'!J789="","",'全量明细'!J789)</x:f>
        <x:v>-2.2600000000000007</x:v>
      </x:c>
      <x:c r="O103" s="14" t="n">
        <x:f>IF(AND(ISNUMBER(C103),ISNUMBER(I103)),(I103-C103)*100,"")</x:f>
        <x:v>10.150844999999997</x:v>
      </x:c>
      <x:c r="P103" s="17" t="str">
        <x:v>不同幕混合，勿直接解释为纯强度</x:v>
      </x:c>
    </x:row>
    <x:row r="104" ht="25" customHeight="1">
      <x:c r="A104" s="2" t="str">
        <x:v>达弗</x:v>
      </x:c>
      <x:c r="B104" s="2" t="str">
        <x:v>异蛇之眼</x:v>
      </x:c>
      <x:c r="C104" s="28" t="n">
        <x:f>IF('全量明细'!E295="","",'全量明细'!E295)</x:f>
        <x:v>0.35420734</x:v>
      </x:c>
      <x:c r="D104" s="12" t="n">
        <x:f>IF('全量明细'!F295="","",'全量明细'!F295)</x:f>
        <x:v>2041</x:v>
      </x:c>
      <x:c r="E104" s="11" t="n">
        <x:f>IF('全量明细'!G295="","",'全量明细'!G295)</x:f>
        <x:v>0.0279</x:v>
      </x:c>
      <x:c r="F104" s="11" t="n">
        <x:f>IF('全量明细'!H295="","",'全量明细'!H295)</x:f>
        <x:v>0.36840000000000006</x:v>
      </x:c>
      <x:c r="G104" s="11" t="n">
        <x:f>IF('全量明细'!I295="","",'全量明细'!I295)</x:f>
        <x:v>0.3538</x:v>
      </x:c>
      <x:c r="H104" s="14" t="n">
        <x:f>IF('全量明细'!J295="","",'全量明细'!J295)</x:f>
        <x:v>1.4600000000000057</x:v>
      </x:c>
      <x:c r="I104" s="28" t="n">
        <x:f>IF('全量明细'!E794="","",'全量明细'!E794)</x:f>
        <x:v>0.42536767999999997</x:v>
      </x:c>
      <x:c r="J104" s="12" t="n">
        <x:f>IF('全量明细'!F794="","",'全量明细'!F794)</x:f>
        <x:v>623</x:v>
      </x:c>
      <x:c r="K104" s="11" t="n">
        <x:f>IF('全量明细'!G794="","",'全量明细'!G794)</x:f>
        <x:v>0.049800000000000004</x:v>
      </x:c>
      <x:c r="L104" s="11" t="n">
        <x:f>IF('全量明细'!H794="","",'全量明细'!H794)</x:f>
        <x:v>0.4839</x:v>
      </x:c>
      <x:c r="M104" s="11" t="n">
        <x:f>IF('全量明细'!I794="","",'全量明细'!I794)</x:f>
        <x:v>0.42229999999999995</x:v>
      </x:c>
      <x:c r="N104" s="14" t="n">
        <x:f>IF('全量明细'!J794="","",'全量明细'!J794)</x:f>
        <x:v>6.160000000000005</x:v>
      </x:c>
      <x:c r="O104" s="14" t="n">
        <x:f>IF(AND(ISNUMBER(C104),ISNUMBER(I104)),(I104-C104)*100,"")</x:f>
        <x:v>7.116033999999999</x:v>
      </x:c>
      <x:c r="P104" s="17" t="str">
        <x:v>不同幕混合，勿直接解释为纯强度</x:v>
      </x:c>
    </x:row>
    <x:row r="105" ht="25" customHeight="1">
      <x:c r="A105" s="2" t="str">
        <x:v>达弗</x:v>
      </x:c>
      <x:c r="B105" s="2" t="str">
        <x:v>召唤铃铛</x:v>
      </x:c>
      <x:c r="C105" s="28" t="n">
        <x:f>IF('全量明细'!E298="","",'全量明细'!E298)</x:f>
        <x:v>0.32403891</x:v>
      </x:c>
      <x:c r="D105" s="12" t="n">
        <x:f>IF('全量明细'!F298="","",'全量明细'!F298)</x:f>
        <x:v>2083</x:v>
      </x:c>
      <x:c r="E105" s="11" t="n">
        <x:f>IF('全量明细'!G298="","",'全量明细'!G298)</x:f>
        <x:v>0.3169</x:v>
      </x:c>
      <x:c r="F105" s="11" t="n">
        <x:f>IF('全量明细'!H298="","",'全量明细'!H298)</x:f>
        <x:v>0.2379</x:v>
      </x:c>
      <x:c r="G105" s="11" t="n">
        <x:f>IF('全量明细'!I298="","",'全量明细'!I298)</x:f>
        <x:v>0.364</x:v>
      </x:c>
      <x:c r="H105" s="14" t="n">
        <x:f>IF('全量明细'!J298="","",'全量明细'!J298)</x:f>
        <x:v>-12.61</x:v>
      </x:c>
      <x:c r="I105" s="28" t="n">
        <x:f>IF('全量明细'!E797="","",'全量明细'!E797)</x:f>
        <x:v>0.3940393</x:v>
      </x:c>
      <x:c r="J105" s="12" t="n">
        <x:f>IF('全量明细'!F797="","",'全量明细'!F797)</x:f>
        <x:v>642</x:v>
      </x:c>
      <x:c r="K105" s="11" t="n">
        <x:f>IF('全量明细'!G797="","",'全量明细'!G797)</x:f>
        <x:v>0.3505</x:v>
      </x:c>
      <x:c r="L105" s="11" t="n">
        <x:f>IF('全量明细'!H797="","",'全量明细'!H797)</x:f>
        <x:v>0.30219999999999997</x:v>
      </x:c>
      <x:c r="M105" s="11" t="n">
        <x:f>IF('全量明细'!I797="","",'全量明细'!I797)</x:f>
        <x:v>0.4436</x:v>
      </x:c>
      <x:c r="N105" s="14" t="n">
        <x:f>IF('全量明细'!J797="","",'全量明细'!J797)</x:f>
        <x:v>-14.140000000000002</x:v>
      </x:c>
      <x:c r="O105" s="14" t="n">
        <x:f>IF(AND(ISNUMBER(C105),ISNUMBER(I105)),(I105-C105)*100,"")</x:f>
        <x:v>7.000038999999997</x:v>
      </x:c>
      <x:c r="P105" s="17" t="str">
        <x:v>不同幕混合，勿直接解释为纯强度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b345505360f4052"/>
  </x:tableParts>
</x:worksheet>
</file>

<file path=xl/worksheets/sheet6.xml><?xml version="1.0" encoding="utf-8"?>
<x:worksheet xmlns:x="http://schemas.openxmlformats.org/spreadsheetml/2006/main">
  <x:sheetPr>
    <x:tabColor rgb="FF087F8C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  <x:col min="8" max="8" width="17" hidden="0" customWidth="1"/>
    <x:col min="9" max="9" width="15" hidden="0" customWidth="1"/>
    <x:col min="10" max="10" width="15" hidden="0" customWidth="1"/>
    <x:col min="11" max="11" width="14" hidden="0" customWidth="1"/>
    <x:col min="12" max="12" width="16" hidden="0" customWidth="1"/>
    <x:col min="13" max="13" width="16" hidden="0" customWidth="1"/>
    <x:col min="14" max="14" width="17" hidden="0" customWidth="1"/>
    <x:col min="15" max="15" width="21" hidden="0" customWidth="1"/>
    <x:col min="16" max="16" width="55" hidden="0" customWidth="1"/>
  </x:cols>
  <x:sheetData>
    <x:row r="1" ht="43" customHeight="1">
      <x:c r="A1" s="4" t="str">
        <x:v>亡灵契约师 · 两版对照 / 按先古之民分组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5" customHeight="1">
      <x:c r="A2" s="6" t="str">
        <x:v>每个版本保留出现胜率、出现次数、选取率、选择/跳过后胜率和选跳差。空白表示该筛选下未显示记录；不按零值处理。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56" customHeight="1">
      <x:c r="A4" s="8" t="str">
        <x:v>先古之民</x:v>
      </x:c>
      <x:c r="B4" s="8" t="str">
        <x:v>遗物</x:v>
      </x:c>
      <x:c r="C4" s="29" t="str">
        <x:v>0.107
出现胜率</x:v>
      </x:c>
      <x:c r="D4" s="29" t="str">
        <x:v>0.107
出现次数</x:v>
      </x:c>
      <x:c r="E4" s="29" t="str">
        <x:v>0.107
选取率</x:v>
      </x:c>
      <x:c r="F4" s="29" t="str">
        <x:v>0.107
选择后胜率</x:v>
      </x:c>
      <x:c r="G4" s="29" t="str">
        <x:v>0.107
跳过后胜率</x:v>
      </x:c>
      <x:c r="H4" s="29" t="str">
        <x:v>0.107
选跳差(pp)</x:v>
      </x:c>
      <x:c r="I4" s="30" t="str">
        <x:v>0.111
出现胜率</x:v>
      </x:c>
      <x:c r="J4" s="30" t="str">
        <x:v>0.111
出现次数</x:v>
      </x:c>
      <x:c r="K4" s="30" t="str">
        <x:v>0.111
选取率</x:v>
      </x:c>
      <x:c r="L4" s="30" t="str">
        <x:v>0.111
选择后胜率</x:v>
      </x:c>
      <x:c r="M4" s="30" t="str">
        <x:v>0.111
跳过后胜率</x:v>
      </x:c>
      <x:c r="N4" s="30" t="str">
        <x:v>0.111
选跳差(pp)</x:v>
      </x:c>
      <x:c r="O4" s="8" t="str">
        <x:v>出现胜率变化
0.111−0.107(pp)</x:v>
      </x:c>
      <x:c r="P4" s="8" t="str">
        <x:v>备注</x:v>
      </x:c>
    </x:row>
    <x:row r="5" ht="25" customHeight="1">
      <x:c r="A5" s="20" t="str">
        <x:v>涅奥</x:v>
      </x:c>
      <x:c r="B5" s="20" t="str">
        <x:v>奥术卷轴</x:v>
      </x:c>
      <x:c r="C5" s="27" t="n">
        <x:f>IF('全量明细'!E304="","",'全量明细'!E304)</x:f>
        <x:v>0.19273212</x:v>
      </x:c>
      <x:c r="D5" s="23" t="n">
        <x:f>IF('全量明细'!F304="","",'全量明细'!F304)</x:f>
        <x:v>5677</x:v>
      </x:c>
      <x:c r="E5" s="22" t="n">
        <x:f>IF('全量明细'!G304="","",'全量明细'!G304)</x:f>
        <x:v>0.5092</x:v>
      </x:c>
      <x:c r="F5" s="22" t="n">
        <x:f>IF('全量明细'!H304="","",'全量明细'!H304)</x:f>
        <x:v>0.1491</x:v>
      </x:c>
      <x:c r="G5" s="22" t="n">
        <x:f>IF('全量明细'!I304="","",'全量明细'!I304)</x:f>
        <x:v>0.23800000000000002</x:v>
      </x:c>
      <x:c r="H5" s="24" t="n">
        <x:f>IF('全量明细'!J304="","",'全量明细'!J304)</x:f>
        <x:v>-8.89</x:v>
      </x:c>
      <x:c r="I5" s="27" t="n">
        <x:f>IF('全量明细'!E812="","",'全量明细'!E812)</x:f>
        <x:v>0.26380719999999996</x:v>
      </x:c>
      <x:c r="J5" s="23" t="n">
        <x:f>IF('全量明细'!F812="","",'全量明细'!F812)</x:f>
        <x:v>2547</x:v>
      </x:c>
      <x:c r="K5" s="22" t="n">
        <x:f>IF('全量明细'!G812="","",'全量明细'!G812)</x:f>
        <x:v>0.5434</x:v>
      </x:c>
      <x:c r="L5" s="22" t="n">
        <x:f>IF('全量明细'!H812="","",'全量明细'!H812)</x:f>
        <x:v>0.2218</x:v>
      </x:c>
      <x:c r="M5" s="22" t="n">
        <x:f>IF('全量明细'!I812="","",'全量明细'!I812)</x:f>
        <x:v>0.31379999999999997</x:v>
      </x:c>
      <x:c r="N5" s="24" t="n">
        <x:f>IF('全量明细'!J812="","",'全量明细'!J812)</x:f>
        <x:v>-9.199999999999998</x:v>
      </x:c>
      <x:c r="O5" s="24" t="n">
        <x:f>IF(AND(ISNUMBER(C5),ISNUMBER(I5)),(I5-C5)*100,"")</x:f>
        <x:v>7.107507999999996</x:v>
      </x:c>
      <x:c r="P5" s="31" t="str"/>
    </x:row>
    <x:row r="6" ht="25" customHeight="1">
      <x:c r="A6" s="2" t="str">
        <x:v>涅奥</x:v>
      </x:c>
      <x:c r="B6" s="2" t="str">
        <x:v>白银熔炉</x:v>
      </x:c>
      <x:c r="C6" s="28" t="n">
        <x:f>IF('全量明细'!E318="","",'全量明细'!E318)</x:f>
        <x:v>0.17928606</x:v>
      </x:c>
      <x:c r="D6" s="12" t="n">
        <x:f>IF('全量明细'!F318="","",'全量明细'!F318)</x:f>
        <x:v>6603</x:v>
      </x:c>
      <x:c r="E6" s="11" t="n">
        <x:f>IF('全量明细'!G318="","",'全量明细'!G318)</x:f>
        <x:v>0.6806</x:v>
      </x:c>
      <x:c r="F6" s="11" t="n">
        <x:f>IF('全量明细'!H318="","",'全量明细'!H318)</x:f>
        <x:v>0.1889</x:v>
      </x:c>
      <x:c r="G6" s="11" t="n">
        <x:f>IF('全量明细'!I318="","",'全量明细'!I318)</x:f>
        <x:v>0.1588</x:v>
      </x:c>
      <x:c r="H6" s="14" t="n">
        <x:f>IF('全量明细'!J318="","",'全量明细'!J318)</x:f>
        <x:v>3.0100000000000016</x:v>
      </x:c>
      <x:c r="I6" s="28" t="n">
        <x:f>IF('全量明细'!E814="","",'全量明细'!E814)</x:f>
        <x:v>0.25842423999999997</x:v>
      </x:c>
      <x:c r="J6" s="12" t="n">
        <x:f>IF('全量明细'!F814="","",'全量明细'!F814)</x:f>
        <x:v>2221</x:v>
      </x:c>
      <x:c r="K6" s="11" t="n">
        <x:f>IF('全量明细'!G814="","",'全量明细'!G814)</x:f>
        <x:v>0.6808</x:v>
      </x:c>
      <x:c r="L6" s="11" t="n">
        <x:f>IF('全量明细'!H814="","",'全量明细'!H814)</x:f>
        <x:v>0.26649999999999996</x:v>
      </x:c>
      <x:c r="M6" s="11" t="n">
        <x:f>IF('全量明细'!I814="","",'全量明细'!I814)</x:f>
        <x:v>0.2412</x:v>
      </x:c>
      <x:c r="N6" s="14" t="n">
        <x:f>IF('全量明细'!J814="","",'全量明细'!J814)</x:f>
        <x:v>2.5299999999999963</x:v>
      </x:c>
      <x:c r="O6" s="14" t="n">
        <x:f>IF(AND(ISNUMBER(C6),ISNUMBER(I6)),(I6-C6)*100,"")</x:f>
        <x:v>7.913817999999997</x:v>
      </x:c>
      <x:c r="P6" s="17" t="str"/>
    </x:row>
    <x:row r="7" ht="25" customHeight="1">
      <x:c r="A7" s="2" t="str">
        <x:v>涅奥</x:v>
      </x:c>
      <x:c r="B7" s="2" t="str">
        <x:v>沉重石板</x:v>
      </x:c>
      <x:c r="C7" s="28" t="n">
        <x:f>IF('全量明细'!E329="","",'全量明细'!E329)</x:f>
        <x:v>0.16735382</x:v>
      </x:c>
      <x:c r="D7" s="12" t="n">
        <x:f>IF('全量明细'!F329="","",'全量明细'!F329)</x:f>
        <x:v>6418</x:v>
      </x:c>
      <x:c r="E7" s="11" t="n">
        <x:f>IF('全量明细'!G329="","",'全量明细'!G329)</x:f>
        <x:v>0.6206</x:v>
      </x:c>
      <x:c r="F7" s="11" t="n">
        <x:f>IF('全量明细'!H329="","",'全量明细'!H329)</x:f>
        <x:v>0.1293</x:v>
      </x:c>
      <x:c r="G7" s="11" t="n">
        <x:f>IF('全量明细'!I329="","",'全量明细'!I329)</x:f>
        <x:v>0.2296</x:v>
      </x:c>
      <x:c r="H7" s="14" t="n">
        <x:f>IF('全量明细'!J329="","",'全量明细'!J329)</x:f>
        <x:v>-10.03</x:v>
      </x:c>
      <x:c r="I7" s="28" t="n">
        <x:f>IF('全量明细'!E817="","",'全量明细'!E817)</x:f>
        <x:v>0.25718649000000005</x:v>
      </x:c>
      <x:c r="J7" s="12" t="n">
        <x:f>IF('全量明细'!F817="","",'全量明细'!F817)</x:f>
        <x:v>2193</x:v>
      </x:c>
      <x:c r="K7" s="11" t="n">
        <x:f>IF('全量明细'!G817="","",'全量明细'!G817)</x:f>
        <x:v>0.5922999999999999</x:v>
      </x:c>
      <x:c r="L7" s="11" t="n">
        <x:f>IF('全量明细'!H817="","",'全量明细'!H817)</x:f>
        <x:v>0.1986</x:v>
      </x:c>
      <x:c r="M7" s="11" t="n">
        <x:f>IF('全量明细'!I817="","",'全量明细'!I817)</x:f>
        <x:v>0.3423</x:v>
      </x:c>
      <x:c r="N7" s="14" t="n">
        <x:f>IF('全量明细'!J817="","",'全量明细'!J817)</x:f>
        <x:v>-14.37</x:v>
      </x:c>
      <x:c r="O7" s="14" t="n">
        <x:f>IF(AND(ISNUMBER(C7),ISNUMBER(I7)),(I7-C7)*100,"")</x:f>
        <x:v>8.983267000000005</x:v>
      </x:c>
      <x:c r="P7" s="17" t="str"/>
    </x:row>
    <x:row r="8" ht="25" customHeight="1">
      <x:c r="A8" s="2" t="str">
        <x:v>涅奥</x:v>
      </x:c>
      <x:c r="B8" s="2" t="str">
        <x:v>橙型香盒</x:v>
      </x:c>
      <x:c r="C8" s="28" t="n">
        <x:f>IF('全量明细'!E325="","",'全量明细'!E325)</x:f>
        <x:v>0.17703600000000003</x:v>
      </x:c>
      <x:c r="D8" s="12" t="n">
        <x:f>IF('全量明细'!F325="","",'全量明细'!F325)</x:f>
        <x:v>3264</x:v>
      </x:c>
      <x:c r="E8" s="11" t="n">
        <x:f>IF('全量明细'!G325="","",'全量明细'!G325)</x:f>
        <x:v>0.11</x:v>
      </x:c>
      <x:c r="F8" s="11" t="n">
        <x:f>IF('全量明细'!H325="","",'全量明细'!H325)</x:f>
        <x:v>0.1838</x:v>
      </x:c>
      <x:c r="G8" s="11" t="n">
        <x:f>IF('全量明细'!I325="","",'全量明细'!I325)</x:f>
        <x:v>0.17620000000000002</x:v>
      </x:c>
      <x:c r="H8" s="14" t="n">
        <x:f>IF('全量明细'!J325="","",'全量明细'!J325)</x:f>
        <x:v>0.7599999999999968</x:v>
      </x:c>
      <x:c r="I8" s="28" t="n">
        <x:f>IF('全量明细'!E819="","",'全量明细'!E819)</x:f>
        <x:v>0.25616819999999996</x:v>
      </x:c>
      <x:c r="J8" s="12" t="n">
        <x:f>IF('全量明细'!F819="","",'全量明细'!F819)</x:f>
        <x:v>1374</x:v>
      </x:c>
      <x:c r="K8" s="11" t="n">
        <x:f>IF('全量明细'!G819="","",'全量明细'!G819)</x:f>
        <x:v>0.1492</x:v>
      </x:c>
      <x:c r="L8" s="11" t="n">
        <x:f>IF('全量明细'!H819="","",'全量明细'!H819)</x:f>
        <x:v>0.2634</x:v>
      </x:c>
      <x:c r="M8" s="11" t="n">
        <x:f>IF('全量明细'!I819="","",'全量明细'!I819)</x:f>
        <x:v>0.25489999999999996</x:v>
      </x:c>
      <x:c r="N8" s="14" t="n">
        <x:f>IF('全量明细'!J819="","",'全量明细'!J819)</x:f>
        <x:v>0.8500000000000063</x:v>
      </x:c>
      <x:c r="O8" s="14" t="n">
        <x:f>IF(AND(ISNUMBER(C8),ISNUMBER(I8)),(I8-C8)*100,"")</x:f>
        <x:v>7.913219999999993</x:v>
      </x:c>
      <x:c r="P8" s="17" t="str"/>
    </x:row>
    <x:row r="9" ht="25" customHeight="1">
      <x:c r="A9" s="2" t="str">
        <x:v>涅奥</x:v>
      </x:c>
      <x:c r="B9" s="2" t="str">
        <x:v>钓鱼竿</x:v>
      </x:c>
      <x:c r="C9" s="28" t="n">
        <x:f>IF('全量明细'!E317="","",'全量明细'!E317)</x:f>
        <x:v>0.17969626</x:v>
      </x:c>
      <x:c r="D9" s="12" t="n">
        <x:f>IF('全量明细'!F317="","",'全量明细'!F317)</x:f>
        <x:v>6298</x:v>
      </x:c>
      <x:c r="E9" s="11" t="n">
        <x:f>IF('全量明细'!G317="","",'全量明细'!G317)</x:f>
        <x:v>0.16620000000000001</x:v>
      </x:c>
      <x:c r="F9" s="11" t="n">
        <x:f>IF('全量明细'!H317="","",'全量明细'!H317)</x:f>
        <x:v>0.1566</x:v>
      </x:c>
      <x:c r="G9" s="11" t="n">
        <x:f>IF('全量明细'!I317="","",'全量明细'!I317)</x:f>
        <x:v>0.1843</x:v>
      </x:c>
      <x:c r="H9" s="14" t="n">
        <x:f>IF('全量明细'!J317="","",'全量明细'!J317)</x:f>
        <x:v>-2.7700000000000005</x:v>
      </x:c>
      <x:c r="I9" s="28" t="n">
        <x:f>IF('全量明细'!E809="","",'全量明细'!E809)</x:f>
        <x:v>0.26601148999999996</x:v>
      </x:c>
      <x:c r="J9" s="12" t="n">
        <x:f>IF('全量明细'!F809="","",'全量明细'!F809)</x:f>
        <x:v>2598</x:v>
      </x:c>
      <x:c r="K9" s="11" t="n">
        <x:f>IF('全量明细'!G809="","",'全量明细'!G809)</x:f>
        <x:v>0.17129999999999998</x:v>
      </x:c>
      <x:c r="L9" s="11" t="n">
        <x:f>IF('全量明细'!H809="","",'全量明细'!H809)</x:f>
        <x:v>0.24719999999999998</x:v>
      </x:c>
      <x:c r="M9" s="11" t="n">
        <x:f>IF('全量明细'!I809="","",'全量明细'!I809)</x:f>
        <x:v>0.2699</x:v>
      </x:c>
      <x:c r="N9" s="14" t="n">
        <x:f>IF('全量明细'!J809="","",'全量明细'!J809)</x:f>
        <x:v>-2.2699999999999996</x:v>
      </x:c>
      <x:c r="O9" s="14" t="n">
        <x:f>IF(AND(ISNUMBER(C9),ISNUMBER(I9)),(I9-C9)*100,"")</x:f>
        <x:v>8.631522999999996</x:v>
      </x:c>
      <x:c r="P9" s="17" t="str"/>
    </x:row>
    <x:row r="10" ht="25" customHeight="1">
      <x:c r="A10" s="2" t="str">
        <x:v>涅奥</x:v>
      </x:c>
      <x:c r="B10" s="2" t="str">
        <x:v>轰鸣海螺</x:v>
      </x:c>
      <x:c r="C10" s="28" t="n">
        <x:f>IF('全量明细'!E313="","",'全量明细'!E313)</x:f>
        <x:v>0.18212843999999997</x:v>
      </x:c>
      <x:c r="D10" s="12" t="n">
        <x:f>IF('全量明细'!F313="","",'全量明细'!F313)</x:f>
        <x:v>6442</x:v>
      </x:c>
      <x:c r="E10" s="11" t="n">
        <x:f>IF('全量明细'!G313="","",'全量明细'!G313)</x:f>
        <x:v>0.1188</x:v>
      </x:c>
      <x:c r="F10" s="11" t="n">
        <x:f>IF('全量明细'!H313="","",'全量明细'!H313)</x:f>
        <x:v>0.2758</x:v>
      </x:c>
      <x:c r="G10" s="11" t="n">
        <x:f>IF('全量明细'!I313="","",'全量明细'!I313)</x:f>
        <x:v>0.16949999999999998</x:v>
      </x:c>
      <x:c r="H10" s="14" t="n">
        <x:f>IF('全量明细'!J313="","",'全量明细'!J313)</x:f>
        <x:v>10.63</x:v>
      </x:c>
      <x:c r="I10" s="28" t="n">
        <x:f>IF('全量明细'!E828="","",'全量明细'!E828)</x:f>
        <x:v>0.24560659999999998</x:v>
      </x:c>
      <x:c r="J10" s="12" t="n">
        <x:f>IF('全量明细'!F828="","",'全量明细'!F828)</x:f>
        <x:v>2557</x:v>
      </x:c>
      <x:c r="K10" s="11" t="n">
        <x:f>IF('全量明细'!G828="","",'全量明细'!G828)</x:f>
        <x:v>0.15130000000000002</x:v>
      </x:c>
      <x:c r="L10" s="11" t="n">
        <x:f>IF('全量明细'!H828="","",'全量明细'!H828)</x:f>
        <x:v>0.3152</x:v>
      </x:c>
      <x:c r="M10" s="11" t="n">
        <x:f>IF('全量明细'!I828="","",'全量明细'!I828)</x:f>
        <x:v>0.2332</x:v>
      </x:c>
      <x:c r="N10" s="14" t="n">
        <x:f>IF('全量明细'!J828="","",'全量明细'!J828)</x:f>
        <x:v>8.2</x:v>
      </x:c>
      <x:c r="O10" s="14" t="n">
        <x:f>IF(AND(ISNUMBER(C10),ISNUMBER(I10)),(I10-C10)*100,"")</x:f>
        <x:v>6.347816000000001</x:v>
      </x:c>
      <x:c r="P10" s="17" t="str"/>
    </x:row>
    <x:row r="11" ht="25" customHeight="1">
      <x:c r="A11" s="2" t="str">
        <x:v>涅奥</x:v>
      </x:c>
      <x:c r="B11" s="2" t="str">
        <x:v>华美发束</x:v>
      </x:c>
      <x:c r="C11" s="28" t="n">
        <x:f>IF('全量明细'!E309="","",'全量明细'!E309)</x:f>
        <x:v>0.18703615</x:v>
      </x:c>
      <x:c r="D11" s="12" t="n">
        <x:f>IF('全量明细'!F309="","",'全量明细'!F309)</x:f>
        <x:v>6767</x:v>
      </x:c>
      <x:c r="E11" s="11" t="n">
        <x:f>IF('全量明细'!G309="","",'全量明细'!G309)</x:f>
        <x:v>0.7535</x:v>
      </x:c>
      <x:c r="F11" s="11" t="n">
        <x:f>IF('全量明细'!H309="","",'全量明细'!H309)</x:f>
        <x:v>0.1843</x:v>
      </x:c>
      <x:c r="G11" s="11" t="n">
        <x:f>IF('全量明细'!I309="","",'全量明细'!I309)</x:f>
        <x:v>0.1954</x:v>
      </x:c>
      <x:c r="H11" s="14" t="n">
        <x:f>IF('全量明细'!J309="","",'全量明细'!J309)</x:f>
        <x:v>-1.1099999999999999</x:v>
      </x:c>
      <x:c r="I11" s="28" t="n">
        <x:f>IF('全量明细'!E810="","",'全量明细'!E810)</x:f>
        <x:v>0.26593875</x:v>
      </x:c>
      <x:c r="J11" s="12" t="n">
        <x:f>IF('全量明细'!F810="","",'全量明细'!F810)</x:f>
        <x:v>2245</x:v>
      </x:c>
      <x:c r="K11" s="11" t="n">
        <x:f>IF('全量明细'!G810="","",'全量明细'!G810)</x:f>
        <x:v>0.7563</x:v>
      </x:c>
      <x:c r="L11" s="11" t="n">
        <x:f>IF('全量明细'!H810="","",'全量明细'!H810)</x:f>
        <x:v>0.2568</x:v>
      </x:c>
      <x:c r="M11" s="11" t="n">
        <x:f>IF('全量明细'!I810="","",'全量明细'!I810)</x:f>
        <x:v>0.2943</x:v>
      </x:c>
      <x:c r="N11" s="14" t="n">
        <x:f>IF('全量明细'!J810="","",'全量明细'!J810)</x:f>
        <x:v>-3.7500000000000036</x:v>
      </x:c>
      <x:c r="O11" s="14" t="n">
        <x:f>IF(AND(ISNUMBER(C11),ISNUMBER(I11)),(I11-C11)*100,"")</x:f>
        <x:v>7.890259999999999</x:v>
      </x:c>
      <x:c r="P11" s="17" t="str"/>
    </x:row>
    <x:row r="12" ht="25" customHeight="1">
      <x:c r="A12" s="2" t="str">
        <x:v>涅奥</x:v>
      </x:c>
      <x:c r="B12" s="2" t="str">
        <x:v>金色珍珠</x:v>
      </x:c>
      <x:c r="C12" s="28" t="n">
        <x:f>IF('全量明细'!E320="","",'全量明细'!E320)</x:f>
        <x:v>0.1779716</x:v>
      </x:c>
      <x:c r="D12" s="12" t="n">
        <x:f>IF('全量明细'!F320="","",'全量明细'!F320)</x:f>
        <x:v>5804</x:v>
      </x:c>
      <x:c r="E12" s="11" t="n">
        <x:f>IF('全量明细'!G320="","",'全量明细'!G320)</x:f>
        <x:v>0.3508</x:v>
      </x:c>
      <x:c r="F12" s="11" t="n">
        <x:f>IF('全量明细'!H320="","",'全量明细'!H320)</x:f>
        <x:v>0.1955</x:v>
      </x:c>
      <x:c r="G12" s="11" t="n">
        <x:f>IF('全量明细'!I320="","",'全量明细'!I320)</x:f>
        <x:v>0.1685</x:v>
      </x:c>
      <x:c r="H12" s="14" t="n">
        <x:f>IF('全量明细'!J320="","",'全量明细'!J320)</x:f>
        <x:v>2.6999999999999997</x:v>
      </x:c>
      <x:c r="I12" s="28" t="n">
        <x:f>IF('全量明细'!E804="","",'全量明细'!E804)</x:f>
        <x:v>0.26965029000000007</x:v>
      </x:c>
      <x:c r="J12" s="12" t="n">
        <x:f>IF('全量明细'!F804="","",'全量明细'!F804)</x:f>
        <x:v>2522</x:v>
      </x:c>
      <x:c r="K12" s="11" t="n">
        <x:f>IF('全量明细'!G804="","",'全量明细'!G804)</x:f>
        <x:v>0.40130000000000005</x:v>
      </x:c>
      <x:c r="L12" s="11" t="n">
        <x:f>IF('全量明细'!H804="","",'全量明细'!H804)</x:f>
        <x:v>0.2836</x:v>
      </x:c>
      <x:c r="M12" s="11" t="n">
        <x:f>IF('全量明细'!I804="","",'全量明细'!I804)</x:f>
        <x:v>0.26030000000000003</x:v>
      </x:c>
      <x:c r="N12" s="14" t="n">
        <x:f>IF('全量明细'!J804="","",'全量明细'!J804)</x:f>
        <x:v>2.3299999999999987</x:v>
      </x:c>
      <x:c r="O12" s="14" t="n">
        <x:f>IF(AND(ISNUMBER(C12),ISNUMBER(I12)),(I12-C12)*100,"")</x:f>
        <x:v>9.167869000000007</x:v>
      </x:c>
      <x:c r="P12" s="17" t="str"/>
    </x:row>
    <x:row r="13" ht="25" customHeight="1">
      <x:c r="A13" s="2" t="str">
        <x:v>涅奥</x:v>
      </x:c>
      <x:c r="B13" s="2" t="str">
        <x:v>精准剪刀</x:v>
      </x:c>
      <x:c r="C13" s="28" t="n">
        <x:f>IF('全量明细'!E312="","",'全量明细'!E312)</x:f>
        <x:v>0.18476623999999997</x:v>
      </x:c>
      <x:c r="D13" s="12" t="n">
        <x:f>IF('全量明细'!F312="","",'全量明细'!F312)</x:f>
        <x:v>5711</x:v>
      </x:c>
      <x:c r="E13" s="11" t="n">
        <x:f>IF('全量明细'!G312="","",'全量明细'!G312)</x:f>
        <x:v>0.15039999999999998</x:v>
      </x:c>
      <x:c r="F13" s="11" t="n">
        <x:f>IF('全量明细'!H312="","",'全量明细'!H312)</x:f>
        <x:v>0.18739999999999998</x:v>
      </x:c>
      <x:c r="G13" s="11" t="n">
        <x:f>IF('全量明细'!I312="","",'全量明细'!I312)</x:f>
        <x:v>0.1843</x:v>
      </x:c>
      <x:c r="H13" s="14" t="n">
        <x:f>IF('全量明细'!J312="","",'全量明细'!J312)</x:f>
        <x:v>0.30999999999999917</x:v>
      </x:c>
      <x:c r="I13" s="28" t="n">
        <x:f>IF('全量明细'!E821="","",'全量明细'!E821)</x:f>
        <x:v>0.2554014</x:v>
      </x:c>
      <x:c r="J13" s="12" t="n">
        <x:f>IF('全量明细'!F821="","",'全量明细'!F821)</x:f>
        <x:v>2459</x:v>
      </x:c>
      <x:c r="K13" s="11" t="n">
        <x:f>IF('全量明细'!G821="","",'全量明细'!G821)</x:f>
        <x:v>0.1895</x:v>
      </x:c>
      <x:c r="L13" s="11" t="n">
        <x:f>IF('全量明细'!H821="","",'全量明细'!H821)</x:f>
        <x:v>0.2661</x:v>
      </x:c>
      <x:c r="M13" s="11" t="n">
        <x:f>IF('全量明细'!I821="","",'全量明细'!I821)</x:f>
        <x:v>0.2529</x:v>
      </x:c>
      <x:c r="N13" s="14" t="n">
        <x:f>IF('全量明细'!J821="","",'全量明细'!J821)</x:f>
        <x:v>1.319999999999999</x:v>
      </x:c>
      <x:c r="O13" s="14" t="n">
        <x:f>IF(AND(ISNUMBER(C13),ISNUMBER(I13)),(I13-C13)*100,"")</x:f>
        <x:v>7.0635160000000035</x:v>
      </x:c>
      <x:c r="P13" s="17" t="str"/>
    </x:row>
    <x:row r="14" ht="64" customHeight="1">
      <x:c r="A14" s="21" t="str">
        <x:v>涅奥</x:v>
      </x:c>
      <x:c r="B14" s="21" t="str">
        <x:v>巨大卷轴</x:v>
      </x:c>
      <x:c r="C14" s="28" t="n">
        <x:f>IF('全量明细'!E302="","",'全量明细'!E302)</x:f>
        <x:v>0.3077</x:v>
      </x:c>
      <x:c r="D14" s="12" t="n">
        <x:f>IF('全量明细'!F302="","",'全量明细'!F302)</x:f>
        <x:v>13</x:v>
      </x:c>
      <x:c r="E14" s="11" t="str">
        <x:f>IF('全量明细'!G302="","",'全量明细'!G302)</x:f>
      </x:c>
      <x:c r="F14" s="11" t="str">
        <x:f>IF('全量明细'!H302="","",'全量明细'!H302)</x:f>
      </x:c>
      <x:c r="G14" s="11" t="n">
        <x:f>IF('全量明细'!I302="","",'全量明细'!I302)</x:f>
        <x:v>0.3077</x:v>
      </x:c>
      <x:c r="H14" s="14" t="str">
        <x:f>IF('全量明细'!J302="","",'全量明细'!J302)</x:f>
      </x:c>
      <x:c r="I14" s="28"/>
      <x:c r="J14" s="12"/>
      <x:c r="K14" s="11"/>
      <x:c r="L14" s="11"/>
      <x:c r="M14" s="11"/>
      <x:c r="N14" s="14"/>
      <x:c r="O14" s="14" t="str">
        <x:f>IF(AND(ISNUMBER(C14),ISNUMBER(I14)),(I14-C14)*100,"")</x:f>
      </x:c>
      <x:c r="P14" s="17" t="str">
        <x:v>出现次数&lt;100；一组占比显示为零，其胜率及选跳差留空</x:v>
      </x:c>
    </x:row>
    <x:row r="15" ht="25" customHeight="1">
      <x:c r="A15" s="2" t="str">
        <x:v>涅奥</x:v>
      </x:c>
      <x:c r="B15" s="2" t="str">
        <x:v>巨大扭蛋</x:v>
      </x:c>
      <x:c r="C15" s="28" t="n">
        <x:f>IF('全量明细'!E314="","",'全量明细'!E314)</x:f>
        <x:v>0.18155544</x:v>
      </x:c>
      <x:c r="D15" s="12" t="n">
        <x:f>IF('全量明细'!F314="","",'全量明细'!F314)</x:f>
        <x:v>5442</x:v>
      </x:c>
      <x:c r="E15" s="11" t="n">
        <x:f>IF('全量明细'!G314="","",'全量明细'!G314)</x:f>
        <x:v>0.2727</x:v>
      </x:c>
      <x:c r="F15" s="11" t="n">
        <x:f>IF('全量明细'!H314="","",'全量明细'!H314)</x:f>
        <x:v>0.1577</x:v>
      </x:c>
      <x:c r="G15" s="11" t="n">
        <x:f>IF('全量明细'!I314="","",'全量明细'!I314)</x:f>
        <x:v>0.1905</x:v>
      </x:c>
      <x:c r="H15" s="14" t="n">
        <x:f>IF('全量明细'!J314="","",'全量明细'!J314)</x:f>
        <x:v>-3.2799999999999994</x:v>
      </x:c>
      <x:c r="I15" s="28" t="n">
        <x:f>IF('全量明细'!E824="","",'全量明细'!E824)</x:f>
        <x:v>0.2503687</x:v>
      </x:c>
      <x:c r="J15" s="12" t="n">
        <x:f>IF('全量明细'!F824="","",'全量明细'!F824)</x:f>
        <x:v>1841</x:v>
      </x:c>
      <x:c r="K15" s="11" t="n">
        <x:f>IF('全量明细'!G824="","",'全量明细'!G824)</x:f>
        <x:v>0.2645</x:v>
      </x:c>
      <x:c r="L15" s="11" t="n">
        <x:f>IF('全量明细'!H824="","",'全量明细'!H824)</x:f>
        <x:v>0.2361</x:v>
      </x:c>
      <x:c r="M15" s="11" t="n">
        <x:f>IF('全量明细'!I824="","",'全量明细'!I824)</x:f>
        <x:v>0.2555</x:v>
      </x:c>
      <x:c r="N15" s="14" t="n">
        <x:f>IF('全量明细'!J824="","",'全量明细'!J824)</x:f>
        <x:v>-1.94</x:v>
      </x:c>
      <x:c r="O15" s="14" t="n">
        <x:f>IF(AND(ISNUMBER(C15),ISNUMBER(I15)),(I15-C15)*100,"")</x:f>
        <x:v>6.881325999999999</x:v>
      </x:c>
      <x:c r="P15" s="17" t="str"/>
    </x:row>
    <x:row r="16" ht="25" customHeight="1">
      <x:c r="A16" s="2" t="str">
        <x:v>涅奥</x:v>
      </x:c>
      <x:c r="B16" s="2" t="str">
        <x:v>卷轴箱</x:v>
      </x:c>
      <x:c r="C16" s="28" t="n">
        <x:f>IF('全量明细'!E319="","",'全量明细'!E319)</x:f>
        <x:v>0.17903988</x:v>
      </x:c>
      <x:c r="D16" s="12" t="n">
        <x:f>IF('全量明细'!F319="","",'全量明细'!F319)</x:f>
        <x:v>6556</x:v>
      </x:c>
      <x:c r="E16" s="11" t="n">
        <x:f>IF('全量明细'!G319="","",'全量明细'!G319)</x:f>
        <x:v>0.31129999999999997</x:v>
      </x:c>
      <x:c r="F16" s="11" t="n">
        <x:f>IF('全量明细'!H319="","",'全量明细'!H319)</x:f>
        <x:v>0.1705</x:v>
      </x:c>
      <x:c r="G16" s="11" t="n">
        <x:f>IF('全量明细'!I319="","",'全量明细'!I319)</x:f>
        <x:v>0.18289999999999998</x:v>
      </x:c>
      <x:c r="H16" s="14" t="n">
        <x:f>IF('全量明细'!J319="","",'全量明细'!J319)</x:f>
        <x:v>-1.2399999999999967</x:v>
      </x:c>
      <x:c r="I16" s="28" t="n">
        <x:f>IF('全量明细'!E816="","",'全量明细'!E816)</x:f>
        <x:v>0.25742226</x:v>
      </x:c>
      <x:c r="J16" s="12" t="n">
        <x:f>IF('全量明细'!F816="","",'全量明细'!F816)</x:f>
        <x:v>2758</x:v>
      </x:c>
      <x:c r="K16" s="11" t="n">
        <x:f>IF('全量明细'!G816="","",'全量明细'!G816)</x:f>
        <x:v>0.3713</x:v>
      </x:c>
      <x:c r="L16" s="11" t="n">
        <x:f>IF('全量明细'!H816="","",'全量明细'!H816)</x:f>
        <x:v>0.2324</x:v>
      </x:c>
      <x:c r="M16" s="11" t="n">
        <x:f>IF('全量明细'!I816="","",'全量明细'!I816)</x:f>
        <x:v>0.2722</x:v>
      </x:c>
      <x:c r="N16" s="14" t="n">
        <x:f>IF('全量明细'!J816="","",'全量明细'!J816)</x:f>
        <x:v>-3.9800000000000004</x:v>
      </x:c>
      <x:c r="O16" s="14" t="n">
        <x:f>IF(AND(ISNUMBER(C16),ISNUMBER(I16)),(I16-C16)*100,"")</x:f>
        <x:v>7.8382380000000005</x:v>
      </x:c>
      <x:c r="P16" s="17" t="str"/>
    </x:row>
    <x:row r="17" ht="25" customHeight="1">
      <x:c r="A17" s="2" t="str">
        <x:v>涅奥</x:v>
      </x:c>
      <x:c r="B17" s="2" t="str">
        <x:v>涅奥的护符</x:v>
      </x:c>
      <x:c r="C17" s="28" t="n">
        <x:f>IF('全量明细'!E323="","",'全量明细'!E323)</x:f>
        <x:v>0.1773088</x:v>
      </x:c>
      <x:c r="D17" s="12" t="n">
        <x:f>IF('全量明细'!F323="","",'全量明细'!F323)</x:f>
        <x:v>3125</x:v>
      </x:c>
      <x:c r="E17" s="11" t="n">
        <x:f>IF('全量明细'!G323="","",'全量明细'!G323)</x:f>
        <x:v>0.0698</x:v>
      </x:c>
      <x:c r="F17" s="11" t="n">
        <x:f>IF('全量明细'!H323="","",'全量明细'!H323)</x:f>
        <x:v>0.22940000000000002</x:v>
      </x:c>
      <x:c r="G17" s="11" t="n">
        <x:f>IF('全量明细'!I323="","",'全量明细'!I323)</x:f>
        <x:v>0.1734</x:v>
      </x:c>
      <x:c r="H17" s="14" t="n">
        <x:f>IF('全量明细'!J323="","",'全量明细'!J323)</x:f>
        <x:v>5.600000000000002</x:v>
      </x:c>
      <x:c r="I17" s="28" t="n">
        <x:f>IF('全量明细'!E811="","",'全量明细'!E811)</x:f>
        <x:v>0.26410025</x:v>
      </x:c>
      <x:c r="J17" s="12" t="n">
        <x:f>IF('全量明细'!F811="","",'全量明细'!F811)</x:f>
        <x:v>1401</x:v>
      </x:c>
      <x:c r="K17" s="11" t="n">
        <x:f>IF('全量明细'!G811="","",'全量明细'!G811)</x:f>
        <x:v>0.10710000000000001</x:v>
      </x:c>
      <x:c r="L17" s="11" t="n">
        <x:f>IF('全量明细'!H811="","",'全量明细'!H811)</x:f>
        <x:v>0.3333</x:v>
      </x:c>
      <x:c r="M17" s="11" t="n">
        <x:f>IF('全量明细'!I811="","",'全量明细'!I811)</x:f>
        <x:v>0.25579999999999997</x:v>
      </x:c>
      <x:c r="N17" s="14" t="n">
        <x:f>IF('全量明细'!J811="","",'全量明细'!J811)</x:f>
        <x:v>7.750000000000002</x:v>
      </x:c>
      <x:c r="O17" s="14" t="n">
        <x:f>IF(AND(ISNUMBER(C17),ISNUMBER(I17)),(I17-C17)*100,"")</x:f>
        <x:v>8.679144999999998</x:v>
      </x:c>
      <x:c r="P17" s="17" t="str"/>
    </x:row>
    <x:row r="18" ht="25" customHeight="1">
      <x:c r="A18" s="2" t="str">
        <x:v>涅奥</x:v>
      </x:c>
      <x:c r="B18" s="2" t="str">
        <x:v>涅奥的苦痛</x:v>
      </x:c>
      <x:c r="C18" s="28" t="n">
        <x:f>IF('全量明细'!E321="","",'全量明细'!E321)</x:f>
        <x:v>0.1778644</x:v>
      </x:c>
      <x:c r="D18" s="12" t="n">
        <x:f>IF('全量明细'!F321="","",'全量明细'!F321)</x:f>
        <x:v>6303</x:v>
      </x:c>
      <x:c r="E18" s="11" t="n">
        <x:f>IF('全量明细'!G321="","",'全量明细'!G321)</x:f>
        <x:v>0.067</x:v>
      </x:c>
      <x:c r="F18" s="11" t="n">
        <x:f>IF('全量明细'!H321="","",'全量明细'!H321)</x:f>
        <x:v>0.2275</x:v>
      </x:c>
      <x:c r="G18" s="11" t="n">
        <x:f>IF('全量明细'!I321="","",'全量明细'!I321)</x:f>
        <x:v>0.1743</x:v>
      </x:c>
      <x:c r="H18" s="14" t="n">
        <x:f>IF('全量明细'!J321="","",'全量明细'!J321)</x:f>
        <x:v>5.319999999999999</x:v>
      </x:c>
      <x:c r="I18" s="28" t="n">
        <x:f>IF('全量明细'!E818="","",'全量明细'!E818)</x:f>
        <x:v>0.25666739000000005</x:v>
      </x:c>
      <x:c r="J18" s="12" t="n">
        <x:f>IF('全量明细'!F818="","",'全量明细'!F818)</x:f>
        <x:v>2595</x:v>
      </x:c>
      <x:c r="K18" s="11" t="n">
        <x:f>IF('全量明细'!G818="","",'全量明细'!G818)</x:f>
        <x:v>0.0917</x:v>
      </x:c>
      <x:c r="L18" s="11" t="n">
        <x:f>IF('全量明细'!H818="","",'全量明细'!H818)</x:f>
        <x:v>0.34450000000000003</x:v>
      </x:c>
      <x:c r="M18" s="11" t="n">
        <x:f>IF('全量明细'!I818="","",'全量明细'!I818)</x:f>
        <x:v>0.24780000000000002</x:v>
      </x:c>
      <x:c r="N18" s="14" t="n">
        <x:f>IF('全量明细'!J818="","",'全量明细'!J818)</x:f>
        <x:v>9.670000000000002</x:v>
      </x:c>
      <x:c r="O18" s="14" t="n">
        <x:f>IF(AND(ISNUMBER(C18),ISNUMBER(I18)),(I18-C18)*100,"")</x:f>
        <x:v>7.880299000000004</x:v>
      </x:c>
      <x:c r="P18" s="17" t="str"/>
    </x:row>
    <x:row r="19" ht="25" customHeight="1">
      <x:c r="A19" s="2" t="str">
        <x:v>涅奥</x:v>
      </x:c>
      <x:c r="B19" s="2" t="str">
        <x:v>涅奥的牺牲</x:v>
      </x:c>
      <x:c r="C19" s="28"/>
      <x:c r="D19" s="12"/>
      <x:c r="E19" s="11"/>
      <x:c r="F19" s="11"/>
      <x:c r="G19" s="11"/>
      <x:c r="H19" s="14"/>
      <x:c r="I19" s="28" t="n">
        <x:f>IF('全量明细'!E807="","",'全量明细'!E807)</x:f>
        <x:v>0.26697455999999997</x:v>
      </x:c>
      <x:c r="J19" s="12" t="n">
        <x:f>IF('全量明细'!F807="","",'全量明细'!F807)</x:f>
        <x:v>1899</x:v>
      </x:c>
      <x:c r="K19" s="11" t="n">
        <x:f>IF('全量明细'!G807="","",'全量明细'!G807)</x:f>
        <x:v>0.1532</x:v>
      </x:c>
      <x:c r="L19" s="11" t="n">
        <x:f>IF('全量明细'!H807="","",'全量明细'!H807)</x:f>
        <x:v>0.3608</x:v>
      </x:c>
      <x:c r="M19" s="11" t="n">
        <x:f>IF('全量明细'!I807="","",'全量明细'!I807)</x:f>
        <x:v>0.25</x:v>
      </x:c>
      <x:c r="N19" s="14" t="n">
        <x:f>IF('全量明细'!J807="","",'全量明细'!J807)</x:f>
        <x:v>11.080000000000002</x:v>
      </x:c>
      <x:c r="O19" s="14" t="str">
        <x:f>IF(AND(ISNUMBER(C19),ISNUMBER(I19)),(I19-C19)*100,"")</x:f>
      </x:c>
      <x:c r="P19" s="17" t="str"/>
    </x:row>
    <x:row r="20" ht="25" customHeight="1">
      <x:c r="A20" s="2" t="str">
        <x:v>涅奥</x:v>
      </x:c>
      <x:c r="B20" s="2" t="str">
        <x:v>涅奥骨骰</x:v>
      </x:c>
      <x:c r="C20" s="28" t="n">
        <x:f>IF('全量明细'!E328="","",'全量明细'!E328)</x:f>
        <x:v>0.17521776</x:v>
      </x:c>
      <x:c r="D20" s="12" t="n">
        <x:f>IF('全量明细'!F328="","",'全量明细'!F328)</x:f>
        <x:v>5707</x:v>
      </x:c>
      <x:c r="E20" s="11" t="n">
        <x:f>IF('全量明细'!G328="","",'全量明细'!G328)</x:f>
        <x:v>0.4742</x:v>
      </x:c>
      <x:c r="F20" s="11" t="n">
        <x:f>IF('全量明细'!H328="","",'全量明细'!H328)</x:f>
        <x:v>0.15039999999999998</x:v>
      </x:c>
      <x:c r="G20" s="11" t="n">
        <x:f>IF('全量明细'!I328="","",'全量明细'!I328)</x:f>
        <x:v>0.19760000000000003</x:v>
      </x:c>
      <x:c r="H20" s="14" t="n">
        <x:f>IF('全量明细'!J328="","",'全量明细'!J328)</x:f>
        <x:v>-4.720000000000005</x:v>
      </x:c>
      <x:c r="I20" s="28" t="n">
        <x:f>IF('全量明细'!E822="","",'全量明细'!E822)</x:f>
        <x:v>0.2549317</x:v>
      </x:c>
      <x:c r="J20" s="12" t="n">
        <x:f>IF('全量明细'!F822="","",'全量明细'!F822)</x:f>
        <x:v>1887</x:v>
      </x:c>
      <x:c r="K20" s="11" t="n">
        <x:f>IF('全量明细'!G822="","",'全量明细'!G822)</x:f>
        <x:v>0.4685</x:v>
      </x:c>
      <x:c r="L20" s="11" t="n">
        <x:f>IF('全量明细'!H822="","",'全量明细'!H822)</x:f>
        <x:v>0.2274</x:v>
      </x:c>
      <x:c r="M20" s="11" t="n">
        <x:f>IF('全量明细'!I822="","",'全量明细'!I822)</x:f>
        <x:v>0.2792</x:v>
      </x:c>
      <x:c r="N20" s="14" t="n">
        <x:f>IF('全量明细'!J822="","",'全量明细'!J822)</x:f>
        <x:v>-5.1800000000000015</x:v>
      </x:c>
      <x:c r="O20" s="14" t="n">
        <x:f>IF(AND(ISNUMBER(C20),ISNUMBER(I20)),(I20-C20)*100,"")</x:f>
        <x:v>7.971393999999998</x:v>
      </x:c>
      <x:c r="P20" s="17" t="str"/>
    </x:row>
    <x:row r="21" ht="25" customHeight="1">
      <x:c r="A21" s="2" t="str">
        <x:v>涅奥</x:v>
      </x:c>
      <x:c r="B21" s="2" t="str">
        <x:v>铅制镇纸</x:v>
      </x:c>
      <x:c r="C21" s="28" t="n">
        <x:f>IF('全量明细'!E327="","",'全量明细'!E327)</x:f>
        <x:v>0.17560940000000003</x:v>
      </x:c>
      <x:c r="D21" s="12" t="n">
        <x:f>IF('全量明细'!F327="","",'全量明细'!F327)</x:f>
        <x:v>6378</x:v>
      </x:c>
      <x:c r="E21" s="11" t="n">
        <x:f>IF('全量明细'!G327="","",'全量明细'!G327)</x:f>
        <x:v>0.2788</x:v>
      </x:c>
      <x:c r="F21" s="11" t="n">
        <x:f>IF('全量明细'!H327="","",'全量明细'!H327)</x:f>
        <x:v>0.19399999999999998</x:v>
      </x:c>
      <x:c r="G21" s="11" t="n">
        <x:f>IF('全量明细'!I327="","",'全量明细'!I327)</x:f>
        <x:v>0.1685</x:v>
      </x:c>
      <x:c r="H21" s="14" t="n">
        <x:f>IF('全量明细'!J327="","",'全量明细'!J327)</x:f>
        <x:v>2.5499999999999967</x:v>
      </x:c>
      <x:c r="I21" s="28" t="n">
        <x:f>IF('全量明细'!E820="","",'全量明细'!E820)</x:f>
        <x:v>0.2556928</x:v>
      </x:c>
      <x:c r="J21" s="12" t="n">
        <x:f>IF('全量明细'!F820="","",'全量明细'!F820)</x:f>
        <x:v>2581</x:v>
      </x:c>
      <x:c r="K21" s="11" t="n">
        <x:f>IF('全量明细'!G820="","",'全量明细'!G820)</x:f>
        <x:v>0.29600000000000004</x:v>
      </x:c>
      <x:c r="L21" s="11" t="n">
        <x:f>IF('全量明细'!H820="","",'全量明细'!H820)</x:f>
        <x:v>0.2552</x:v>
      </x:c>
      <x:c r="M21" s="11" t="n">
        <x:f>IF('全量明细'!I820="","",'全量明细'!I820)</x:f>
        <x:v>0.2559</x:v>
      </x:c>
      <x:c r="N21" s="14" t="n">
        <x:f>IF('全量明细'!J820="","",'全量明细'!J820)</x:f>
        <x:v>-0.07000000000000339</x:v>
      </x:c>
      <x:c r="O21" s="14" t="n">
        <x:f>IF(AND(ISNUMBER(C21),ISNUMBER(I21)),(I21-C21)*100,"")</x:f>
        <x:v>8.008339999999997</x:v>
      </x:c>
      <x:c r="P21" s="17" t="str"/>
    </x:row>
    <x:row r="22" ht="25" customHeight="1">
      <x:c r="A22" s="2" t="str">
        <x:v>涅奥</x:v>
      </x:c>
      <x:c r="B22" s="2" t="str">
        <x:v>熔岩石</x:v>
      </x:c>
      <x:c r="C22" s="28" t="n">
        <x:f>IF('全量明细'!E322="","",'全量明细'!E322)</x:f>
        <x:v>0.17760908</x:v>
      </x:c>
      <x:c r="D22" s="12" t="n">
        <x:f>IF('全量明细'!F322="","",'全量明细'!F322)</x:f>
        <x:v>2809</x:v>
      </x:c>
      <x:c r="E22" s="11" t="n">
        <x:f>IF('全量明细'!G322="","",'全量明细'!G322)</x:f>
        <x:v>0.09179999999999999</x:v>
      </x:c>
      <x:c r="F22" s="11" t="n">
        <x:f>IF('全量明细'!H322="","",'全量明细'!H322)</x:f>
        <x:v>0.2054</x:v>
      </x:c>
      <x:c r="G22" s="11" t="n">
        <x:f>IF('全量明细'!I322="","",'全量明细'!I322)</x:f>
        <x:v>0.1748</x:v>
      </x:c>
      <x:c r="H22" s="14" t="n">
        <x:f>IF('全量明细'!J322="","",'全量明细'!J322)</x:f>
        <x:v>3.0599999999999987</x:v>
      </x:c>
      <x:c r="I22" s="28" t="n">
        <x:f>IF('全量明细'!E805="","",'全量明细'!E805)</x:f>
        <x:v>0.26782064000000005</x:v>
      </x:c>
      <x:c r="J22" s="12" t="n">
        <x:f>IF('全量明细'!F805="","",'全量明细'!F805)</x:f>
        <x:v>1180</x:v>
      </x:c>
      <x:c r="K22" s="11" t="n">
        <x:f>IF('全量明细'!G805="","",'全量明细'!G805)</x:f>
        <x:v>0.1424</x:v>
      </x:c>
      <x:c r="L22" s="11" t="n">
        <x:f>IF('全量明细'!H805="","",'全量明细'!H805)</x:f>
        <x:v>0.3095</x:v>
      </x:c>
      <x:c r="M22" s="11" t="n">
        <x:f>IF('全量明细'!I805="","",'全量明细'!I805)</x:f>
        <x:v>0.2609</x:v>
      </x:c>
      <x:c r="N22" s="14" t="n">
        <x:f>IF('全量明细'!J805="","",'全量明细'!J805)</x:f>
        <x:v>4.859999999999998</x:v>
      </x:c>
      <x:c r="O22" s="14" t="n">
        <x:f>IF(AND(ISNUMBER(C22),ISNUMBER(I22)),(I22-C22)*100,"")</x:f>
        <x:v>9.021156000000005</x:v>
      </x:c>
      <x:c r="P22" s="17" t="str"/>
    </x:row>
    <x:row r="23" ht="25" customHeight="1">
      <x:c r="A23" s="2" t="str">
        <x:v>涅奥</x:v>
      </x:c>
      <x:c r="B23" s="2" t="str">
        <x:v>失物盒</x:v>
      </x:c>
      <x:c r="C23" s="28" t="n">
        <x:f>IF('全量明细'!E306="","",'全量明细'!E306)</x:f>
        <x:v>0.18984337</x:v>
      </x:c>
      <x:c r="D23" s="12" t="n">
        <x:f>IF('全量明细'!F306="","",'全量明细'!F306)</x:f>
        <x:v>6326</x:v>
      </x:c>
      <x:c r="E23" s="11" t="n">
        <x:f>IF('全量明细'!G306="","",'全量明细'!G306)</x:f>
        <x:v>0.2109</x:v>
      </x:c>
      <x:c r="F23" s="11" t="n">
        <x:f>IF('全量明细'!H306="","",'全量明细'!H306)</x:f>
        <x:v>0.1814</x:v>
      </x:c>
      <x:c r="G23" s="11" t="n">
        <x:f>IF('全量明细'!I306="","",'全量明细'!I306)</x:f>
        <x:v>0.19210000000000002</x:v>
      </x:c>
      <x:c r="H23" s="14" t="n">
        <x:f>IF('全量明细'!J306="","",'全量明细'!J306)</x:f>
        <x:v>-1.0700000000000016</x:v>
      </x:c>
      <x:c r="I23" s="28" t="n">
        <x:f>IF('全量明细'!E815="","",'全量明细'!E815)</x:f>
        <x:v>0.25799793</x:v>
      </x:c>
      <x:c r="J23" s="12" t="n">
        <x:f>IF('全量明细'!F815="","",'全量明细'!F815)</x:f>
        <x:v>2465</x:v>
      </x:c>
      <x:c r="K23" s="11" t="n">
        <x:f>IF('全量明细'!G815="","",'全量明细'!G815)</x:f>
        <x:v>0.2369</x:v>
      </x:c>
      <x:c r="L23" s="11" t="n">
        <x:f>IF('全量明细'!H815="","",'全量明细'!H815)</x:f>
        <x:v>0.26539999999999997</x:v>
      </x:c>
      <x:c r="M23" s="11" t="n">
        <x:f>IF('全量明细'!I815="","",'全量明细'!I815)</x:f>
        <x:v>0.2557</x:v>
      </x:c>
      <x:c r="N23" s="14" t="n">
        <x:f>IF('全量明细'!J815="","",'全量明细'!J815)</x:f>
        <x:v>0.9699999999999986</x:v>
      </x:c>
      <x:c r="O23" s="14" t="n">
        <x:f>IF(AND(ISNUMBER(C23),ISNUMBER(I23)),(I23-C23)*100,"")</x:f>
        <x:v>6.8154559999999975</x:v>
      </x:c>
      <x:c r="P23" s="17" t="str"/>
    </x:row>
    <x:row r="24" ht="25" customHeight="1">
      <x:c r="A24" s="2" t="str">
        <x:v>涅奥</x:v>
      </x:c>
      <x:c r="B24" s="2" t="str">
        <x:v>石炉加湿器</x:v>
      </x:c>
      <x:c r="C24" s="28" t="n">
        <x:f>IF('全量明细'!E308="","",'全量明细'!E308)</x:f>
        <x:v>0.18843951999999997</x:v>
      </x:c>
      <x:c r="D24" s="12" t="n">
        <x:f>IF('全量明细'!F308="","",'全量明细'!F308)</x:f>
        <x:v>3301</x:v>
      </x:c>
      <x:c r="E24" s="11" t="n">
        <x:f>IF('全量明细'!G308="","",'全量明细'!G308)</x:f>
        <x:v>0.12480000000000001</x:v>
      </x:c>
      <x:c r="F24" s="11" t="n">
        <x:f>IF('全量明细'!H308="","",'全量明细'!H308)</x:f>
        <x:v>0.1796</x:v>
      </x:c>
      <x:c r="G24" s="11" t="n">
        <x:f>IF('全量明细'!I308="","",'全量明细'!I308)</x:f>
        <x:v>0.18969999999999998</x:v>
      </x:c>
      <x:c r="H24" s="14" t="n">
        <x:f>IF('全量明细'!J308="","",'全量明细'!J308)</x:f>
        <x:v>-1.0099999999999971</x:v>
      </x:c>
      <x:c r="I24" s="28" t="n">
        <x:f>IF('全量明细'!E813="","",'全量明细'!E813)</x:f>
        <x:v>0.26024564</x:v>
      </x:c>
      <x:c r="J24" s="12" t="n">
        <x:f>IF('全量明细'!F813="","",'全量明细'!F813)</x:f>
        <x:v>1391</x:v>
      </x:c>
      <x:c r="K24" s="11" t="n">
        <x:f>IF('全量明细'!G813="","",'全量明细'!G813)</x:f>
        <x:v>0.0949</x:v>
      </x:c>
      <x:c r="L24" s="11" t="n">
        <x:f>IF('全量明细'!H813="","",'全量明细'!H813)</x:f>
        <x:v>0.2273</x:v>
      </x:c>
      <x:c r="M24" s="11" t="n">
        <x:f>IF('全量明细'!I813="","",'全量明细'!I813)</x:f>
        <x:v>0.2637</x:v>
      </x:c>
      <x:c r="N24" s="14" t="n">
        <x:f>IF('全量明细'!J813="","",'全量明细'!J813)</x:f>
        <x:v>-3.639999999999999</x:v>
      </x:c>
      <x:c r="O24" s="14" t="n">
        <x:f>IF(AND(ISNUMBER(C24),ISNUMBER(I24)),(I24-C24)*100,"")</x:f>
        <x:v>7.180612000000003</x:v>
      </x:c>
      <x:c r="P24" s="17" t="str"/>
    </x:row>
    <x:row r="25" ht="25" customHeight="1">
      <x:c r="A25" s="2" t="str">
        <x:v>涅奥</x:v>
      </x:c>
      <x:c r="B25" s="2" t="str">
        <x:v>树叶药膏</x:v>
      </x:c>
      <x:c r="C25" s="28" t="n">
        <x:f>IF('全量明细'!E303="","",'全量明细'!E303)</x:f>
        <x:v>0.19659759999999998</x:v>
      </x:c>
      <x:c r="D25" s="12" t="n">
        <x:f>IF('全量明细'!F303="","",'全量明细'!F303)</x:f>
        <x:v>6062</x:v>
      </x:c>
      <x:c r="E25" s="11" t="n">
        <x:f>IF('全量明细'!G303="","",'全量明细'!G303)</x:f>
        <x:v>0.5760000000000001</x:v>
      </x:c>
      <x:c r="F25" s="11" t="n">
        <x:f>IF('全量明细'!H303="","",'全量明细'!H303)</x:f>
        <x:v>0.203</x:v>
      </x:c>
      <x:c r="G25" s="11" t="n">
        <x:f>IF('全量明细'!I303="","",'全量明细'!I303)</x:f>
        <x:v>0.18789999999999998</x:v>
      </x:c>
      <x:c r="H25" s="14" t="n">
        <x:f>IF('全量明细'!J303="","",'全量明细'!J303)</x:f>
        <x:v>1.510000000000003</x:v>
      </x:c>
      <x:c r="I25" s="28" t="n">
        <x:f>IF('全量明细'!E806="","",'全量明细'!E806)</x:f>
        <x:v>0.26765744</x:v>
      </x:c>
      <x:c r="J25" s="12" t="n">
        <x:f>IF('全量明细'!F806="","",'全量明细'!F806)</x:f>
        <x:v>2096</x:v>
      </x:c>
      <x:c r="K25" s="11" t="n">
        <x:f>IF('全量明细'!G806="","",'全量明细'!G806)</x:f>
        <x:v>0.6015999999999999</x:v>
      </x:c>
      <x:c r="L25" s="11" t="n">
        <x:f>IF('全量明细'!H806="","",'全量明细'!H806)</x:f>
        <x:v>0.272</x:v>
      </x:c>
      <x:c r="M25" s="11" t="n">
        <x:f>IF('全量明细'!I806="","",'全量明细'!I806)</x:f>
        <x:v>0.2611</x:v>
      </x:c>
      <x:c r="N25" s="14" t="n">
        <x:f>IF('全量明细'!J806="","",'全量明细'!J806)</x:f>
        <x:v>1.090000000000002</x:v>
      </x:c>
      <x:c r="O25" s="14" t="n">
        <x:f>IF(AND(ISNUMBER(C25),ISNUMBER(I25)),(I25-C25)*100,"")</x:f>
        <x:v>7.105984000000004</x:v>
      </x:c>
      <x:c r="P25" s="17" t="str"/>
    </x:row>
    <x:row r="26" ht="25" customHeight="1">
      <x:c r="A26" s="2" t="str">
        <x:v>涅奥</x:v>
      </x:c>
      <x:c r="B26" s="2" t="str">
        <x:v>松动羊毛剪</x:v>
      </x:c>
      <x:c r="C26" s="28" t="n">
        <x:f>IF('全量明细'!E307="","",'全量明细'!E307)</x:f>
        <x:v>0.18890982</x:v>
      </x:c>
      <x:c r="D26" s="12" t="n">
        <x:f>IF('全量明细'!F307="","",'全量明细'!F307)</x:f>
        <x:v>6119</x:v>
      </x:c>
      <x:c r="E26" s="11" t="n">
        <x:f>IF('全量明细'!G307="","",'全量明细'!G307)</x:f>
        <x:v>0.4033</x:v>
      </x:c>
      <x:c r="F26" s="11" t="n">
        <x:f>IF('全量明细'!H307="","",'全量明细'!H307)</x:f>
        <x:v>0.21600000000000003</x:v>
      </x:c>
      <x:c r="G26" s="11" t="n">
        <x:f>IF('全量明细'!I307="","",'全量明细'!I307)</x:f>
        <x:v>0.17059999999999997</x:v>
      </x:c>
      <x:c r="H26" s="14" t="n">
        <x:f>IF('全量明细'!J307="","",'全量明细'!J307)</x:f>
        <x:v>4.540000000000005</x:v>
      </x:c>
      <x:c r="I26" s="28" t="n">
        <x:f>IF('全量明细'!E800="","",'全量明细'!E800)</x:f>
        <x:v>0.28836103</x:v>
      </x:c>
      <x:c r="J26" s="12" t="n">
        <x:f>IF('全量明细'!F800="","",'全量明细'!F800)</x:f>
        <x:v>2164</x:v>
      </x:c>
      <x:c r="K26" s="11" t="n">
        <x:f>IF('全量明细'!G800="","",'全量明细'!G800)</x:f>
        <x:v>0.41590000000000005</x:v>
      </x:c>
      <x:c r="L26" s="11" t="n">
        <x:f>IF('全量明细'!H800="","",'全量明细'!H800)</x:f>
        <x:v>0.32439999999999997</x:v>
      </x:c>
      <x:c r="M26" s="11" t="n">
        <x:f>IF('全量明细'!I800="","",'全量明细'!I800)</x:f>
        <x:v>0.2627</x:v>
      </x:c>
      <x:c r="N26" s="14" t="n">
        <x:f>IF('全量明细'!J800="","",'全量明细'!J800)</x:f>
        <x:v>6.169999999999998</x:v>
      </x:c>
      <x:c r="O26" s="14" t="n">
        <x:f>IF(AND(ISNUMBER(C26),ISNUMBER(I26)),(I26-C26)*100,"")</x:f>
        <x:v>9.945121</x:v>
      </x:c>
      <x:c r="P26" s="17" t="str"/>
    </x:row>
    <x:row r="27" ht="25" customHeight="1">
      <x:c r="A27" s="2" t="str">
        <x:v>涅奥</x:v>
      </x:c>
      <x:c r="B27" s="2" t="str">
        <x:v>万花筒</x:v>
      </x:c>
      <x:c r="C27" s="28" t="n">
        <x:f>IF('全量明细'!E324="","",'全量明细'!E324)</x:f>
        <x:v>0.17716968000000002</x:v>
      </x:c>
      <x:c r="D27" s="12" t="n">
        <x:f>IF('全量明细'!F324="","",'全量明细'!F324)</x:f>
        <x:v>6021</x:v>
      </x:c>
      <x:c r="E27" s="11" t="n">
        <x:f>IF('全量明细'!G324="","",'全量明细'!G324)</x:f>
        <x:v>0.24760000000000001</x:v>
      </x:c>
      <x:c r="F27" s="11" t="n">
        <x:f>IF('全量明细'!H324="","",'全量明细'!H324)</x:f>
        <x:v>0.171</x:v>
      </x:c>
      <x:c r="G27" s="11" t="n">
        <x:f>IF('全量明细'!I324="","",'全量明细'!I324)</x:f>
        <x:v>0.17920000000000003</x:v>
      </x:c>
      <x:c r="H27" s="14" t="n">
        <x:f>IF('全量明细'!J324="","",'全量明细'!J324)</x:f>
        <x:v>-0.8200000000000013</x:v>
      </x:c>
      <x:c r="I27" s="28" t="n">
        <x:f>IF('全量明细'!E803="","",'全量明细'!E803)</x:f>
        <x:v>0.27092774</x:v>
      </x:c>
      <x:c r="J27" s="12" t="n">
        <x:f>IF('全量明细'!F803="","",'全量明细'!F803)</x:f>
        <x:v>2635</x:v>
      </x:c>
      <x:c r="K27" s="11" t="n">
        <x:f>IF('全量明细'!G803="","",'全量明细'!G803)</x:f>
        <x:v>0.24780000000000002</x:v>
      </x:c>
      <x:c r="L27" s="11" t="n">
        <x:f>IF('全量明细'!H803="","",'全量明细'!H803)</x:f>
        <x:v>0.23579999999999998</x:v>
      </x:c>
      <x:c r="M27" s="11" t="n">
        <x:f>IF('全量明细'!I803="","",'全量明细'!I803)</x:f>
        <x:v>0.2825</x:v>
      </x:c>
      <x:c r="N27" s="14" t="n">
        <x:f>IF('全量明细'!J803="","",'全量明细'!J803)</x:f>
        <x:v>-4.669999999999999</x:v>
      </x:c>
      <x:c r="O27" s="14" t="n">
        <x:f>IF(AND(ISNUMBER(C27),ISNUMBER(I27)),(I27-C27)*100,"")</x:f>
        <x:v>9.375805999999995</x:v>
      </x:c>
      <x:c r="P27" s="17" t="str"/>
    </x:row>
    <x:row r="28" ht="25" customHeight="1">
      <x:c r="A28" s="2" t="str">
        <x:v>涅奥</x:v>
      </x:c>
      <x:c r="B28" s="2" t="str">
        <x:v>小型扭蛋</x:v>
      </x:c>
      <x:c r="C28" s="28" t="n">
        <x:f>IF('全量明细'!E305="","",'全量明细'!E305)</x:f>
        <x:v>0.19181184</x:v>
      </x:c>
      <x:c r="D28" s="12" t="n">
        <x:f>IF('全量明细'!F305="","",'全量明细'!F305)</x:f>
        <x:v>2899</x:v>
      </x:c>
      <x:c r="E28" s="11" t="n">
        <x:f>IF('全量明细'!G305="","",'全量明细'!G305)</x:f>
        <x:v>0.2328</x:v>
      </x:c>
      <x:c r="F28" s="11" t="n">
        <x:f>IF('全量明细'!H305="","",'全量明细'!H305)</x:f>
        <x:v>0.15560000000000002</x:v>
      </x:c>
      <x:c r="G28" s="11" t="n">
        <x:f>IF('全量明细'!I305="","",'全量明细'!I305)</x:f>
        <x:v>0.2028</x:v>
      </x:c>
      <x:c r="H28" s="14" t="n">
        <x:f>IF('全量明细'!J305="","",'全量明细'!J305)</x:f>
        <x:v>-4.719999999999999</x:v>
      </x:c>
      <x:c r="I28" s="28" t="n">
        <x:f>IF('全量明细'!E808="","",'全量明细'!E808)</x:f>
        <x:v>0.26668024999999995</x:v>
      </x:c>
      <x:c r="J28" s="12" t="n">
        <x:f>IF('全量明细'!F808="","",'全量明细'!F808)</x:f>
        <x:v>1275</x:v>
      </x:c>
      <x:c r="K28" s="11" t="n">
        <x:f>IF('全量明细'!G808="","",'全量明细'!G808)</x:f>
        <x:v>0.2675</x:v>
      </x:c>
      <x:c r="L28" s="11" t="n">
        <x:f>IF('全量明细'!H808="","",'全量明细'!H808)</x:f>
        <x:v>0.2669</x:v>
      </x:c>
      <x:c r="M28" s="11" t="n">
        <x:f>IF('全量明细'!I808="","",'全量明细'!I808)</x:f>
        <x:v>0.2666</x:v>
      </x:c>
      <x:c r="N28" s="14" t="n">
        <x:f>IF('全量明细'!J808="","",'全量明细'!J808)</x:f>
        <x:v>0.030000000000002247</x:v>
      </x:c>
      <x:c r="O28" s="14" t="n">
        <x:f>IF(AND(ISNUMBER(C28),ISNUMBER(I28)),(I28-C28)*100,"")</x:f>
        <x:v>7.486840999999994</x:v>
      </x:c>
      <x:c r="P28" s="17" t="str"/>
    </x:row>
    <x:row r="29" ht="25" customHeight="1">
      <x:c r="A29" s="2" t="str">
        <x:v>涅奥</x:v>
      </x:c>
      <x:c r="B29" s="2" t="str">
        <x:v>新叶</x:v>
      </x:c>
      <x:c r="C29" s="28" t="n">
        <x:f>IF('全量明细'!E310="","",'全量明细'!E310)</x:f>
        <x:v>0.18566227999999999</x:v>
      </x:c>
      <x:c r="D29" s="12" t="n">
        <x:f>IF('全量明细'!F310="","",'全量明细'!F310)</x:f>
        <x:v>5751</x:v>
      </x:c>
      <x:c r="E29" s="11" t="n">
        <x:f>IF('全量明细'!G310="","",'全量明细'!G310)</x:f>
        <x:v>0.3933</x:v>
      </x:c>
      <x:c r="F29" s="11" t="n">
        <x:f>IF('全量明细'!H310="","",'全量明细'!H310)</x:f>
        <x:v>0.19269999999999998</x:v>
      </x:c>
      <x:c r="G29" s="11" t="n">
        <x:f>IF('全量明细'!I310="","",'全量明细'!I310)</x:f>
        <x:v>0.18109999999999998</x:v>
      </x:c>
      <x:c r="H29" s="14" t="n">
        <x:f>IF('全量明细'!J310="","",'全量明细'!J310)</x:f>
        <x:v>1.16</x:v>
      </x:c>
      <x:c r="I29" s="28" t="n">
        <x:f>IF('全量明细'!E801="","",'全量明细'!E801)</x:f>
        <x:v>0.27959990999999995</x:v>
      </x:c>
      <x:c r="J29" s="12" t="n">
        <x:f>IF('全量明细'!F801="","",'全量明细'!F801)</x:f>
        <x:v>2457</x:v>
      </x:c>
      <x:c r="K29" s="11" t="n">
        <x:f>IF('全量明细'!G801="","",'全量明细'!G801)</x:f>
        <x:v>0.4567</x:v>
      </x:c>
      <x:c r="L29" s="11" t="n">
        <x:f>IF('全量明细'!H801="","",'全量明细'!H801)</x:f>
        <x:v>0.2727</x:v>
      </x:c>
      <x:c r="M29" s="11" t="n">
        <x:f>IF('全量明细'!I801="","",'全量明细'!I801)</x:f>
        <x:v>0.2854</x:v>
      </x:c>
      <x:c r="N29" s="14" t="n">
        <x:f>IF('全量明细'!J801="","",'全量明细'!J801)</x:f>
        <x:v>-1.269999999999999</x:v>
      </x:c>
      <x:c r="O29" s="14" t="n">
        <x:f>IF(AND(ISNUMBER(C29),ISNUMBER(I29)),(I29-C29)*100,"")</x:f>
        <x:v>9.393762999999996</x:v>
      </x:c>
      <x:c r="P29" s="17" t="str"/>
    </x:row>
    <x:row r="30" ht="25" customHeight="1">
      <x:c r="A30" s="2" t="str">
        <x:v>涅奥</x:v>
      </x:c>
      <x:c r="B30" s="2" t="str">
        <x:v>寻龙尺</x:v>
      </x:c>
      <x:c r="C30" s="28"/>
      <x:c r="D30" s="12"/>
      <x:c r="E30" s="11"/>
      <x:c r="F30" s="11"/>
      <x:c r="G30" s="11"/>
      <x:c r="H30" s="14"/>
      <x:c r="I30" s="28" t="n">
        <x:f>IF('全量明细'!E826="","",'全量明细'!E826)</x:f>
        <x:v>0.24847615999999997</x:v>
      </x:c>
      <x:c r="J30" s="12" t="n">
        <x:f>IF('全量明细'!F826="","",'全量明细'!F826)</x:f>
        <x:v>2008</x:v>
      </x:c>
      <x:c r="K30" s="11" t="n">
        <x:f>IF('全量明细'!G826="","",'全量明细'!G826)</x:f>
        <x:v>0.3496</x:v>
      </x:c>
      <x:c r="L30" s="11" t="n">
        <x:f>IF('全量明细'!H826="","",'全量明细'!H826)</x:f>
        <x:v>0.22219999999999998</x:v>
      </x:c>
      <x:c r="M30" s="11" t="n">
        <x:f>IF('全量明细'!I826="","",'全量明细'!I826)</x:f>
        <x:v>0.2626</x:v>
      </x:c>
      <x:c r="N30" s="14" t="n">
        <x:f>IF('全量明细'!J826="","",'全量明细'!J826)</x:f>
        <x:v>-4.040000000000002</x:v>
      </x:c>
      <x:c r="O30" s="14" t="str">
        <x:f>IF(AND(ISNUMBER(C30),ISNUMBER(I30)),(I30-C30)*100,"")</x:f>
      </x:c>
      <x:c r="P30" s="17" t="str"/>
    </x:row>
    <x:row r="31" ht="25" customHeight="1">
      <x:c r="A31" s="2" t="str">
        <x:v>涅奥</x:v>
      </x:c>
      <x:c r="B31" s="2" t="str">
        <x:v>药瓶皮套</x:v>
      </x:c>
      <x:c r="C31" s="28" t="n">
        <x:f>IF('全量明细'!E315="","",'全量明细'!E315)</x:f>
        <x:v>0.1805659</x:v>
      </x:c>
      <x:c r="D31" s="12" t="n">
        <x:f>IF('全量明细'!F315="","",'全量明细'!F315)</x:f>
        <x:v>6329</x:v>
      </x:c>
      <x:c r="E31" s="11" t="n">
        <x:f>IF('全量明细'!G315="","",'全量明细'!G315)</x:f>
        <x:v>0.1765</x:v>
      </x:c>
      <x:c r="F31" s="11" t="n">
        <x:f>IF('全量明细'!H315="","",'全量明细'!H315)</x:f>
        <x:v>0.214</x:v>
      </x:c>
      <x:c r="G31" s="11" t="n">
        <x:f>IF('全量明细'!I315="","",'全量明细'!I315)</x:f>
        <x:v>0.1734</x:v>
      </x:c>
      <x:c r="H31" s="14" t="n">
        <x:f>IF('全量明细'!J315="","",'全量明细'!J315)</x:f>
        <x:v>4.06</x:v>
      </x:c>
      <x:c r="I31" s="28" t="n">
        <x:f>IF('全量明细'!E802="","",'全量明细'!E802)</x:f>
        <x:v>0.27941924</x:v>
      </x:c>
      <x:c r="J31" s="12" t="n">
        <x:f>IF('全量明细'!F802="","",'全量明细'!F802)</x:f>
        <x:v>2523</x:v>
      </x:c>
      <x:c r="K31" s="11" t="n">
        <x:f>IF('全量明细'!G802="","",'全量明细'!G802)</x:f>
        <x:v>0.21239999999999998</x:v>
      </x:c>
      <x:c r="L31" s="11" t="n">
        <x:f>IF('全量明细'!H802="","",'全量明细'!H802)</x:f>
        <x:v>0.3937</x:v>
      </x:c>
      <x:c r="M31" s="11" t="n">
        <x:f>IF('全量明细'!I802="","",'全量明细'!I802)</x:f>
        <x:v>0.2486</x:v>
      </x:c>
      <x:c r="N31" s="14" t="n">
        <x:f>IF('全量明细'!J802="","",'全量明细'!J802)</x:f>
        <x:v>14.510000000000002</x:v>
      </x:c>
      <x:c r="O31" s="14" t="n">
        <x:f>IF(AND(ISNUMBER(C31),ISNUMBER(I31)),(I31-C31)*100,"")</x:f>
        <x:v>9.885334</x:v>
      </x:c>
      <x:c r="P31" s="17" t="str"/>
    </x:row>
    <x:row r="32" ht="25" customHeight="1">
      <x:c r="A32" s="2" t="str">
        <x:v>涅奥</x:v>
      </x:c>
      <x:c r="B32" s="2" t="str">
        <x:v>营养牡蛎</x:v>
      </x:c>
      <x:c r="C32" s="28" t="n">
        <x:f>IF('全量明细'!E326="","",'全量明细'!E326)</x:f>
        <x:v>0.17581507999999998</x:v>
      </x:c>
      <x:c r="D32" s="12" t="n">
        <x:f>IF('全量明细'!F326="","",'全量明细'!F326)</x:f>
        <x:v>3344</x:v>
      </x:c>
      <x:c r="E32" s="11" t="n">
        <x:f>IF('全量明细'!G326="","",'全量明细'!G326)</x:f>
        <x:v>0.1124</x:v>
      </x:c>
      <x:c r="F32" s="11" t="n">
        <x:f>IF('全量明细'!H326="","",'全量明细'!H326)</x:f>
        <x:v>0.1862</x:v>
      </x:c>
      <x:c r="G32" s="11" t="n">
        <x:f>IF('全量明细'!I326="","",'全量明细'!I326)</x:f>
        <x:v>0.1745</x:v>
      </x:c>
      <x:c r="H32" s="14" t="n">
        <x:f>IF('全量明细'!J326="","",'全量明细'!J326)</x:f>
        <x:v>1.1700000000000017</x:v>
      </x:c>
      <x:c r="I32" s="28" t="n">
        <x:f>IF('全量明细'!E825="","",'全量明细'!E825)</x:f>
        <x:v>0.24997928</x:v>
      </x:c>
      <x:c r="J32" s="12" t="n">
        <x:f>IF('全量明细'!F825="","",'全量明细'!F825)</x:f>
        <x:v>1316</x:v>
      </x:c>
      <x:c r="K32" s="11" t="n">
        <x:f>IF('全量明细'!G825="","",'全量明细'!G825)</x:f>
        <x:v>0.1368</x:v>
      </x:c>
      <x:c r="L32" s="11" t="n">
        <x:f>IF('全量明细'!H825="","",'全量明细'!H825)</x:f>
        <x:v>0.2</x:v>
      </x:c>
      <x:c r="M32" s="11" t="n">
        <x:f>IF('全量明细'!I825="","",'全量明细'!I825)</x:f>
        <x:v>0.2579</x:v>
      </x:c>
      <x:c r="N32" s="14" t="n">
        <x:f>IF('全量明细'!J825="","",'全量明细'!J825)</x:f>
        <x:v>-5.790000000000001</x:v>
      </x:c>
      <x:c r="O32" s="14" t="n">
        <x:f>IF(AND(ISNUMBER(C32),ISNUMBER(I32)),(I32-C32)*100,"")</x:f>
        <x:v>7.416420000000001</x:v>
      </x:c>
      <x:c r="P32" s="17" t="str"/>
    </x:row>
    <x:row r="33" ht="25" customHeight="1">
      <x:c r="A33" s="2" t="str">
        <x:v>涅奥</x:v>
      </x:c>
      <x:c r="B33" s="2" t="str">
        <x:v>羽翼之靴</x:v>
      </x:c>
      <x:c r="C33" s="28" t="n">
        <x:f>IF('全量明细'!E311="","",'全量明细'!E311)</x:f>
        <x:v>0.18481088</x:v>
      </x:c>
      <x:c r="D33" s="12" t="n">
        <x:f>IF('全量明细'!F311="","",'全量明细'!F311)</x:f>
        <x:v>6353</x:v>
      </x:c>
      <x:c r="E33" s="11" t="n">
        <x:f>IF('全量明细'!G311="","",'全量明细'!G311)</x:f>
        <x:v>0.2382</x:v>
      </x:c>
      <x:c r="F33" s="11" t="n">
        <x:f>IF('全量明细'!H311="","",'全量明细'!H311)</x:f>
        <x:v>0.2293</x:v>
      </x:c>
      <x:c r="G33" s="11" t="n">
        <x:f>IF('全量明细'!I311="","",'全量明细'!I311)</x:f>
        <x:v>0.1709</x:v>
      </x:c>
      <x:c r="H33" s="14" t="n">
        <x:f>IF('全量明细'!J311="","",'全量明细'!J311)</x:f>
        <x:v>5.840000000000001</x:v>
      </x:c>
      <x:c r="I33" s="28" t="n">
        <x:f>IF('全量明细'!E827="","",'全量明细'!E827)</x:f>
        <x:v>0.24594462</x:v>
      </x:c>
      <x:c r="J33" s="12" t="n">
        <x:f>IF('全量明细'!F827="","",'全量明细'!F827)</x:f>
        <x:v>2704</x:v>
      </x:c>
      <x:c r="K33" s="11" t="n">
        <x:f>IF('全量明细'!G827="","",'全量明细'!G827)</x:f>
        <x:v>0.2293</x:v>
      </x:c>
      <x:c r="L33" s="11" t="n">
        <x:f>IF('全量明细'!H827="","",'全量明细'!H827)</x:f>
        <x:v>0.2871</x:v>
      </x:c>
      <x:c r="M33" s="11" t="n">
        <x:f>IF('全量明细'!I827="","",'全量明细'!I827)</x:f>
        <x:v>0.23370000000000002</x:v>
      </x:c>
      <x:c r="N33" s="14" t="n">
        <x:f>IF('全量明细'!J827="","",'全量明细'!J827)</x:f>
        <x:v>5.34</x:v>
      </x:c>
      <x:c r="O33" s="14" t="n">
        <x:f>IF(AND(ISNUMBER(C33),ISNUMBER(I33)),(I33-C33)*100,"")</x:f>
        <x:v>6.113373999999999</x:v>
      </x:c>
      <x:c r="P33" s="17" t="str"/>
    </x:row>
    <x:row r="34" ht="25" customHeight="1">
      <x:c r="A34" s="2" t="str">
        <x:v>涅奥</x:v>
      </x:c>
      <x:c r="B34" s="2" t="str">
        <x:v>诅咒珍珠</x:v>
      </x:c>
      <x:c r="C34" s="28" t="n">
        <x:f>IF('全量明细'!E316="","",'全量明细'!E316)</x:f>
        <x:v>0.1798306</x:v>
      </x:c>
      <x:c r="D34" s="12" t="n">
        <x:f>IF('全量明细'!F316="","",'全量明细'!F316)</x:f>
        <x:v>6134</x:v>
      </x:c>
      <x:c r="E34" s="11" t="n">
        <x:f>IF('全量明细'!G316="","",'全量明细'!G316)</x:f>
        <x:v>0.517</x:v>
      </x:c>
      <x:c r="F34" s="11" t="n">
        <x:f>IF('全量明细'!H316="","",'全量明细'!H316)</x:f>
        <x:v>0.1807</x:v>
      </x:c>
      <x:c r="G34" s="11" t="n">
        <x:f>IF('全量明细'!I316="","",'全量明细'!I316)</x:f>
        <x:v>0.1789</x:v>
      </x:c>
      <x:c r="H34" s="14" t="n">
        <x:f>IF('全量明细'!J316="","",'全量明细'!J316)</x:f>
        <x:v>0.1799999999999996</x:v>
      </x:c>
      <x:c r="I34" s="28" t="n">
        <x:f>IF('全量明细'!E823="","",'全量明细'!E823)</x:f>
        <x:v>0.25388276</x:v>
      </x:c>
      <x:c r="J34" s="12" t="n">
        <x:f>IF('全量明细'!F823="","",'全量明细'!F823)</x:f>
        <x:v>2127</x:v>
      </x:c>
      <x:c r="K34" s="11" t="n">
        <x:f>IF('全量明细'!G823="","",'全量明细'!G823)</x:f>
        <x:v>0.5147999999999999</x:v>
      </x:c>
      <x:c r="L34" s="11" t="n">
        <x:f>IF('全量明细'!H823="","",'全量明细'!H823)</x:f>
        <x:v>0.2484</x:v>
      </x:c>
      <x:c r="M34" s="11" t="n">
        <x:f>IF('全量明细'!I823="","",'全量明细'!I823)</x:f>
        <x:v>0.2597</x:v>
      </x:c>
      <x:c r="N34" s="14" t="n">
        <x:f>IF('全量明细'!J823="","",'全量明细'!J823)</x:f>
        <x:v>-1.1299999999999977</x:v>
      </x:c>
      <x:c r="O34" s="14" t="n">
        <x:f>IF(AND(ISNUMBER(C34),ISNUMBER(I34)),(I34-C34)*100,"")</x:f>
        <x:v>7.405215999999998</x:v>
      </x:c>
      <x:c r="P34" s="17" t="str"/>
    </x:row>
    <x:row r="35" ht="25" customHeight="1">
      <x:c r="A35" s="20" t="str">
        <x:v>欧洛巴斯</x:v>
      </x:c>
      <x:c r="B35" s="20" t="str">
        <x:v>玻璃眼珠</x:v>
      </x:c>
      <x:c r="C35" s="27" t="n">
        <x:f>IF('全量明细'!E336="","",'全量明细'!E336)</x:f>
        <x:v>0.26261875</x:v>
      </x:c>
      <x:c r="D35" s="23" t="n">
        <x:f>IF('全量明细'!F336="","",'全量明细'!F336)</x:f>
        <x:v>2315</x:v>
      </x:c>
      <x:c r="E35" s="22" t="n">
        <x:f>IF('全量明细'!G336="","",'全量明细'!G336)</x:f>
        <x:v>0.46950000000000003</x:v>
      </x:c>
      <x:c r="F35" s="22" t="n">
        <x:f>IF('全量明细'!H336="","",'全量明细'!H336)</x:f>
        <x:v>0.2162</x:v>
      </x:c>
      <x:c r="G35" s="22" t="n">
        <x:f>IF('全量明细'!I336="","",'全量明细'!I336)</x:f>
        <x:v>0.3037</x:v>
      </x:c>
      <x:c r="H35" s="24" t="n">
        <x:f>IF('全量明细'!J336="","",'全量明细'!J336)</x:f>
        <x:v>-8.750000000000002</x:v>
      </x:c>
      <x:c r="I35" s="27" t="n">
        <x:f>IF('全量明细'!E836="","",'全量明细'!E836)</x:f>
        <x:v>0.35776410000000003</x:v>
      </x:c>
      <x:c r="J35" s="23" t="n">
        <x:f>IF('全量明细'!F836="","",'全量明细'!F836)</x:f>
        <x:v>1308</x:v>
      </x:c>
      <x:c r="K35" s="22" t="n">
        <x:f>IF('全量明细'!G836="","",'全量明细'!G836)</x:f>
        <x:v>0.4702</x:v>
      </x:c>
      <x:c r="L35" s="22" t="n">
        <x:f>IF('全量明细'!H836="","",'全量明细'!H836)</x:f>
        <x:v>0.3024</x:v>
      </x:c>
      <x:c r="M35" s="22" t="n">
        <x:f>IF('全量明细'!I836="","",'全量明细'!I836)</x:f>
        <x:v>0.4069</x:v>
      </x:c>
      <x:c r="N35" s="24" t="n">
        <x:f>IF('全量明细'!J836="","",'全量明细'!J836)</x:f>
        <x:v>-10.449999999999998</x:v>
      </x:c>
      <x:c r="O35" s="24" t="n">
        <x:f>IF(AND(ISNUMBER(C35),ISNUMBER(I35)),(I35-C35)*100,"")</x:f>
        <x:v>9.514535000000002</x:v>
      </x:c>
      <x:c r="P35" s="31" t="str"/>
    </x:row>
    <x:row r="36" ht="25" customHeight="1">
      <x:c r="A36" s="2" t="str">
        <x:v>欧洛巴斯</x:v>
      </x:c>
      <x:c r="B36" s="2" t="str">
        <x:v>发光珍珠</x:v>
      </x:c>
      <x:c r="C36" s="28" t="n">
        <x:f>IF('全量明细'!E332="","",'全量明细'!E332)</x:f>
        <x:v>0.28048824</x:v>
      </x:c>
      <x:c r="D36" s="12" t="n">
        <x:f>IF('全量明细'!F332="","",'全量明细'!F332)</x:f>
        <x:v>2606</x:v>
      </x:c>
      <x:c r="E36" s="11" t="n">
        <x:f>IF('全量明细'!G332="","",'全量明细'!G332)</x:f>
        <x:v>0.3062</x:v>
      </x:c>
      <x:c r="F36" s="11" t="n">
        <x:f>IF('全量明细'!H332="","",'全量明细'!H332)</x:f>
        <x:v>0.3396</x:v>
      </x:c>
      <x:c r="G36" s="11" t="n">
        <x:f>IF('全量明细'!I332="","",'全量明细'!I332)</x:f>
        <x:v>0.2544</x:v>
      </x:c>
      <x:c r="H36" s="14" t="n">
        <x:f>IF('全量明细'!J332="","",'全量明细'!J332)</x:f>
        <x:v>8.52</x:v>
      </x:c>
      <x:c r="I36" s="28" t="n">
        <x:f>IF('全量明细'!E831="","",'全量明细'!E831)</x:f>
        <x:v>0.40080990000000005</x:v>
      </x:c>
      <x:c r="J36" s="12" t="n">
        <x:f>IF('全量明细'!F831="","",'全量明细'!F831)</x:f>
        <x:v>781</x:v>
      </x:c>
      <x:c r="K36" s="11" t="n">
        <x:f>IF('全量明细'!G831="","",'全量明细'!G831)</x:f>
        <x:v>0.3086</x:v>
      </x:c>
      <x:c r="L36" s="11" t="n">
        <x:f>IF('全量明细'!H831="","",'全量明细'!H831)</x:f>
        <x:v>0.5021</x:v>
      </x:c>
      <x:c r="M36" s="11" t="n">
        <x:f>IF('全量明细'!I831="","",'全量明细'!I831)</x:f>
        <x:v>0.3556</x:v>
      </x:c>
      <x:c r="N36" s="14" t="n">
        <x:f>IF('全量明细'!J831="","",'全量明细'!J831)</x:f>
        <x:v>14.649999999999997</x:v>
      </x:c>
      <x:c r="O36" s="14" t="n">
        <x:f>IF(AND(ISNUMBER(C36),ISNUMBER(I36)),(I36-C36)*100,"")</x:f>
        <x:v>12.032166000000005</x:v>
      </x:c>
      <x:c r="P36" s="17" t="str"/>
    </x:row>
    <x:row r="37" ht="25" customHeight="1">
      <x:c r="A37" s="2" t="str">
        <x:v>欧洛巴斯</x:v>
      </x:c>
      <x:c r="B37" s="2" t="str">
        <x:v>放电异虾</x:v>
      </x:c>
      <x:c r="C37" s="28" t="n">
        <x:f>IF('全量明细'!E330="","",'全量明细'!E330)</x:f>
        <x:v>0.28709332000000004</x:v>
      </x:c>
      <x:c r="D37" s="12" t="n">
        <x:f>IF('全量明细'!F330="","",'全量明细'!F330)</x:f>
        <x:v>2393</x:v>
      </x:c>
      <x:c r="E37" s="11" t="n">
        <x:f>IF('全量明细'!G330="","",'全量明细'!G330)</x:f>
        <x:v>0.40619999999999995</x:v>
      </x:c>
      <x:c r="F37" s="11" t="n">
        <x:f>IF('全量明细'!H330="","",'全量明细'!H330)</x:f>
        <x:v>0.2922</x:v>
      </x:c>
      <x:c r="G37" s="11" t="n">
        <x:f>IF('全量明细'!I330="","",'全量明细'!I330)</x:f>
        <x:v>0.2836</x:v>
      </x:c>
      <x:c r="H37" s="14" t="n">
        <x:f>IF('全量明细'!J330="","",'全量明细'!J330)</x:f>
        <x:v>0.8599999999999997</x:v>
      </x:c>
      <x:c r="I37" s="28" t="n">
        <x:f>IF('全量明细'!E833="","",'全量明细'!E833)</x:f>
        <x:v>0.393556</x:v>
      </x:c>
      <x:c r="J37" s="12" t="n">
        <x:f>IF('全量明细'!F833="","",'全量明细'!F833)</x:f>
        <x:v>1400</x:v>
      </x:c>
      <x:c r="K37" s="11" t="n">
        <x:f>IF('全量明细'!G833="","",'全量明细'!G833)</x:f>
        <x:v>0.39</x:v>
      </x:c>
      <x:c r="L37" s="11" t="n">
        <x:f>IF('全量明细'!H833="","",'全量明细'!H833)</x:f>
        <x:v>0.4121</x:v>
      </x:c>
      <x:c r="M37" s="11" t="n">
        <x:f>IF('全量明细'!I833="","",'全量明细'!I833)</x:f>
        <x:v>0.38170000000000004</x:v>
      </x:c>
      <x:c r="N37" s="14" t="n">
        <x:f>IF('全量明细'!J833="","",'全量明细'!J833)</x:f>
        <x:v>3.0399999999999983</x:v>
      </x:c>
      <x:c r="O37" s="14" t="n">
        <x:f>IF(AND(ISNUMBER(C37),ISNUMBER(I37)),(I37-C37)*100,"")</x:f>
        <x:v>10.646267999999997</x:v>
      </x:c>
      <x:c r="P37" s="17" t="str"/>
    </x:row>
    <x:row r="38" ht="25" customHeight="1">
      <x:c r="A38" s="2" t="str">
        <x:v>欧洛巴斯</x:v>
      </x:c>
      <x:c r="B38" s="2" t="str">
        <x:v>浮木</x:v>
      </x:c>
      <x:c r="C38" s="28" t="n">
        <x:f>IF('全量明细'!E338="","",'全量明细'!E338)</x:f>
        <x:v>0.24829978999999996</x:v>
      </x:c>
      <x:c r="D38" s="12" t="n">
        <x:f>IF('全量明细'!F338="","",'全量明细'!F338)</x:f>
        <x:v>2553</x:v>
      </x:c>
      <x:c r="E38" s="11" t="n">
        <x:f>IF('全量明细'!G338="","",'全量明细'!G338)</x:f>
        <x:v>0.2609</x:v>
      </x:c>
      <x:c r="F38" s="11" t="n">
        <x:f>IF('全量明细'!H338="","",'全量明细'!H338)</x:f>
        <x:v>0.2432</x:v>
      </x:c>
      <x:c r="G38" s="11" t="n">
        <x:f>IF('全量明细'!I338="","",'全量明细'!I338)</x:f>
        <x:v>0.2501</x:v>
      </x:c>
      <x:c r="H38" s="14" t="n">
        <x:f>IF('全量明细'!J338="","",'全量明细'!J338)</x:f>
        <x:v>-0.689999999999999</x:v>
      </x:c>
      <x:c r="I38" s="28" t="n">
        <x:f>IF('全量明细'!E837="","",'全量明细'!E837)</x:f>
        <x:v>0.34265919999999994</x:v>
      </x:c>
      <x:c r="J38" s="12" t="n">
        <x:f>IF('全量明细'!F837="","",'全量明细'!F837)</x:f>
        <x:v>820</x:v>
      </x:c>
      <x:c r="K38" s="11" t="n">
        <x:f>IF('全量明细'!G837="","",'全量明细'!G837)</x:f>
        <x:v>0.2232</x:v>
      </x:c>
      <x:c r="L38" s="11" t="n">
        <x:f>IF('全量明细'!H837="","",'全量明细'!H837)</x:f>
        <x:v>0.32789999999999997</x:v>
      </x:c>
      <x:c r="M38" s="11" t="n">
        <x:f>IF('全量明细'!I837="","",'全量明细'!I837)</x:f>
        <x:v>0.3469</x:v>
      </x:c>
      <x:c r="N38" s="14" t="n">
        <x:f>IF('全量明细'!J837="","",'全量明细'!J837)</x:f>
        <x:v>-1.9000000000000017</x:v>
      </x:c>
      <x:c r="O38" s="14" t="n">
        <x:f>IF(AND(ISNUMBER(C38),ISNUMBER(I38)),(I38-C38)*100,"")</x:f>
        <x:v>9.435940999999998</x:v>
      </x:c>
      <x:c r="P38" s="17" t="str"/>
    </x:row>
    <x:row r="39" ht="25" customHeight="1">
      <x:c r="A39" s="2" t="str">
        <x:v>欧洛巴斯</x:v>
      </x:c>
      <x:c r="B39" s="2" t="str">
        <x:v>古老牙齿</x:v>
      </x:c>
      <x:c r="C39" s="28" t="n">
        <x:f>IF('全量明细'!E335="","",'全量明细'!E335)</x:f>
        <x:v>0.26651201999999996</x:v>
      </x:c>
      <x:c r="D39" s="12" t="n">
        <x:f>IF('全量明细'!F335="","",'全量明细'!F335)</x:f>
        <x:v>3816</x:v>
      </x:c>
      <x:c r="E39" s="11" t="n">
        <x:f>IF('全量明细'!G335="","",'全量明细'!G335)</x:f>
        <x:v>0.3079</x:v>
      </x:c>
      <x:c r="F39" s="11" t="n">
        <x:f>IF('全量明细'!H335="","",'全量明细'!H335)</x:f>
        <x:v>0.2553</x:v>
      </x:c>
      <x:c r="G39" s="11" t="n">
        <x:f>IF('全量明细'!I335="","",'全量明细'!I335)</x:f>
        <x:v>0.27149999999999996</x:v>
      </x:c>
      <x:c r="H39" s="14" t="n">
        <x:f>IF('全量明细'!J335="","",'全量明细'!J335)</x:f>
        <x:v>-1.6199999999999937</x:v>
      </x:c>
      <x:c r="I39" s="28" t="n">
        <x:f>IF('全量明细'!E835="","",'全量明细'!E835)</x:f>
        <x:v>0.36513700000000004</x:v>
      </x:c>
      <x:c r="J39" s="12" t="n">
        <x:f>IF('全量明细'!F835="","",'全量明细'!F835)</x:f>
        <x:v>1583</x:v>
      </x:c>
      <x:c r="K39" s="11" t="n">
        <x:f>IF('全量明细'!G835="","",'全量明细'!G835)</x:f>
        <x:v>0.295</x:v>
      </x:c>
      <x:c r="L39" s="11" t="n">
        <x:f>IF('全量明细'!H835="","",'全量明细'!H835)</x:f>
        <x:v>0.3148</x:v>
      </x:c>
      <x:c r="M39" s="11" t="n">
        <x:f>IF('全量明细'!I835="","",'全量明细'!I835)</x:f>
        <x:v>0.3862</x:v>
      </x:c>
      <x:c r="N39" s="14" t="n">
        <x:f>IF('全量明细'!J835="","",'全量明细'!J835)</x:f>
        <x:v>-7.139999999999996</x:v>
      </x:c>
      <x:c r="O39" s="14" t="n">
        <x:f>IF(AND(ISNUMBER(C39),ISNUMBER(I39)),(I39-C39)*100,"")</x:f>
        <x:v>9.86249800000001</x:v>
      </x:c>
      <x:c r="P39" s="17" t="str"/>
    </x:row>
    <x:row r="40" ht="25" customHeight="1">
      <x:c r="A40" s="2" t="str">
        <x:v>欧洛巴斯</x:v>
      </x:c>
      <x:c r="B40" s="2" t="str">
        <x:v>棱彩宝石</x:v>
      </x:c>
      <x:c r="C40" s="28" t="n">
        <x:f>IF('全量明细'!E334="","",'全量明细'!E334)</x:f>
        <x:v>0.27274783</x:v>
      </x:c>
      <x:c r="D40" s="12" t="n">
        <x:f>IF('全量明细'!F334="","",'全量明细'!F334)</x:f>
        <x:v>715</x:v>
      </x:c>
      <x:c r="E40" s="11" t="n">
        <x:f>IF('全量明细'!G334="","",'全量明细'!G334)</x:f>
        <x:v>0.4643</x:v>
      </x:c>
      <x:c r="F40" s="11" t="n">
        <x:f>IF('全量明细'!H334="","",'全量明细'!H334)</x:f>
        <x:v>0.32530000000000003</x:v>
      </x:c>
      <x:c r="G40" s="11" t="n">
        <x:f>IF('全量明细'!I334="","",'全量明细'!I334)</x:f>
        <x:v>0.22719999999999999</x:v>
      </x:c>
      <x:c r="H40" s="14" t="n">
        <x:f>IF('全量明细'!J334="","",'全量明细'!J334)</x:f>
        <x:v>9.810000000000004</x:v>
      </x:c>
      <x:c r="I40" s="28" t="n">
        <x:f>IF('全量明细'!E830="","",'全量明细'!E830)</x:f>
        <x:v>0.4013409600000001</x:v>
      </x:c>
      <x:c r="J40" s="12" t="n">
        <x:f>IF('全量明细'!F830="","",'全量明细'!F830)</x:f>
        <x:v>456</x:v>
      </x:c>
      <x:c r="K40" s="11" t="n">
        <x:f>IF('全量明细'!G830="","",'全量明细'!G830)</x:f>
        <x:v>0.49560000000000004</x:v>
      </x:c>
      <x:c r="L40" s="11" t="n">
        <x:f>IF('全量明细'!H830="","",'全量明细'!H830)</x:f>
        <x:v>0.4425</x:v>
      </x:c>
      <x:c r="M40" s="11" t="n">
        <x:f>IF('全量明细'!I830="","",'全量明细'!I830)</x:f>
        <x:v>0.36090000000000005</x:v>
      </x:c>
      <x:c r="N40" s="14" t="n">
        <x:f>IF('全量明细'!J830="","",'全量明细'!J830)</x:f>
        <x:v>8.159999999999995</x:v>
      </x:c>
      <x:c r="O40" s="14" t="n">
        <x:f>IF(AND(ISNUMBER(C40),ISNUMBER(I40)),(I40-C40)*100,"")</x:f>
        <x:v>12.859313000000006</x:v>
      </x:c>
      <x:c r="P40" s="17" t="str"/>
    </x:row>
    <x:row r="41" ht="25" customHeight="1">
      <x:c r="A41" s="2" t="str">
        <x:v>欧洛巴斯</x:v>
      </x:c>
      <x:c r="B41" s="2" t="str">
        <x:v>炼金箱</x:v>
      </x:c>
      <x:c r="C41" s="28" t="n">
        <x:f>IF('全量明细'!E331="","",'全量明细'!E331)</x:f>
        <x:v>0.2824608</x:v>
      </x:c>
      <x:c r="D41" s="12" t="n">
        <x:f>IF('全量明细'!F331="","",'全量明细'!F331)</x:f>
        <x:v>2712</x:v>
      </x:c>
      <x:c r="E41" s="11" t="n">
        <x:f>IF('全量明细'!G331="","",'全量明细'!G331)</x:f>
        <x:v>0.2636</x:v>
      </x:c>
      <x:c r="F41" s="11" t="n">
        <x:f>IF('全量明细'!H331="","",'全量明细'!H331)</x:f>
        <x:v>0.33990000000000004</x:v>
      </x:c>
      <x:c r="G41" s="11" t="n">
        <x:f>IF('全量明细'!I331="","",'全量明细'!I331)</x:f>
        <x:v>0.2619</x:v>
      </x:c>
      <x:c r="H41" s="14" t="n">
        <x:f>IF('全量明细'!J331="","",'全量明细'!J331)</x:f>
        <x:v>7.800000000000002</x:v>
      </x:c>
      <x:c r="I41" s="28" t="n">
        <x:f>IF('全量明细'!E834="","",'全量明细'!E834)</x:f>
        <x:v>0.37316128</x:v>
      </x:c>
      <x:c r="J41" s="12" t="n">
        <x:f>IF('全量明细'!F834="","",'全量明细'!F834)</x:f>
        <x:v>804</x:v>
      </x:c>
      <x:c r="K41" s="11" t="n">
        <x:f>IF('全量明细'!G834="","",'全量明细'!G834)</x:f>
        <x:v>0.2488</x:v>
      </x:c>
      <x:c r="L41" s="11" t="n">
        <x:f>IF('全量明细'!H834="","",'全量明细'!H834)</x:f>
        <x:v>0.46</x:v>
      </x:c>
      <x:c r="M41" s="11" t="n">
        <x:f>IF('全量明细'!I834="","",'全量明细'!I834)</x:f>
        <x:v>0.3444</x:v>
      </x:c>
      <x:c r="N41" s="14" t="n">
        <x:f>IF('全量明细'!J834="","",'全量明细'!J834)</x:f>
        <x:v>11.560000000000004</x:v>
      </x:c>
      <x:c r="O41" s="14" t="n">
        <x:f>IF(AND(ISNUMBER(C41),ISNUMBER(I41)),(I41-C41)*100,"")</x:f>
        <x:v>9.070047999999996</x:v>
      </x:c>
      <x:c r="P41" s="17" t="str"/>
    </x:row>
    <x:row r="42" ht="25" customHeight="1">
      <x:c r="A42" s="2" t="str">
        <x:v>欧洛巴斯</x:v>
      </x:c>
      <x:c r="B42" s="2" t="str">
        <x:v>欧洛巴斯之触</x:v>
      </x:c>
      <x:c r="C42" s="28" t="n">
        <x:f>IF('全量明细'!E333="","",'全量明细'!E333)</x:f>
        <x:v>0.2744626</x:v>
      </x:c>
      <x:c r="D42" s="12" t="n">
        <x:f>IF('全量明细'!F333="","",'全量明细'!F333)</x:f>
        <x:v>4055</x:v>
      </x:c>
      <x:c r="E42" s="11" t="n">
        <x:f>IF('全量明细'!G333="","",'全量明细'!G333)</x:f>
        <x:v>0.34450000000000003</x:v>
      </x:c>
      <x:c r="F42" s="11" t="n">
        <x:f>IF('全量明细'!H333="","",'全量明细'!H333)</x:f>
        <x:v>0.2527</x:v>
      </x:c>
      <x:c r="G42" s="11" t="n">
        <x:f>IF('全量明细'!I333="","",'全量明细'!I333)</x:f>
        <x:v>0.2859</x:v>
      </x:c>
      <x:c r="H42" s="14" t="n">
        <x:f>IF('全量明细'!J333="","",'全量明细'!J333)</x:f>
        <x:v>-3.3200000000000007</x:v>
      </x:c>
      <x:c r="I42" s="28" t="n">
        <x:f>IF('全量明细'!E832="","",'全量明细'!E832)</x:f>
        <x:v>0.39505632</x:v>
      </x:c>
      <x:c r="J42" s="12" t="n">
        <x:f>IF('全量明细'!F832="","",'全量明细'!F832)</x:f>
        <x:v>1582</x:v>
      </x:c>
      <x:c r="K42" s="11" t="n">
        <x:f>IF('全量明细'!G832="","",'全量明细'!G832)</x:f>
        <x:v>0.3104</x:v>
      </x:c>
      <x:c r="L42" s="11" t="n">
        <x:f>IF('全量明细'!H832="","",'全量明细'!H832)</x:f>
        <x:v>0.4094</x:v>
      </x:c>
      <x:c r="M42" s="11" t="n">
        <x:f>IF('全量明细'!I832="","",'全量明细'!I832)</x:f>
        <x:v>0.3886</x:v>
      </x:c>
      <x:c r="N42" s="14" t="n">
        <x:f>IF('全量明细'!J832="","",'全量明细'!J832)</x:f>
        <x:v>2.0799999999999983</x:v>
      </x:c>
      <x:c r="O42" s="14" t="n">
        <x:f>IF(AND(ISNUMBER(C42),ISNUMBER(I42)),(I42-C42)*100,"")</x:f>
        <x:v>12.059372000000002</x:v>
      </x:c>
      <x:c r="P42" s="17" t="str"/>
    </x:row>
    <x:row r="43" ht="25" customHeight="1">
      <x:c r="A43" s="2" t="str">
        <x:v>欧洛巴斯</x:v>
      </x:c>
      <x:c r="B43" s="2" t="str">
        <x:v>沙堡</x:v>
      </x:c>
      <x:c r="C43" s="28" t="n">
        <x:f>IF('全量明细'!E337="","",'全量明细'!E337)</x:f>
        <x:v>0.26006092</x:v>
      </x:c>
      <x:c r="D43" s="12" t="n">
        <x:f>IF('全量明细'!F337="","",'全量明细'!F337)</x:f>
        <x:v>2457</x:v>
      </x:c>
      <x:c r="E43" s="11" t="n">
        <x:f>IF('全量明细'!G337="","",'全量明细'!G337)</x:f>
        <x:v>0.29710000000000003</x:v>
      </x:c>
      <x:c r="F43" s="11" t="n">
        <x:f>IF('全量明细'!H337="","",'全量明细'!H337)</x:f>
        <x:v>0.23559999999999998</x:v>
      </x:c>
      <x:c r="G43" s="11" t="n">
        <x:f>IF('全量明细'!I337="","",'全量明细'!I337)</x:f>
        <x:v>0.2704</x:v>
      </x:c>
      <x:c r="H43" s="14" t="n">
        <x:f>IF('全量明细'!J337="","",'全量明细'!J337)</x:f>
        <x:v>-3.4799999999999995</x:v>
      </x:c>
      <x:c r="I43" s="28" t="n">
        <x:f>IF('全量明细'!E829="","",'全量明细'!E829)</x:f>
        <x:v>0.40733791999999996</x:v>
      </x:c>
      <x:c r="J43" s="12" t="n">
        <x:f>IF('全量明细'!F829="","",'全量明细'!F829)</x:f>
        <x:v>761</x:v>
      </x:c>
      <x:c r="K43" s="11" t="n">
        <x:f>IF('全量明细'!G829="","",'全量明细'!G829)</x:f>
        <x:v>0.2576</x:v>
      </x:c>
      <x:c r="L43" s="11" t="n">
        <x:f>IF('全量明细'!H829="","",'全量明细'!H829)</x:f>
        <x:v>0.36219999999999997</x:v>
      </x:c>
      <x:c r="M43" s="11" t="n">
        <x:f>IF('全量明细'!I829="","",'全量明细'!I829)</x:f>
        <x:v>0.423</x:v>
      </x:c>
      <x:c r="N43" s="14" t="n">
        <x:f>IF('全量明细'!J829="","",'全量明细'!J829)</x:f>
        <x:v>-6.080000000000002</x:v>
      </x:c>
      <x:c r="O43" s="14" t="n">
        <x:f>IF(AND(ISNUMBER(C43),ISNUMBER(I43)),(I43-C43)*100,"")</x:f>
        <x:v>14.727699999999999</x:v>
      </x:c>
      <x:c r="P43" s="17" t="str"/>
    </x:row>
    <x:row r="44" ht="25" customHeight="1">
      <x:c r="A44" s="20" t="str">
        <x:v>佩尔</x:v>
      </x:c>
      <x:c r="B44" s="20" t="str">
        <x:v>佩尔的士兵</x:v>
      </x:c>
      <x:c r="C44" s="27" t="n">
        <x:f>IF('全量明细'!E343="","",'全量明细'!E343)</x:f>
        <x:v>0.28555395</x:v>
      </x:c>
      <x:c r="D44" s="23" t="n">
        <x:f>IF('全量明细'!F343="","",'全量明细'!F343)</x:f>
        <x:v>3176</x:v>
      </x:c>
      <x:c r="E44" s="22" t="n">
        <x:f>IF('全量明细'!G343="","",'全量明细'!G343)</x:f>
        <x:v>0.4465</x:v>
      </x:c>
      <x:c r="F44" s="22" t="n">
        <x:f>IF('全量明细'!H343="","",'全量明细'!H343)</x:f>
        <x:v>0.33</x:v>
      </x:c>
      <x:c r="G44" s="22" t="n">
        <x:f>IF('全量明细'!I343="","",'全量明细'!I343)</x:f>
        <x:v>0.24969999999999998</x:v>
      </x:c>
      <x:c r="H44" s="24" t="n">
        <x:f>IF('全量明细'!J343="","",'全量明细'!J343)</x:f>
        <x:v>8.030000000000005</x:v>
      </x:c>
      <x:c r="I44" s="27" t="n">
        <x:f>IF('全量明细'!E842="","",'全量明细'!E842)</x:f>
        <x:v>0.39394355999999997</x:v>
      </x:c>
      <x:c r="J44" s="23" t="n">
        <x:f>IF('全量明细'!F842="","",'全量明细'!F842)</x:f>
        <x:v>1419</x:v>
      </x:c>
      <x:c r="K44" s="22" t="n">
        <x:f>IF('全量明细'!G842="","",'全量明细'!G842)</x:f>
        <x:v>0.4292</x:v>
      </x:c>
      <x:c r="L44" s="22" t="n">
        <x:f>IF('全量明细'!H842="","",'全量明细'!H842)</x:f>
        <x:v>0.4335</x:v>
      </x:c>
      <x:c r="M44" s="22" t="n">
        <x:f>IF('全量明细'!I842="","",'全量明细'!I842)</x:f>
        <x:v>0.3642</x:v>
      </x:c>
      <x:c r="N44" s="24" t="n">
        <x:f>IF('全量明细'!J842="","",'全量明细'!J842)</x:f>
        <x:v>6.929999999999997</x:v>
      </x:c>
      <x:c r="O44" s="24" t="n">
        <x:f>IF(AND(ISNUMBER(C44),ISNUMBER(I44)),(I44-C44)*100,"")</x:f>
        <x:v>10.838960999999998</x:v>
      </x:c>
      <x:c r="P44" s="31" t="str"/>
    </x:row>
    <x:row r="45" ht="25" customHeight="1">
      <x:c r="A45" s="2" t="str">
        <x:v>佩尔</x:v>
      </x:c>
      <x:c r="B45" s="2" t="str">
        <x:v>佩尔的增生组织</x:v>
      </x:c>
      <x:c r="C45" s="28" t="n">
        <x:f>IF('全量明细'!E340="","",'全量明细'!E340)</x:f>
        <x:v>0.304774</x:v>
      </x:c>
      <x:c r="D45" s="12" t="n">
        <x:f>IF('全量明细'!F340="","",'全量明细'!F340)</x:f>
        <x:v>1365</x:v>
      </x:c>
      <x:c r="E45" s="11" t="n">
        <x:f>IF('全量明细'!G340="","",'全量明细'!G340)</x:f>
        <x:v>0.285</x:v>
      </x:c>
      <x:c r="F45" s="11" t="n">
        <x:f>IF('全量明细'!H340="","",'全量明细'!H340)</x:f>
        <x:v>0.2879</x:v>
      </x:c>
      <x:c r="G45" s="11" t="n">
        <x:f>IF('全量明细'!I340="","",'全量明细'!I340)</x:f>
        <x:v>0.3115</x:v>
      </x:c>
      <x:c r="H45" s="14" t="n">
        <x:f>IF('全量明细'!J340="","",'全量明细'!J340)</x:f>
        <x:v>-2.360000000000001</x:v>
      </x:c>
      <x:c r="I45" s="28" t="n">
        <x:f>IF('全量明细'!E838="","",'全量明细'!E838)</x:f>
        <x:v>0.418443</x:v>
      </x:c>
      <x:c r="J45" s="12" t="n">
        <x:f>IF('全量明细'!F838="","",'全量明细'!F838)</x:f>
        <x:v>607</x:v>
      </x:c>
      <x:c r="K45" s="11" t="n">
        <x:f>IF('全量明细'!G838="","",'全量明细'!G838)</x:f>
        <x:v>0.285</x:v>
      </x:c>
      <x:c r="L45" s="11" t="n">
        <x:f>IF('全量明细'!H838="","",'全量明细'!H838)</x:f>
        <x:v>0.3468</x:v>
      </x:c>
      <x:c r="M45" s="11" t="n">
        <x:f>IF('全量明细'!I838="","",'全量明细'!I838)</x:f>
        <x:v>0.447</x:v>
      </x:c>
      <x:c r="N45" s="14" t="n">
        <x:f>IF('全量明细'!J838="","",'全量明细'!J838)</x:f>
        <x:v>-10.020000000000001</x:v>
      </x:c>
      <x:c r="O45" s="14" t="n">
        <x:f>IF(AND(ISNUMBER(C45),ISNUMBER(I45)),(I45-C45)*100,"")</x:f>
        <x:v>11.366900000000001</x:v>
      </x:c>
      <x:c r="P45" s="17" t="str"/>
    </x:row>
    <x:row r="46" ht="25" customHeight="1">
      <x:c r="A46" s="2" t="str">
        <x:v>佩尔</x:v>
      </x:c>
      <x:c r="B46" s="2" t="str">
        <x:v>佩尔之角</x:v>
      </x:c>
      <x:c r="C46" s="28" t="n">
        <x:f>IF('全量明细'!E345="","",'全量明细'!E345)</x:f>
        <x:v>0.28310257</x:v>
      </x:c>
      <x:c r="D46" s="12" t="n">
        <x:f>IF('全量明细'!F345="","",'全量明细'!F345)</x:f>
        <x:v>3193</x:v>
      </x:c>
      <x:c r="E46" s="11" t="n">
        <x:f>IF('全量明细'!G345="","",'全量明细'!G345)</x:f>
        <x:v>0.1757</x:v>
      </x:c>
      <x:c r="F46" s="11" t="n">
        <x:f>IF('全量明细'!H345="","",'全量明细'!H345)</x:f>
        <x:v>0.32439999999999997</x:v>
      </x:c>
      <x:c r="G46" s="11" t="n">
        <x:f>IF('全量明细'!I345="","",'全量明细'!I345)</x:f>
        <x:v>0.2743</x:v>
      </x:c>
      <x:c r="H46" s="14" t="n">
        <x:f>IF('全量明细'!J345="","",'全量明细'!J345)</x:f>
        <x:v>5.009999999999998</x:v>
      </x:c>
      <x:c r="I46" s="28" t="n">
        <x:f>IF('全量明细'!E844="","",'全量明细'!E844)</x:f>
        <x:v>0.38974662</x:v>
      </x:c>
      <x:c r="J46" s="12" t="n">
        <x:f>IF('全量明细'!F844="","",'全量明细'!F844)</x:f>
        <x:v>1388</x:v>
      </x:c>
      <x:c r="K46" s="11" t="n">
        <x:f>IF('全量明细'!G844="","",'全量明细'!G844)</x:f>
        <x:v>0.2687</x:v>
      </x:c>
      <x:c r="L46" s="11" t="n">
        <x:f>IF('全量明细'!H844="","",'全量明细'!H844)</x:f>
        <x:v>0.42090000000000005</x:v>
      </x:c>
      <x:c r="M46" s="11" t="n">
        <x:f>IF('全量明细'!I844="","",'全量明细'!I844)</x:f>
        <x:v>0.37829999999999997</x:v>
      </x:c>
      <x:c r="N46" s="14" t="n">
        <x:f>IF('全量明细'!J844="","",'全量明细'!J844)</x:f>
        <x:v>4.260000000000009</x:v>
      </x:c>
      <x:c r="O46" s="14" t="n">
        <x:f>IF(AND(ISNUMBER(C46),ISNUMBER(I46)),(I46-C46)*100,"")</x:f>
        <x:v>10.664404999999999</x:v>
      </x:c>
      <x:c r="P46" s="17" t="str"/>
    </x:row>
    <x:row r="47" ht="25" customHeight="1">
      <x:c r="A47" s="2" t="str">
        <x:v>佩尔</x:v>
      </x:c>
      <x:c r="B47" s="2" t="str">
        <x:v>佩尔之泪</x:v>
      </x:c>
      <x:c r="C47" s="28" t="n">
        <x:f>IF('全量明细'!E342="","",'全量明细'!E342)</x:f>
        <x:v>0.2878248</x:v>
      </x:c>
      <x:c r="D47" s="12" t="n">
        <x:f>IF('全量明细'!F342="","",'全量明细'!F342)</x:f>
        <x:v>3158</x:v>
      </x:c>
      <x:c r="E47" s="11" t="n">
        <x:f>IF('全量明细'!G342="","",'全量明细'!G342)</x:f>
        <x:v>0.4576</x:v>
      </x:c>
      <x:c r="F47" s="11" t="n">
        <x:f>IF('全量明细'!H342="","",'全量明细'!H342)</x:f>
        <x:v>0.3003</x:v>
      </x:c>
      <x:c r="G47" s="11" t="n">
        <x:f>IF('全量明细'!I342="","",'全量明细'!I342)</x:f>
        <x:v>0.2773</x:v>
      </x:c>
      <x:c r="H47" s="14" t="n">
        <x:f>IF('全量明细'!J342="","",'全量明细'!J342)</x:f>
        <x:v>2.300000000000002</x:v>
      </x:c>
      <x:c r="I47" s="28" t="n">
        <x:f>IF('全量明细'!E845="","",'全量明细'!E845)</x:f>
        <x:v>0.38028629999999997</x:v>
      </x:c>
      <x:c r="J47" s="12" t="n">
        <x:f>IF('全量明细'!F845="","",'全量明细'!F845)</x:f>
        <x:v>1341</x:v>
      </x:c>
      <x:c r="K47" s="11" t="n">
        <x:f>IF('全量明细'!G845="","",'全量明细'!G845)</x:f>
        <x:v>0.48700000000000004</x:v>
      </x:c>
      <x:c r="L47" s="11" t="n">
        <x:f>IF('全量明细'!H845="","",'全量明细'!H845)</x:f>
        <x:v>0.38280000000000003</x:v>
      </x:c>
      <x:c r="M47" s="11" t="n">
        <x:f>IF('全量明细'!I845="","",'全量明细'!I845)</x:f>
        <x:v>0.3779</x:v>
      </x:c>
      <x:c r="N47" s="14" t="n">
        <x:f>IF('全量明细'!J845="","",'全量明细'!J845)</x:f>
        <x:v>0.49000000000000155</x:v>
      </x:c>
      <x:c r="O47" s="14" t="n">
        <x:f>IF(AND(ISNUMBER(C47),ISNUMBER(I47)),(I47-C47)*100,"")</x:f>
        <x:v>9.246149999999997</x:v>
      </x:c>
      <x:c r="P47" s="17" t="str"/>
    </x:row>
    <x:row r="48" ht="25" customHeight="1">
      <x:c r="A48" s="2" t="str">
        <x:v>佩尔</x:v>
      </x:c>
      <x:c r="B48" s="2" t="str">
        <x:v>佩尔之肉</x:v>
      </x:c>
      <x:c r="C48" s="28" t="n">
        <x:f>IF('全量明细'!E344="","",'全量明细'!E344)</x:f>
        <x:v>0.2848818</x:v>
      </x:c>
      <x:c r="D48" s="12" t="n">
        <x:f>IF('全量明细'!F344="","",'全量明细'!F344)</x:f>
        <x:v>3036</x:v>
      </x:c>
      <x:c r="E48" s="11" t="n">
        <x:f>IF('全量明细'!G344="","",'全量明细'!G344)</x:f>
        <x:v>0.4279</x:v>
      </x:c>
      <x:c r="F48" s="11" t="n">
        <x:f>IF('全量明细'!H344="","",'全量明细'!H344)</x:f>
        <x:v>0.25170000000000003</x:v>
      </x:c>
      <x:c r="G48" s="11" t="n">
        <x:f>IF('全量明细'!I344="","",'全量明细'!I344)</x:f>
        <x:v>0.3097</x:v>
      </x:c>
      <x:c r="H48" s="14" t="n">
        <x:f>IF('全量明细'!J344="","",'全量明细'!J344)</x:f>
        <x:v>-5.799999999999994</x:v>
      </x:c>
      <x:c r="I48" s="28" t="n">
        <x:f>IF('全量明细'!E839="","",'全量明细'!E839)</x:f>
        <x:v>0.4033742</x:v>
      </x:c>
      <x:c r="J48" s="12" t="n">
        <x:f>IF('全量明细'!F839="","",'全量明细'!F839)</x:f>
        <x:v>1480</x:v>
      </x:c>
      <x:c r="K48" s="11" t="n">
        <x:f>IF('全量明细'!G839="","",'全量明细'!G839)</x:f>
        <x:v>0.47229999999999994</x:v>
      </x:c>
      <x:c r="L48" s="11" t="n">
        <x:f>IF('全量明细'!H839="","",'全量明细'!H839)</x:f>
        <x:v>0.3791</x:v>
      </x:c>
      <x:c r="M48" s="11" t="n">
        <x:f>IF('全量明细'!I839="","",'全量明细'!I839)</x:f>
        <x:v>0.4251</x:v>
      </x:c>
      <x:c r="N48" s="14" t="n">
        <x:f>IF('全量明细'!J839="","",'全量明细'!J839)</x:f>
        <x:v>-4.599999999999999</x:v>
      </x:c>
      <x:c r="O48" s="14" t="n">
        <x:f>IF(AND(ISNUMBER(C48),ISNUMBER(I48)),(I48-C48)*100,"")</x:f>
        <x:v>11.84924</x:v>
      </x:c>
      <x:c r="P48" s="17" t="str"/>
    </x:row>
    <x:row r="49" ht="25" customHeight="1">
      <x:c r="A49" s="2" t="str">
        <x:v>佩尔</x:v>
      </x:c>
      <x:c r="B49" s="2" t="str">
        <x:v>佩尔之血</x:v>
      </x:c>
      <x:c r="C49" s="28" t="n">
        <x:f>IF('全量明细'!E339="","",'全量明细'!E339)</x:f>
        <x:v>0.31674203</x:v>
      </x:c>
      <x:c r="D49" s="12" t="n">
        <x:f>IF('全量明细'!F339="","",'全量明细'!F339)</x:f>
        <x:v>3122</x:v>
      </x:c>
      <x:c r="E49" s="11" t="n">
        <x:f>IF('全量明细'!G339="","",'全量明细'!G339)</x:f>
        <x:v>0.4619</x:v>
      </x:c>
      <x:c r="F49" s="11" t="n">
        <x:f>IF('全量明细'!H339="","",'全量明细'!H339)</x:f>
        <x:v>0.3564</x:v>
      </x:c>
      <x:c r="G49" s="11" t="n">
        <x:f>IF('全量明细'!I339="","",'全量明细'!I339)</x:f>
        <x:v>0.2827</x:v>
      </x:c>
      <x:c r="H49" s="14" t="n">
        <x:f>IF('全量明细'!J339="","",'全量明细'!J339)</x:f>
        <x:v>7.369999999999999</x:v>
      </x:c>
      <x:c r="I49" s="28" t="n">
        <x:f>IF('全量明细'!E840="","",'全量明细'!E840)</x:f>
        <x:v>0.39984112000000005</x:v>
      </x:c>
      <x:c r="J49" s="12" t="n">
        <x:f>IF('全量明细'!F840="","",'全量明细'!F840)</x:f>
        <x:v>1428</x:v>
      </x:c>
      <x:c r="K49" s="11" t="n">
        <x:f>IF('全量明细'!G840="","",'全量明细'!G840)</x:f>
        <x:v>0.45520000000000005</x:v>
      </x:c>
      <x:c r="L49" s="11" t="n">
        <x:f>IF('全量明细'!H840="","",'全量明细'!H840)</x:f>
        <x:v>0.44920000000000004</x:v>
      </x:c>
      <x:c r="M49" s="11" t="n">
        <x:f>IF('全量明细'!I840="","",'全量明细'!I840)</x:f>
        <x:v>0.3586</x:v>
      </x:c>
      <x:c r="N49" s="14" t="n">
        <x:f>IF('全量明细'!J840="","",'全量明细'!J840)</x:f>
        <x:v>9.060000000000008</x:v>
      </x:c>
      <x:c r="O49" s="14" t="n">
        <x:f>IF(AND(ISNUMBER(C49),ISNUMBER(I49)),(I49-C49)*100,"")</x:f>
        <x:v>8.309909000000005</x:v>
      </x:c>
      <x:c r="P49" s="17" t="str"/>
    </x:row>
    <x:row r="50" ht="25" customHeight="1">
      <x:c r="A50" s="2" t="str">
        <x:v>佩尔</x:v>
      </x:c>
      <x:c r="B50" s="2" t="str">
        <x:v>佩尔之牙</x:v>
      </x:c>
      <x:c r="C50" s="28" t="n">
        <x:f>IF('全量明细'!E347="","",'全量明细'!E347)</x:f>
        <x:v>0.2773328</x:v>
      </x:c>
      <x:c r="D50" s="12" t="n">
        <x:f>IF('全量明细'!F347="","",'全量明细'!F347)</x:f>
        <x:v>2636</x:v>
      </x:c>
      <x:c r="E50" s="11" t="n">
        <x:f>IF('全量明细'!G347="","",'全量明细'!G347)</x:f>
        <x:v>0.14679999999999999</x:v>
      </x:c>
      <x:c r="F50" s="11" t="n">
        <x:f>IF('全量明细'!H347="","",'全量明细'!H347)</x:f>
        <x:v>0.1886</x:v>
      </x:c>
      <x:c r="G50" s="11" t="n">
        <x:f>IF('全量明细'!I347="","",'全量明细'!I347)</x:f>
        <x:v>0.2926</x:v>
      </x:c>
      <x:c r="H50" s="14" t="n">
        <x:f>IF('全量明细'!J347="","",'全量明细'!J347)</x:f>
        <x:v>-10.400000000000004</x:v>
      </x:c>
      <x:c r="I50" s="28" t="n">
        <x:f>IF('全量明细'!E843="","",'全量明细'!E843)</x:f>
        <x:v>0.39034473999999997</x:v>
      </x:c>
      <x:c r="J50" s="12" t="n">
        <x:f>IF('全量明细'!F843="","",'全量明细'!F843)</x:f>
        <x:v>1199</x:v>
      </x:c>
      <x:c r="K50" s="11" t="n">
        <x:f>IF('全量明细'!G843="","",'全量明细'!G843)</x:f>
        <x:v>0.1234</x:v>
      </x:c>
      <x:c r="L50" s="11" t="n">
        <x:f>IF('全量明细'!H843="","",'全量明细'!H843)</x:f>
        <x:v>0.2905</x:v>
      </x:c>
      <x:c r="M50" s="11" t="n">
        <x:f>IF('全量明细'!I843="","",'全量明细'!I843)</x:f>
        <x:v>0.4044</x:v>
      </x:c>
      <x:c r="N50" s="14" t="n">
        <x:f>IF('全量明细'!J843="","",'全量明细'!J843)</x:f>
        <x:v>-11.39</x:v>
      </x:c>
      <x:c r="O50" s="14" t="n">
        <x:f>IF(AND(ISNUMBER(C50),ISNUMBER(I50)),(I50-C50)*100,"")</x:f>
        <x:v>11.301193999999997</x:v>
      </x:c>
      <x:c r="P50" s="17" t="str"/>
    </x:row>
    <x:row r="51" ht="25" customHeight="1">
      <x:c r="A51" s="2" t="str">
        <x:v>佩尔</x:v>
      </x:c>
      <x:c r="B51" s="2" t="str">
        <x:v>佩尔之眼</x:v>
      </x:c>
      <x:c r="C51" s="28" t="n">
        <x:f>IF('全量明细'!E348="","",'全量明细'!E348)</x:f>
        <x:v>0.25298000000000004</x:v>
      </x:c>
      <x:c r="D51" s="12" t="n">
        <x:f>IF('全量明细'!F348="","",'全量明细'!F348)</x:f>
        <x:v>3095</x:v>
      </x:c>
      <x:c r="E51" s="11" t="n">
        <x:f>IF('全量明细'!G348="","",'全量明细'!G348)</x:f>
        <x:v>0.2</x:v>
      </x:c>
      <x:c r="F51" s="11" t="n">
        <x:f>IF('全量明细'!H348="","",'全量明细'!H348)</x:f>
        <x:v>0.2181</x:v>
      </x:c>
      <x:c r="G51" s="11" t="n">
        <x:f>IF('全量明细'!I348="","",'全量明细'!I348)</x:f>
        <x:v>0.26170000000000004</x:v>
      </x:c>
      <x:c r="H51" s="14" t="n">
        <x:f>IF('全量明细'!J348="","",'全量明细'!J348)</x:f>
        <x:v>-4.360000000000006</x:v>
      </x:c>
      <x:c r="I51" s="28" t="n">
        <x:f>IF('全量明细'!E846="","",'全量明细'!E846)</x:f>
        <x:v>0.380284</x:v>
      </x:c>
      <x:c r="J51" s="12" t="n">
        <x:f>IF('全量明细'!F846="","",'全量明细'!F846)</x:f>
        <x:v>1362</x:v>
      </x:c>
      <x:c r="K51" s="11" t="n">
        <x:f>IF('全量明细'!G846="","",'全量明细'!G846)</x:f>
        <x:v>0.1968</x:v>
      </x:c>
      <x:c r="L51" s="11" t="n">
        <x:f>IF('全量明细'!H846="","",'全量明细'!H846)</x:f>
        <x:v>0.3843</x:v>
      </x:c>
      <x:c r="M51" s="11" t="n">
        <x:f>IF('全量明细'!I846="","",'全量明细'!I846)</x:f>
        <x:v>0.37929999999999997</x:v>
      </x:c>
      <x:c r="N51" s="14" t="n">
        <x:f>IF('全量明细'!J846="","",'全量明细'!J846)</x:f>
        <x:v>0.5000000000000004</x:v>
      </x:c>
      <x:c r="O51" s="14" t="n">
        <x:f>IF(AND(ISNUMBER(C51),ISNUMBER(I51)),(I51-C51)*100,"")</x:f>
        <x:v>12.730399999999998</x:v>
      </x:c>
      <x:c r="P51" s="17" t="str"/>
    </x:row>
    <x:row r="52" ht="25" customHeight="1">
      <x:c r="A52" s="2" t="str">
        <x:v>佩尔</x:v>
      </x:c>
      <x:c r="B52" s="2" t="str">
        <x:v>佩尔之翼</x:v>
      </x:c>
      <x:c r="C52" s="28" t="n">
        <x:f>IF('全量明细'!E346="","",'全量明细'!E346)</x:f>
        <x:v>0.2802373</x:v>
      </x:c>
      <x:c r="D52" s="12" t="n">
        <x:f>IF('全量明细'!F346="","",'全量明细'!F346)</x:f>
        <x:v>2780</x:v>
      </x:c>
      <x:c r="E52" s="11" t="n">
        <x:f>IF('全量明细'!G346="","",'全量明细'!G346)</x:f>
        <x:v>0.377</x:v>
      </x:c>
      <x:c r="F52" s="11" t="n">
        <x:f>IF('全量明细'!H346="","",'全量明细'!H346)</x:f>
        <x:v>0.2023</x:v>
      </x:c>
      <x:c r="G52" s="11" t="n">
        <x:f>IF('全量明细'!I346="","",'全量明细'!I346)</x:f>
        <x:v>0.3274</x:v>
      </x:c>
      <x:c r="H52" s="14" t="n">
        <x:f>IF('全量明细'!J346="","",'全量明细'!J346)</x:f>
        <x:v>-12.510000000000002</x:v>
      </x:c>
      <x:c r="I52" s="28" t="n">
        <x:f>IF('全量明细'!E847="","",'全量明细'!E847)</x:f>
        <x:v>0.37456702</x:v>
      </x:c>
      <x:c r="J52" s="12" t="n">
        <x:f>IF('全量明细'!F847="","",'全量明细'!F847)</x:f>
        <x:v>1212</x:v>
      </x:c>
      <x:c r="K52" s="11" t="n">
        <x:f>IF('全量明细'!G847="","",'全量明细'!G847)</x:f>
        <x:v>0.2838</x:v>
      </x:c>
      <x:c r="L52" s="11" t="n">
        <x:f>IF('全量明细'!H847="","",'全量明细'!H847)</x:f>
        <x:v>0.2907</x:v>
      </x:c>
      <x:c r="M52" s="11" t="n">
        <x:f>IF('全量明细'!I847="","",'全量明细'!I847)</x:f>
        <x:v>0.4078</x:v>
      </x:c>
      <x:c r="N52" s="14" t="n">
        <x:f>IF('全量明细'!J847="","",'全量明细'!J847)</x:f>
        <x:v>-11.709999999999997</x:v>
      </x:c>
      <x:c r="O52" s="14" t="n">
        <x:f>IF(AND(ISNUMBER(C52),ISNUMBER(I52)),(I52-C52)*100,"")</x:f>
        <x:v>9.432971999999996</x:v>
      </x:c>
      <x:c r="P52" s="17" t="str"/>
    </x:row>
    <x:row r="53" ht="25" customHeight="1">
      <x:c r="A53" s="2" t="str">
        <x:v>佩尔</x:v>
      </x:c>
      <x:c r="B53" s="2" t="str">
        <x:v>佩尔之爪</x:v>
      </x:c>
      <x:c r="C53" s="28" t="n">
        <x:f>IF('全量明细'!E341="","",'全量明细'!E341)</x:f>
        <x:v>0.28879487000000004</x:v>
      </x:c>
      <x:c r="D53" s="12" t="n">
        <x:f>IF('全量明细'!F341="","",'全量明细'!F341)</x:f>
        <x:v>2628</x:v>
      </x:c>
      <x:c r="E53" s="11" t="n">
        <x:f>IF('全量明细'!G341="","",'全量明细'!G341)</x:f>
        <x:v>0.2861</x:v>
      </x:c>
      <x:c r="F53" s="11" t="n">
        <x:f>IF('全量明细'!H341="","",'全量明细'!H341)</x:f>
        <x:v>0.2793</x:v>
      </x:c>
      <x:c r="G53" s="11" t="n">
        <x:f>IF('全量明细'!I341="","",'全量明细'!I341)</x:f>
        <x:v>0.2926</x:v>
      </x:c>
      <x:c r="H53" s="14" t="n">
        <x:f>IF('全量明细'!J341="","",'全量明细'!J341)</x:f>
        <x:v>-1.3300000000000034</x:v>
      </x:c>
      <x:c r="I53" s="28" t="n">
        <x:f>IF('全量明细'!E841="","",'全量明细'!E841)</x:f>
        <x:v>0.39682768</x:v>
      </x:c>
      <x:c r="J53" s="12" t="n">
        <x:f>IF('全量明细'!F841="","",'全量明细'!F841)</x:f>
        <x:v>1192</x:v>
      </x:c>
      <x:c r="K53" s="11" t="n">
        <x:f>IF('全量明细'!G841="","",'全量明细'!G841)</x:f>
        <x:v>0.24239999999999998</x:v>
      </x:c>
      <x:c r="L53" s="11" t="n">
        <x:f>IF('全量明细'!H841="","",'全量明细'!H841)</x:f>
        <x:v>0.38409999999999994</x:v>
      </x:c>
      <x:c r="M53" s="11" t="n">
        <x:f>IF('全量明细'!I841="","",'全量明细'!I841)</x:f>
        <x:v>0.40090000000000003</x:v>
      </x:c>
      <x:c r="N53" s="14" t="n">
        <x:f>IF('全量明细'!J841="","",'全量明细'!J841)</x:f>
        <x:v>-1.6800000000000093</x:v>
      </x:c>
      <x:c r="O53" s="14" t="n">
        <x:f>IF(AND(ISNUMBER(C53),ISNUMBER(I53)),(I53-C53)*100,"")</x:f>
        <x:v>10.803280999999998</x:v>
      </x:c>
      <x:c r="P53" s="17" t="str"/>
    </x:row>
    <x:row r="54" ht="25" customHeight="1">
      <x:c r="A54" s="20" t="str">
        <x:v>特兹卡塔拉</x:v>
      </x:c>
      <x:c r="B54" s="20" t="str">
        <x:v>大～抱抱</x:v>
      </x:c>
      <x:c r="C54" s="27" t="n">
        <x:f>IF('全量明细'!E355="","",'全量明细'!E355)</x:f>
        <x:v>0.27976437</x:v>
      </x:c>
      <x:c r="D54" s="23" t="n">
        <x:f>IF('全量明细'!F355="","",'全量明细'!F355)</x:f>
        <x:v>3392</x:v>
      </x:c>
      <x:c r="E54" s="22" t="n">
        <x:f>IF('全量明细'!G355="","",'全量明细'!G355)</x:f>
        <x:v>0.20809999999999998</x:v>
      </x:c>
      <x:c r="F54" s="22" t="n">
        <x:f>IF('全量明细'!H355="","",'全量明细'!H355)</x:f>
        <x:v>0.3017</x:v>
      </x:c>
      <x:c r="G54" s="22" t="n">
        <x:f>IF('全量明细'!I355="","",'全量明细'!I355)</x:f>
        <x:v>0.27399999999999997</x:v>
      </x:c>
      <x:c r="H54" s="24" t="n">
        <x:f>IF('全量明细'!J355="","",'全量明细'!J355)</x:f>
        <x:v>2.770000000000006</x:v>
      </x:c>
      <x:c r="I54" s="27" t="n">
        <x:f>IF('全量明细'!E852="","",'全量明细'!E852)</x:f>
        <x:v>0.41504418</x:v>
      </x:c>
      <x:c r="J54" s="23" t="n">
        <x:f>IF('全量明细'!F852="","",'全量明细'!F852)</x:f>
        <x:v>1366</x:v>
      </x:c>
      <x:c r="K54" s="22" t="n">
        <x:f>IF('全量明细'!G852="","",'全量明细'!G852)</x:f>
        <x:v>0.2086</x:v>
      </x:c>
      <x:c r="L54" s="22" t="n">
        <x:f>IF('全量明细'!H852="","",'全量明细'!H852)</x:f>
        <x:v>0.4596</x:v>
      </x:c>
      <x:c r="M54" s="22" t="n">
        <x:f>IF('全量明细'!I852="","",'全量明细'!I852)</x:f>
        <x:v>0.4033</x:v>
      </x:c>
      <x:c r="N54" s="24" t="n">
        <x:f>IF('全量明细'!J852="","",'全量明细'!J852)</x:f>
        <x:v>5.630000000000002</x:v>
      </x:c>
      <x:c r="O54" s="24" t="n">
        <x:f>IF(AND(ISNUMBER(C54),ISNUMBER(I54)),(I54-C54)*100,"")</x:f>
        <x:v>13.527981</x:v>
      </x:c>
      <x:c r="P54" s="31" t="str"/>
    </x:row>
    <x:row r="55" ht="25" customHeight="1">
      <x:c r="A55" s="2" t="str">
        <x:v>特兹卡塔拉</x:v>
      </x:c>
      <x:c r="B55" s="2" t="str">
        <x:v>故事书</x:v>
      </x:c>
      <x:c r="C55" s="28" t="n">
        <x:f>IF('全量明细'!E349="","",'全量明细'!E349)</x:f>
        <x:v>0.31643</x:v>
      </x:c>
      <x:c r="D55" s="12" t="n">
        <x:f>IF('全量明细'!F349="","",'全量明细'!F349)</x:f>
        <x:v>3138</x:v>
      </x:c>
      <x:c r="E55" s="11" t="n">
        <x:f>IF('全量明细'!G349="","",'全量明细'!G349)</x:f>
        <x:v>0.6315999999999999</x:v>
      </x:c>
      <x:c r="F55" s="11" t="n">
        <x:f>IF('全量明细'!H349="","",'全量明细'!H349)</x:f>
        <x:v>0.3809</x:v>
      </x:c>
      <x:c r="G55" s="11" t="n">
        <x:f>IF('全量明细'!I349="","",'全量明细'!I349)</x:f>
        <x:v>0.2059</x:v>
      </x:c>
      <x:c r="H55" s="14" t="n">
        <x:f>IF('全量明细'!J349="","",'全量明细'!J349)</x:f>
        <x:v>17.5</x:v>
      </x:c>
      <x:c r="I55" s="28" t="n">
        <x:f>IF('全量明细'!E856="","",'全量明细'!E856)</x:f>
        <x:v>0.40205704999999997</x:v>
      </x:c>
      <x:c r="J55" s="12" t="n">
        <x:f>IF('全量明细'!F856="","",'全量明细'!F856)</x:f>
        <x:v>1460</x:v>
      </x:c>
      <x:c r="K55" s="11" t="n">
        <x:f>IF('全量明细'!G856="","",'全量明细'!G856)</x:f>
        <x:v>0.22949999999999998</x:v>
      </x:c>
      <x:c r="L55" s="11" t="n">
        <x:f>IF('全量明细'!H856="","",'全量明细'!H856)</x:f>
        <x:v>0.4328</x:v>
      </x:c>
      <x:c r="M55" s="11" t="n">
        <x:f>IF('全量明细'!I856="","",'全量明细'!I856)</x:f>
        <x:v>0.39289999999999997</x:v>
      </x:c>
      <x:c r="N55" s="14" t="n">
        <x:f>IF('全量明细'!J856="","",'全量明细'!J856)</x:f>
        <x:v>3.9900000000000047</x:v>
      </x:c>
      <x:c r="O55" s="14" t="n">
        <x:f>IF(AND(ISNUMBER(C55),ISNUMBER(I55)),(I55-C55)*100,"")</x:f>
        <x:v>8.562704999999998</x:v>
      </x:c>
      <x:c r="P55" s="17" t="str"/>
    </x:row>
    <x:row r="56" ht="25" customHeight="1">
      <x:c r="A56" s="2" t="str">
        <x:v>特兹卡塔拉</x:v>
      </x:c>
      <x:c r="B56" s="2" t="str">
        <x:v>烘焙手套</x:v>
      </x:c>
      <x:c r="C56" s="28" t="n">
        <x:f>IF('全量明细'!E357="","",'全量明细'!E357)</x:f>
        <x:v>0.27727527999999996</x:v>
      </x:c>
      <x:c r="D56" s="12" t="n">
        <x:f>IF('全量明细'!F357="","",'全量明细'!F357)</x:f>
        <x:v>3202</x:v>
      </x:c>
      <x:c r="E56" s="11" t="n">
        <x:f>IF('全量明细'!G357="","",'全量明细'!G357)</x:f>
        <x:v>0.0172</x:v>
      </x:c>
      <x:c r="F56" s="11" t="n">
        <x:f>IF('全量明细'!H357="","",'全量明细'!H357)</x:f>
        <x:v>0.1273</x:v>
      </x:c>
      <x:c r="G56" s="11" t="n">
        <x:f>IF('全量明细'!I357="","",'全量明细'!I357)</x:f>
        <x:v>0.2799</x:v>
      </x:c>
      <x:c r="H56" s="14" t="n">
        <x:f>IF('全量明细'!J357="","",'全量明细'!J357)</x:f>
        <x:v>-15.259999999999998</x:v>
      </x:c>
      <x:c r="I56" s="28" t="n">
        <x:f>IF('全量明细'!E851="","",'全量明细'!E851)</x:f>
        <x:v>0.41824134</x:v>
      </x:c>
      <x:c r="J56" s="12" t="n">
        <x:f>IF('全量明细'!F851="","",'全量明细'!F851)</x:f>
        <x:v>1401</x:v>
      </x:c>
      <x:c r="K56" s="11" t="n">
        <x:f>IF('全量明细'!G851="","",'全量明细'!G851)</x:f>
        <x:v>0.2562</x:v>
      </x:c>
      <x:c r="L56" s="11" t="n">
        <x:f>IF('全量明细'!H851="","",'全量明细'!H851)</x:f>
        <x:v>0.42619999999999997</x:v>
      </x:c>
      <x:c r="M56" s="11" t="n">
        <x:f>IF('全量明细'!I851="","",'全量明细'!I851)</x:f>
        <x:v>0.4155</x:v>
      </x:c>
      <x:c r="N56" s="14" t="n">
        <x:f>IF('全量明细'!J851="","",'全量明细'!J851)</x:f>
        <x:v>1.0699999999999987</x:v>
      </x:c>
      <x:c r="O56" s="14" t="n">
        <x:f>IF(AND(ISNUMBER(C56),ISNUMBER(I56)),(I56-C56)*100,"")</x:f>
        <x:v>14.096606000000007</x:v>
      </x:c>
      <x:c r="P56" s="17" t="str"/>
    </x:row>
    <x:row r="57" ht="25" customHeight="1">
      <x:c r="A57" s="2" t="str">
        <x:v>特兹卡塔拉</x:v>
      </x:c>
      <x:c r="B57" s="2" t="str">
        <x:v>黄金罗盘</x:v>
      </x:c>
      <x:c r="C57" s="28" t="n">
        <x:f>IF('全量明细'!E351="","",'全量明细'!E351)</x:f>
        <x:v>0.30842824</x:v>
      </x:c>
      <x:c r="D57" s="12" t="n">
        <x:f>IF('全量明细'!F351="","",'全量明细'!F351)</x:f>
        <x:v>2542</x:v>
      </x:c>
      <x:c r="E57" s="11" t="n">
        <x:f>IF('全量明细'!G351="","",'全量明细'!G351)</x:f>
        <x:v>0.3257</x:v>
      </x:c>
      <x:c r="F57" s="11" t="n">
        <x:f>IF('全量明细'!H351="","",'全量明细'!H351)</x:f>
        <x:v>0.29710000000000003</x:v>
      </x:c>
      <x:c r="G57" s="11" t="n">
        <x:f>IF('全量明细'!I351="","",'全量明细'!I351)</x:f>
        <x:v>0.3139</x:v>
      </x:c>
      <x:c r="H57" s="14" t="n">
        <x:f>IF('全量明细'!J351="","",'全量明细'!J351)</x:f>
        <x:v>-1.6799999999999982</x:v>
      </x:c>
      <x:c r="I57" s="28" t="n">
        <x:f>IF('全量明细'!E857="","",'全量明细'!E857)</x:f>
        <x:v>0.39296860999999994</x:v>
      </x:c>
      <x:c r="J57" s="12" t="n">
        <x:f>IF('全量明细'!F857="","",'全量明细'!F857)</x:f>
        <x:v>1028</x:v>
      </x:c>
      <x:c r="K57" s="11" t="n">
        <x:f>IF('全量明细'!G857="","",'全量明细'!G857)</x:f>
        <x:v>0.3337</x:v>
      </x:c>
      <x:c r="L57" s="11" t="n">
        <x:f>IF('全量明细'!H857="","",'全量明细'!H857)</x:f>
        <x:v>0.39649999999999996</x:v>
      </x:c>
      <x:c r="M57" s="11" t="n">
        <x:f>IF('全量明细'!I857="","",'全量明细'!I857)</x:f>
        <x:v>0.3912</x:v>
      </x:c>
      <x:c r="N57" s="14" t="n">
        <x:f>IF('全量明细'!J857="","",'全量明细'!J857)</x:f>
        <x:v>0.5299999999999971</x:v>
      </x:c>
      <x:c r="O57" s="14" t="n">
        <x:f>IF(AND(ISNUMBER(C57),ISNUMBER(I57)),(I57-C57)*100,"")</x:f>
        <x:v>8.454036999999992</x:v>
      </x:c>
      <x:c r="P57" s="17" t="str"/>
    </x:row>
    <x:row r="58" ht="25" customHeight="1">
      <x:c r="A58" s="2" t="str">
        <x:v>特兹卡塔拉</x:v>
      </x:c>
      <x:c r="B58" s="2" t="str">
        <x:v>黄金印</x:v>
      </x:c>
      <x:c r="C58" s="28" t="n">
        <x:f>IF('全量明细'!E358="","",'全量明细'!E358)</x:f>
        <x:v>0.27476136</x:v>
      </x:c>
      <x:c r="D58" s="12" t="n">
        <x:f>IF('全量明细'!F358="","",'全量明细'!F358)</x:f>
        <x:v>2486</x:v>
      </x:c>
      <x:c r="E58" s="11" t="n">
        <x:f>IF('全量明细'!G358="","",'全量明细'!G358)</x:f>
        <x:v>0.17059999999999997</x:v>
      </x:c>
      <x:c r="F58" s="11" t="n">
        <x:f>IF('全量明细'!H358="","",'全量明细'!H358)</x:f>
        <x:v>0.2877</x:v>
      </x:c>
      <x:c r="G58" s="11" t="n">
        <x:f>IF('全量明细'!I358="","",'全量明细'!I358)</x:f>
        <x:v>0.2721</x:v>
      </x:c>
      <x:c r="H58" s="14" t="n">
        <x:f>IF('全量明细'!J358="","",'全量明细'!J358)</x:f>
        <x:v>1.5600000000000003</x:v>
      </x:c>
      <x:c r="I58" s="28" t="n">
        <x:f>IF('全量明细'!E849="","",'全量明细'!E849)</x:f>
        <x:v>0.42354052000000003</x:v>
      </x:c>
      <x:c r="J58" s="12" t="n">
        <x:f>IF('全量明细'!F849="","",'全量明细'!F849)</x:f>
        <x:v>1098</x:v>
      </x:c>
      <x:c r="K58" s="11" t="n">
        <x:f>IF('全量明细'!G849="","",'全量明细'!G849)</x:f>
        <x:v>0.4362</x:v>
      </x:c>
      <x:c r="L58" s="11" t="n">
        <x:f>IF('全量明细'!H849="","",'全量明细'!H849)</x:f>
        <x:v>0.4656</x:v>
      </x:c>
      <x:c r="M58" s="11" t="n">
        <x:f>IF('全量明细'!I849="","",'全量明细'!I849)</x:f>
        <x:v>0.391</x:v>
      </x:c>
      <x:c r="N58" s="14" t="n">
        <x:f>IF('全量明细'!J849="","",'全量明细'!J849)</x:f>
        <x:v>7.46</x:v>
      </x:c>
      <x:c r="O58" s="14" t="n">
        <x:f>IF(AND(ISNUMBER(C58),ISNUMBER(I58)),(I58-C58)*100,"")</x:f>
        <x:v>14.877916000000003</x:v>
      </x:c>
      <x:c r="P58" s="17" t="str"/>
    </x:row>
    <x:row r="59" ht="25" customHeight="1">
      <x:c r="A59" s="2" t="str">
        <x:v>特兹卡塔拉</x:v>
      </x:c>
      <x:c r="B59" s="2" t="str">
        <x:v>美味饼干</x:v>
      </x:c>
      <x:c r="C59" s="28" t="n">
        <x:f>IF('全量明细'!E353="","",'全量明细'!E353)</x:f>
        <x:v>0.28246346</x:v>
      </x:c>
      <x:c r="D59" s="12" t="n">
        <x:f>IF('全量明细'!F353="","",'全量明细'!F353)</x:f>
        <x:v>3378</x:v>
      </x:c>
      <x:c r="E59" s="11" t="n">
        <x:f>IF('全量明细'!G353="","",'全量明细'!G353)</x:f>
        <x:v>0.5447</x:v>
      </x:c>
      <x:c r="F59" s="11" t="n">
        <x:f>IF('全量明细'!H353="","",'全量明细'!H353)</x:f>
        <x:v>0.2332</x:v>
      </x:c>
      <x:c r="G59" s="11" t="n">
        <x:f>IF('全量明细'!I353="","",'全量明细'!I353)</x:f>
        <x:v>0.3414</x:v>
      </x:c>
      <x:c r="H59" s="14" t="n">
        <x:f>IF('全量明细'!J353="","",'全量明细'!J353)</x:f>
        <x:v>-10.819999999999999</x:v>
      </x:c>
      <x:c r="I59" s="28" t="n">
        <x:f>IF('全量明细'!E850="","",'全量明细'!E850)</x:f>
        <x:v>0.4198315</x:v>
      </x:c>
      <x:c r="J59" s="12" t="n">
        <x:f>IF('全量明细'!F850="","",'全量明细'!F850)</x:f>
        <x:v>1429</x:v>
      </x:c>
      <x:c r="K59" s="11" t="n">
        <x:f>IF('全量明细'!G850="","",'全量明细'!G850)</x:f>
        <x:v>0.4486</x:v>
      </x:c>
      <x:c r="L59" s="11" t="n">
        <x:f>IF('全量明细'!H850="","",'全量明细'!H850)</x:f>
        <x:v>0.3385</x:v>
      </x:c>
      <x:c r="M59" s="11" t="n">
        <x:f>IF('全量明细'!I850="","",'全量明细'!I850)</x:f>
        <x:v>0.486</x:v>
      </x:c>
      <x:c r="N59" s="14" t="n">
        <x:f>IF('全量明细'!J850="","",'全量明细'!J850)</x:f>
        <x:v>-14.749999999999996</x:v>
      </x:c>
      <x:c r="O59" s="14" t="n">
        <x:f>IF(AND(ISNUMBER(C59),ISNUMBER(I59)),(I59-C59)*100,"")</x:f>
        <x:v>13.736804000000003</x:v>
      </x:c>
      <x:c r="P59" s="17" t="str"/>
    </x:row>
    <x:row r="60" ht="25" customHeight="1">
      <x:c r="A60" s="2" t="str">
        <x:v>特兹卡塔拉</x:v>
      </x:c>
      <x:c r="B60" s="2" t="str">
        <x:v>南瓜蜡烛</x:v>
      </x:c>
      <x:c r="C60" s="28" t="n">
        <x:f>IF('全量明细'!E352="","",'全量明细'!E352)</x:f>
        <x:v>0.2977037</x:v>
      </x:c>
      <x:c r="D60" s="12" t="n">
        <x:f>IF('全量明细'!F352="","",'全量明细'!F352)</x:f>
        <x:v>2318</x:v>
      </x:c>
      <x:c r="E60" s="11" t="n">
        <x:f>IF('全量明细'!G352="","",'全量明细'!G352)</x:f>
        <x:v>0.4042</x:v>
      </x:c>
      <x:c r="F60" s="11" t="n">
        <x:f>IF('全量明细'!H352="","",'全量明细'!H352)</x:f>
        <x:v>0.32659999999999995</x:v>
      </x:c>
      <x:c r="G60" s="11" t="n">
        <x:f>IF('全量明细'!I352="","",'全量明细'!I352)</x:f>
        <x:v>0.2781</x:v>
      </x:c>
      <x:c r="H60" s="14" t="n">
        <x:f>IF('全量明细'!J352="","",'全量明细'!J352)</x:f>
        <x:v>4.849999999999993</x:v>
      </x:c>
      <x:c r="I60" s="28" t="n">
        <x:f>IF('全量明细'!E854="","",'全量明细'!E854)</x:f>
        <x:v>0.40688492</x:v>
      </x:c>
      <x:c r="J60" s="12" t="n">
        <x:f>IF('全量明细'!F854="","",'全量明细'!F854)</x:f>
        <x:v>1069</x:v>
      </x:c>
      <x:c r="K60" s="11" t="n">
        <x:f>IF('全量明细'!G854="","",'全量明细'!G854)</x:f>
        <x:v>0.5023</x:v>
      </x:c>
      <x:c r="L60" s="11" t="n">
        <x:f>IF('全量明细'!H854="","",'全量明细'!H854)</x:f>
        <x:v>0.44689999999999996</x:v>
      </x:c>
      <x:c r="M60" s="11" t="n">
        <x:f>IF('全量明细'!I854="","",'全量明细'!I854)</x:f>
        <x:v>0.3665</x:v>
      </x:c>
      <x:c r="N60" s="14" t="n">
        <x:f>IF('全量明细'!J854="","",'全量明细'!J854)</x:f>
        <x:v>8.039999999999997</x:v>
      </x:c>
      <x:c r="O60" s="14" t="n">
        <x:f>IF(AND(ISNUMBER(C60),ISNUMBER(I60)),(I60-C60)*100,"")</x:f>
        <x:v>10.918121999999997</x:v>
      </x:c>
      <x:c r="P60" s="17" t="str"/>
    </x:row>
    <x:row r="61" ht="25" customHeight="1">
      <x:c r="A61" s="2" t="str">
        <x:v>特兹卡塔拉</x:v>
      </x:c>
      <x:c r="B61" s="2" t="str">
        <x:v>烫嘴可可</x:v>
      </x:c>
      <x:c r="C61" s="28" t="n">
        <x:f>IF('全量明细'!E350="","",'全量明细'!E350)</x:f>
        <x:v>0.313318</x:v>
      </x:c>
      <x:c r="D61" s="12" t="n">
        <x:f>IF('全量明细'!F350="","",'全量明细'!F350)</x:f>
        <x:v>3042</x:v>
      </x:c>
      <x:c r="E61" s="11" t="n">
        <x:f>IF('全量明细'!G350="","",'全量明细'!G350)</x:f>
        <x:v>0.522</x:v>
      </x:c>
      <x:c r="F61" s="11" t="n">
        <x:f>IF('全量明细'!H350="","",'全量明细'!H350)</x:f>
        <x:v>0.2746</x:v>
      </x:c>
      <x:c r="G61" s="11" t="n">
        <x:f>IF('全量明细'!I350="","",'全量明细'!I350)</x:f>
        <x:v>0.3556</x:v>
      </x:c>
      <x:c r="H61" s="14" t="n">
        <x:f>IF('全量明细'!J350="","",'全量明细'!J350)</x:f>
        <x:v>-8.100000000000001</x:v>
      </x:c>
      <x:c r="I61" s="28" t="n">
        <x:f>IF('全量明细'!E853="","",'全量明细'!E853)</x:f>
        <x:v>0.41143425000000006</x:v>
      </x:c>
      <x:c r="J61" s="12" t="n">
        <x:f>IF('全量明细'!F853="","",'全量明细'!F853)</x:f>
        <x:v>1422</x:v>
      </x:c>
      <x:c r="K61" s="11" t="n">
        <x:f>IF('全量明细'!G853="","",'全量明细'!G853)</x:f>
        <x:v>0.41350000000000003</x:v>
      </x:c>
      <x:c r="L61" s="11" t="n">
        <x:f>IF('全量明细'!H853="","",'全量明细'!H853)</x:f>
        <x:v>0.3912</x:v>
      </x:c>
      <x:c r="M61" s="11" t="n">
        <x:f>IF('全量明细'!I853="","",'全量明细'!I853)</x:f>
        <x:v>0.4257</x:v>
      </x:c>
      <x:c r="N61" s="14" t="n">
        <x:f>IF('全量明细'!J853="","",'全量明细'!J853)</x:f>
        <x:v>-3.450000000000003</x:v>
      </x:c>
      <x:c r="O61" s="14" t="n">
        <x:f>IF(AND(ISNUMBER(C61),ISNUMBER(I61)),(I61-C61)*100,"")</x:f>
        <x:v>9.811625000000006</x:v>
      </x:c>
      <x:c r="P61" s="17" t="str"/>
    </x:row>
    <x:row r="62" ht="25" customHeight="1">
      <x:c r="A62" s="2" t="str">
        <x:v>特兹卡塔拉</x:v>
      </x:c>
      <x:c r="B62" s="2" t="str">
        <x:v>玩具盒</x:v>
      </x:c>
      <x:c r="C62" s="28" t="n">
        <x:f>IF('全量明细'!E354="","",'全量明细'!E354)</x:f>
        <x:v>0.2810451</x:v>
      </x:c>
      <x:c r="D62" s="12" t="n">
        <x:f>IF('全量明细'!F354="","",'全量明细'!F354)</x:f>
        <x:v>2409</x:v>
      </x:c>
      <x:c r="E62" s="11" t="n">
        <x:f>IF('全量明细'!G354="","",'全量明细'!G354)</x:f>
        <x:v>0.26649999999999996</x:v>
      </x:c>
      <x:c r="F62" s="11" t="n">
        <x:f>IF('全量明细'!H354="","",'全量明细'!H354)</x:f>
        <x:v>0.2586</x:v>
      </x:c>
      <x:c r="G62" s="11" t="n">
        <x:f>IF('全量明细'!I354="","",'全量明细'!I354)</x:f>
        <x:v>0.2892</x:v>
      </x:c>
      <x:c r="H62" s="14" t="n">
        <x:f>IF('全量明细'!J354="","",'全量明细'!J354)</x:f>
        <x:v>-3.0600000000000014</x:v>
      </x:c>
      <x:c r="I62" s="28" t="n">
        <x:f>IF('全量明细'!E848="","",'全量明细'!E848)</x:f>
        <x:v>0.42481249</x:v>
      </x:c>
      <x:c r="J62" s="12" t="n">
        <x:f>IF('全量明细'!F848="","",'全量明细'!F848)</x:f>
        <x:v>1038</x:v>
      </x:c>
      <x:c r="K62" s="11" t="n">
        <x:f>IF('全量明细'!G848="","",'全量明细'!G848)</x:f>
        <x:v>0.41229999999999994</x:v>
      </x:c>
      <x:c r="L62" s="11" t="n">
        <x:f>IF('全量明细'!H848="","",'全量明细'!H848)</x:f>
        <x:v>0.4579</x:v>
      </x:c>
      <x:c r="M62" s="11" t="n">
        <x:f>IF('全量明细'!I848="","",'全量明细'!I848)</x:f>
        <x:v>0.40159999999999996</x:v>
      </x:c>
      <x:c r="N62" s="14" t="n">
        <x:f>IF('全量明细'!J848="","",'全量明细'!J848)</x:f>
        <x:v>5.630000000000002</x:v>
      </x:c>
      <x:c r="O62" s="14" t="n">
        <x:f>IF(AND(ISNUMBER(C62),ISNUMBER(I62)),(I62-C62)*100,"")</x:f>
        <x:v>14.376738999999999</x:v>
      </x:c>
      <x:c r="P62" s="17" t="str"/>
    </x:row>
    <x:row r="63" ht="25" customHeight="1">
      <x:c r="A63" s="2" t="str">
        <x:v>特兹卡塔拉</x:v>
      </x:c>
      <x:c r="B63" s="2" t="str">
        <x:v>营养汤</x:v>
      </x:c>
      <x:c r="C63" s="28" t="n">
        <x:f>IF('全量明细'!E356="","",'全量明细'!E356)</x:f>
        <x:v>0.2779418</x:v>
      </x:c>
      <x:c r="D63" s="12" t="n">
        <x:f>IF('全量明细'!F356="","",'全量明细'!F356)</x:f>
        <x:v>3317</x:v>
      </x:c>
      <x:c r="E63" s="11" t="n">
        <x:f>IF('全量明细'!G356="","",'全量明细'!G356)</x:f>
        <x:v>0.2159</x:v>
      </x:c>
      <x:c r="F63" s="11" t="n">
        <x:f>IF('全量明细'!H356="","",'全量明细'!H356)</x:f>
        <x:v>0.2011</x:v>
      </x:c>
      <x:c r="G63" s="11" t="n">
        <x:f>IF('全量明细'!I356="","",'全量明细'!I356)</x:f>
        <x:v>0.2991</x:v>
      </x:c>
      <x:c r="H63" s="14" t="n">
        <x:f>IF('全量明细'!J356="","",'全量明细'!J356)</x:f>
        <x:v>-9.799999999999997</x:v>
      </x:c>
      <x:c r="I63" s="28" t="n">
        <x:f>IF('全量明细'!E855="","",'全量明细'!E855)</x:f>
        <x:v>0.40378282000000004</x:v>
      </x:c>
      <x:c r="J63" s="12" t="n">
        <x:f>IF('全量明细'!F855="","",'全量明细'!F855)</x:f>
        <x:v>1377</x:v>
      </x:c>
      <x:c r="K63" s="11" t="n">
        <x:f>IF('全量明细'!G855="","",'全量明细'!G855)</x:f>
        <x:v>0.1634</x:v>
      </x:c>
      <x:c r="L63" s="11" t="n">
        <x:f>IF('全量明细'!H855="","",'全量明细'!H855)</x:f>
        <x:v>0.2844</x:v>
      </x:c>
      <x:c r="M63" s="11" t="n">
        <x:f>IF('全量明细'!I855="","",'全量明细'!I855)</x:f>
        <x:v>0.42710000000000004</x:v>
      </x:c>
      <x:c r="N63" s="14" t="n">
        <x:f>IF('全量明细'!J855="","",'全量明细'!J855)</x:f>
        <x:v>-14.270000000000005</x:v>
      </x:c>
      <x:c r="O63" s="14" t="n">
        <x:f>IF(AND(ISNUMBER(C63),ISNUMBER(I63)),(I63-C63)*100,"")</x:f>
        <x:v>12.584102000000003</x:v>
      </x:c>
      <x:c r="P63" s="17" t="str"/>
    </x:row>
    <x:row r="64" ht="25" customHeight="1">
      <x:c r="A64" s="20" t="str">
        <x:v>诺奴佩普</x:v>
      </x:c>
      <x:c r="B64" s="20" t="str">
        <x:v>布质果实</x:v>
      </x:c>
      <x:c r="C64" s="27" t="n">
        <x:f>IF('全量明细'!E366="","",'全量明细'!E366)</x:f>
        <x:v>0.48477332000000006</x:v>
      </x:c>
      <x:c r="D64" s="23" t="n">
        <x:f>IF('全量明细'!F366="","",'全量明细'!F366)</x:f>
        <x:v>1677</x:v>
      </x:c>
      <x:c r="E64" s="22" t="n">
        <x:f>IF('全量明细'!G366="","",'全量明细'!G366)</x:f>
        <x:v>0.3011</x:v>
      </x:c>
      <x:c r="F64" s="22" t="n">
        <x:f>IF('全量明细'!H366="","",'全量明细'!H366)</x:f>
        <x:v>0.42969999999999997</x:v>
      </x:c>
      <x:c r="G64" s="22" t="n">
        <x:f>IF('全量明细'!I366="","",'全量明细'!I366)</x:f>
        <x:v>0.5085000000000001</x:v>
      </x:c>
      <x:c r="H64" s="24" t="n">
        <x:f>IF('全量明细'!J366="","",'全量明细'!J366)</x:f>
        <x:v>-7.88000000000001</x:v>
      </x:c>
      <x:c r="I64" s="27" t="n">
        <x:f>IF('全量明细'!E861="","",'全量明细'!E861)</x:f>
        <x:v>0.6179451800000001</x:v>
      </x:c>
      <x:c r="J64" s="23" t="n">
        <x:f>IF('全量明细'!F861="","",'全量明细'!F861)</x:f>
        <x:v>835</x:v>
      </x:c>
      <x:c r="K64" s="22" t="n">
        <x:f>IF('全量明细'!G861="","",'全量明细'!G861)</x:f>
        <x:v>0.3006</x:v>
      </x:c>
      <x:c r="L64" s="22" t="n">
        <x:f>IF('全量明细'!H861="","",'全量明细'!H861)</x:f>
        <x:v>0.5657</x:v>
      </x:c>
      <x:c r="M64" s="22" t="n">
        <x:f>IF('全量明细'!I861="","",'全量明细'!I861)</x:f>
        <x:v>0.6404000000000001</x:v>
      </x:c>
      <x:c r="N64" s="24" t="n">
        <x:f>IF('全量明细'!J861="","",'全量明细'!J861)</x:f>
        <x:v>-7.4700000000000095</x:v>
      </x:c>
      <x:c r="O64" s="24" t="n">
        <x:f>IF(AND(ISNUMBER(C64),ISNUMBER(I64)),(I64-C64)*100,"")</x:f>
        <x:v>13.317186000000003</x:v>
      </x:c>
      <x:c r="P64" s="31" t="str"/>
    </x:row>
    <x:row r="65" ht="25" customHeight="1">
      <x:c r="A65" s="2" t="str">
        <x:v>诺奴佩普</x:v>
      </x:c>
      <x:c r="B65" s="2" t="str">
        <x:v>赐福鹿角</x:v>
      </x:c>
      <x:c r="C65" s="28" t="n">
        <x:f>IF('全量明细'!E365="","",'全量明细'!E365)</x:f>
        <x:v>0.48712042</x:v>
      </x:c>
      <x:c r="D65" s="12" t="n">
        <x:f>IF('全量明细'!F365="","",'全量明细'!F365)</x:f>
        <x:v>1706</x:v>
      </x:c>
      <x:c r="E65" s="11" t="n">
        <x:f>IF('全量明细'!G365="","",'全量明细'!G365)</x:f>
        <x:v>0.2966</x:v>
      </x:c>
      <x:c r="F65" s="11" t="n">
        <x:f>IF('全量明细'!H365="","",'全量明细'!H365)</x:f>
        <x:v>0.4229</x:v>
      </x:c>
      <x:c r="G65" s="11" t="n">
        <x:f>IF('全量明细'!I365="","",'全量明细'!I365)</x:f>
        <x:v>0.5142</x:v>
      </x:c>
      <x:c r="H65" s="14" t="n">
        <x:f>IF('全量明细'!J365="","",'全量明细'!J365)</x:f>
        <x:v>-9.129999999999999</x:v>
      </x:c>
      <x:c r="I65" s="28" t="n">
        <x:f>IF('全量明细'!E863="","",'全量明细'!E863)</x:f>
        <x:v>0.6057807500000001</x:v>
      </x:c>
      <x:c r="J65" s="12" t="n">
        <x:f>IF('全量明细'!F863="","",'全量明细'!F863)</x:f>
        <x:v>870</x:v>
      </x:c>
      <x:c r="K65" s="11" t="n">
        <x:f>IF('全量明细'!G863="","",'全量明细'!G863)</x:f>
        <x:v>0.2425</x:v>
      </x:c>
      <x:c r="L65" s="11" t="n">
        <x:f>IF('全量明细'!H863="","",'全量明细'!H863)</x:f>
        <x:v>0.4739</x:v>
      </x:c>
      <x:c r="M65" s="11" t="n">
        <x:f>IF('全量明细'!I863="","",'全量明细'!I863)</x:f>
        <x:v>0.648</x:v>
      </x:c>
      <x:c r="N65" s="14" t="n">
        <x:f>IF('全量明细'!J863="","",'全量明细'!J863)</x:f>
        <x:v>-17.410000000000004</x:v>
      </x:c>
      <x:c r="O65" s="14" t="n">
        <x:f>IF(AND(ISNUMBER(C65),ISNUMBER(I65)),(I65-C65)*100,"")</x:f>
        <x:v>11.866033000000009</x:v>
      </x:c>
      <x:c r="P65" s="17" t="str"/>
    </x:row>
    <x:row r="66" ht="25" customHeight="1">
      <x:c r="A66" s="2" t="str">
        <x:v>诺奴佩普</x:v>
      </x:c>
      <x:c r="B66" s="2" t="str">
        <x:v>华美手镯</x:v>
      </x:c>
      <x:c r="C66" s="28" t="n">
        <x:f>IF('全量明细'!E359="","",'全量明细'!E359)</x:f>
        <x:v>0.5398641</x:v>
      </x:c>
      <x:c r="D66" s="12" t="n">
        <x:f>IF('全量明细'!F359="","",'全量明细'!F359)</x:f>
        <x:v>1656</x:v>
      </x:c>
      <x:c r="E66" s="11" t="n">
        <x:f>IF('全量明细'!G359="","",'全量明细'!G359)</x:f>
        <x:v>0.35450000000000004</x:v>
      </x:c>
      <x:c r="F66" s="11" t="n">
        <x:f>IF('全量明细'!H359="","",'全量明细'!H359)</x:f>
        <x:v>0.6881999999999999</x:v>
      </x:c>
      <x:c r="G66" s="11" t="n">
        <x:f>IF('全量明细'!I359="","",'全量明细'!I359)</x:f>
        <x:v>0.45840000000000003</x:v>
      </x:c>
      <x:c r="H66" s="14" t="n">
        <x:f>IF('全量明细'!J359="","",'全量明细'!J359)</x:f>
        <x:v>22.97999999999999</x:v>
      </x:c>
      <x:c r="I66" s="28" t="n">
        <x:f>IF('全量明细'!E864="","",'全量明细'!E864)</x:f>
        <x:v>0.6048171200000001</x:v>
      </x:c>
      <x:c r="J66" s="12" t="n">
        <x:f>IF('全量明细'!F864="","",'全量明细'!F864)</x:f>
        <x:v>873</x:v>
      </x:c>
      <x:c r="K66" s="11" t="n">
        <x:f>IF('全量明细'!G864="","",'全量明细'!G864)</x:f>
        <x:v>0.2566</x:v>
      </x:c>
      <x:c r="L66" s="11" t="n">
        <x:f>IF('全量明细'!H864="","",'全量明细'!H864)</x:f>
        <x:v>0.6518</x:v>
      </x:c>
      <x:c r="M66" s="11" t="n">
        <x:f>IF('全量明细'!I864="","",'全量明细'!I864)</x:f>
        <x:v>0.5886</x:v>
      </x:c>
      <x:c r="N66" s="14" t="n">
        <x:f>IF('全量明细'!J864="","",'全量明细'!J864)</x:f>
        <x:v>6.320000000000004</x:v>
      </x:c>
      <x:c r="O66" s="14" t="n">
        <x:f>IF(AND(ISNUMBER(C66),ISNUMBER(I66)),(I66-C66)*100,"")</x:f>
        <x:v>6.495302000000014</x:v>
      </x:c>
      <x:c r="P66" s="17" t="str"/>
    </x:row>
    <x:row r="67" ht="25" customHeight="1">
      <x:c r="A67" s="2" t="str">
        <x:v>诺奴佩普</x:v>
      </x:c>
      <x:c r="B67" s="2" t="str">
        <x:v>娇嫩蕨草</x:v>
      </x:c>
      <x:c r="C67" s="28" t="n">
        <x:f>IF('全量明细'!E364="","",'全量明细'!E364)</x:f>
        <x:v>0.48780577</x:v>
      </x:c>
      <x:c r="D67" s="12" t="n">
        <x:f>IF('全量明细'!F364="","",'全量明细'!F364)</x:f>
        <x:v>1636</x:v>
      </x:c>
      <x:c r="E67" s="11" t="n">
        <x:f>IF('全量明细'!G364="","",'全量明细'!G364)</x:f>
        <x:v>0.14730000000000001</x:v>
      </x:c>
      <x:c r="F67" s="11" t="n">
        <x:f>IF('全量明细'!H364="","",'全量明细'!H364)</x:f>
        <x:v>0.5602</x:v>
      </x:c>
      <x:c r="G67" s="11" t="n">
        <x:f>IF('全量明细'!I364="","",'全量明细'!I364)</x:f>
        <x:v>0.4753</x:v>
      </x:c>
      <x:c r="H67" s="14" t="n">
        <x:f>IF('全量明细'!J364="","",'全量明细'!J364)</x:f>
        <x:v>8.490000000000004</x:v>
      </x:c>
      <x:c r="I67" s="28" t="n">
        <x:f>IF('全量明细'!E865="","",'全量明细'!E865)</x:f>
        <x:v>0.60298568</x:v>
      </x:c>
      <x:c r="J67" s="12" t="n">
        <x:f>IF('全量明细'!F865="","",'全量明细'!F865)</x:f>
        <x:v>864</x:v>
      </x:c>
      <x:c r="K67" s="11" t="n">
        <x:f>IF('全量明细'!G865="","",'全量明细'!G865)</x:f>
        <x:v>0.1736</x:v>
      </x:c>
      <x:c r="L67" s="11" t="n">
        <x:f>IF('全量明细'!H865="","",'全量明细'!H865)</x:f>
        <x:v>0.6867</x:v>
      </x:c>
      <x:c r="M67" s="11" t="n">
        <x:f>IF('全量明细'!I865="","",'全量明细'!I865)</x:f>
        <x:v>0.5854</x:v>
      </x:c>
      <x:c r="N67" s="14" t="n">
        <x:f>IF('全量明细'!J865="","",'全量明细'!J865)</x:f>
        <x:v>10.129999999999995</x:v>
      </x:c>
      <x:c r="O67" s="14" t="n">
        <x:f>IF(AND(ISNUMBER(C67),ISNUMBER(I67)),(I67-C67)*100,"")</x:f>
        <x:v>11.517990999999995</x:v>
      </x:c>
      <x:c r="P67" s="17" t="str"/>
    </x:row>
    <x:row r="68" ht="25" customHeight="1">
      <x:c r="A68" s="2" t="str">
        <x:v>诺奴佩普</x:v>
      </x:c>
      <x:c r="B68" s="2" t="str">
        <x:v>亮片</x:v>
      </x:c>
      <x:c r="C68" s="28" t="n">
        <x:f>IF('全量明细'!E362="","",'全量明细'!E362)</x:f>
        <x:v>0.49912152000000004</x:v>
      </x:c>
      <x:c r="D68" s="12" t="n">
        <x:f>IF('全量明细'!F362="","",'全量明细'!F362)</x:f>
        <x:v>1691</x:v>
      </x:c>
      <x:c r="E68" s="11" t="n">
        <x:f>IF('全量明细'!G362="","",'全量明细'!G362)</x:f>
        <x:v>0.4648</x:v>
      </x:c>
      <x:c r="F68" s="11" t="n">
        <x:f>IF('全量明细'!H362="","",'全量明细'!H362)</x:f>
        <x:v>0.5178</x:v>
      </x:c>
      <x:c r="G68" s="11" t="n">
        <x:f>IF('全量明细'!I362="","",'全量明细'!I362)</x:f>
        <x:v>0.4829</x:v>
      </x:c>
      <x:c r="H68" s="14" t="n">
        <x:f>IF('全量明细'!J362="","",'全量明细'!J362)</x:f>
        <x:v>3.490000000000004</x:v>
      </x:c>
      <x:c r="I68" s="28" t="n">
        <x:f>IF('全量明细'!E862="","",'全量明细'!E862)</x:f>
        <x:v>0.61128101</x:v>
      </x:c>
      <x:c r="J68" s="12" t="n">
        <x:f>IF('全量明细'!F862="","",'全量明细'!F862)</x:f>
        <x:v>813</x:v>
      </x:c>
      <x:c r="K68" s="11" t="n">
        <x:f>IF('全量明细'!G862="","",'全量明细'!G862)</x:f>
        <x:v>0.4207</x:v>
      </x:c>
      <x:c r="L68" s="11" t="n">
        <x:f>IF('全量明细'!H862="","",'全量明细'!H862)</x:f>
        <x:v>0.5906</x:v>
      </x:c>
      <x:c r="M68" s="11" t="n">
        <x:f>IF('全量明细'!I862="","",'全量明细'!I862)</x:f>
        <x:v>0.6263000000000001</x:v>
      </x:c>
      <x:c r="N68" s="14" t="n">
        <x:f>IF('全量明细'!J862="","",'全量明细'!J862)</x:f>
        <x:v>-3.5700000000000065</x:v>
      </x:c>
      <x:c r="O68" s="14" t="n">
        <x:f>IF(AND(ISNUMBER(C68),ISNUMBER(I68)),(I68-C68)*100,"")</x:f>
        <x:v>11.215948999999997</x:v>
      </x:c>
      <x:c r="P68" s="17" t="str"/>
    </x:row>
    <x:row r="69" ht="25" customHeight="1">
      <x:c r="A69" s="2" t="str">
        <x:v>诺奴佩普</x:v>
      </x:c>
      <x:c r="B69" s="2" t="str">
        <x:v>皮草大衣</x:v>
      </x:c>
      <x:c r="C69" s="28" t="n">
        <x:f>IF('全量明细'!E367="","",'全量明细'!E367)</x:f>
        <x:v>0.48319680000000004</x:v>
      </x:c>
      <x:c r="D69" s="12" t="n">
        <x:f>IF('全量明细'!F367="","",'全量明细'!F367)</x:f>
        <x:v>1637</x:v>
      </x:c>
      <x:c r="E69" s="11" t="n">
        <x:f>IF('全量明细'!G367="","",'全量明细'!G367)</x:f>
        <x:v>0.2792</x:v>
      </x:c>
      <x:c r="F69" s="11" t="n">
        <x:f>IF('全量明细'!H367="","",'全量明细'!H367)</x:f>
        <x:v>0.3239</x:v>
      </x:c>
      <x:c r="G69" s="11" t="n">
        <x:f>IF('全量明细'!I367="","",'全量明细'!I367)</x:f>
        <x:v>0.5449</x:v>
      </x:c>
      <x:c r="H69" s="14" t="n">
        <x:f>IF('全量明细'!J367="","",'全量明细'!J367)</x:f>
        <x:v>-22.1</x:v>
      </x:c>
      <x:c r="I69" s="28" t="n">
        <x:f>IF('全量明细'!E867="","",'全量明细'!E867)</x:f>
        <x:v>0.59241141</x:v>
      </x:c>
      <x:c r="J69" s="12" t="n">
        <x:f>IF('全量明细'!F867="","",'全量明细'!F867)</x:f>
        <x:v>795</x:v>
      </x:c>
      <x:c r="K69" s="11" t="n">
        <x:f>IF('全量明细'!G867="","",'全量明细'!G867)</x:f>
        <x:v>0.26289999999999997</x:v>
      </x:c>
      <x:c r="L69" s="11" t="n">
        <x:f>IF('全量明细'!H867="","",'全量明细'!H867)</x:f>
        <x:v>0.4545</x:v>
      </x:c>
      <x:c r="M69" s="11" t="n">
        <x:f>IF('全量明细'!I867="","",'全量明细'!I867)</x:f>
        <x:v>0.6416</x:v>
      </x:c>
      <x:c r="N69" s="14" t="n">
        <x:f>IF('全量明细'!J867="","",'全量明细'!J867)</x:f>
        <x:v>-18.709999999999994</x:v>
      </x:c>
      <x:c r="O69" s="14" t="n">
        <x:f>IF(AND(ISNUMBER(C69),ISNUMBER(I69)),(I69-C69)*100,"")</x:f>
        <x:v>10.921460999999994</x:v>
      </x:c>
      <x:c r="P69" s="17" t="str"/>
    </x:row>
    <x:row r="70" ht="25" customHeight="1">
      <x:c r="A70" s="2" t="str">
        <x:v>诺奴佩普</x:v>
      </x:c>
      <x:c r="B70" s="2" t="str">
        <x:v>图章戒指</x:v>
      </x:c>
      <x:c r="C70" s="28" t="n">
        <x:f>IF('全量明细'!E360="","",'全量明细'!E360)</x:f>
        <x:v>0.51053938</x:v>
      </x:c>
      <x:c r="D70" s="12" t="n">
        <x:f>IF('全量明细'!F360="","",'全量明细'!F360)</x:f>
        <x:v>1712</x:v>
      </x:c>
      <x:c r="E70" s="11" t="n">
        <x:f>IF('全量明细'!G360="","",'全量明细'!G360)</x:f>
        <x:v>0.5239</x:v>
      </x:c>
      <x:c r="F70" s="11" t="n">
        <x:f>IF('全量明细'!H360="","",'全量明细'!H360)</x:f>
        <x:v>0.5173</x:v>
      </x:c>
      <x:c r="G70" s="11" t="n">
        <x:f>IF('全量明细'!I360="","",'全量明细'!I360)</x:f>
        <x:v>0.5031</x:v>
      </x:c>
      <x:c r="H70" s="14" t="n">
        <x:f>IF('全量明细'!J360="","",'全量明细'!J360)</x:f>
        <x:v>1.419999999999999</x:v>
      </x:c>
      <x:c r="I70" s="28" t="n">
        <x:f>IF('全量明细'!E866="","",'全量明细'!E866)</x:f>
        <x:v>0.59802796</x:v>
      </x:c>
      <x:c r="J70" s="12" t="n">
        <x:f>IF('全量明细'!F866="","",'全量明细'!F866)</x:f>
        <x:v>811</x:v>
      </x:c>
      <x:c r="K70" s="11" t="n">
        <x:f>IF('全量明细'!G866="","",'全量明细'!G866)</x:f>
        <x:v>0.5068</x:v>
      </x:c>
      <x:c r="L70" s="11" t="n">
        <x:f>IF('全量明细'!H866="","",'全量明细'!H866)</x:f>
        <x:v>0.6472</x:v>
      </x:c>
      <x:c r="M70" s="11" t="n">
        <x:f>IF('全量明细'!I866="","",'全量明细'!I866)</x:f>
        <x:v>0.5475</x:v>
      </x:c>
      <x:c r="N70" s="14" t="n">
        <x:f>IF('全量明细'!J866="","",'全量明细'!J866)</x:f>
        <x:v>9.97</x:v>
      </x:c>
      <x:c r="O70" s="14" t="n">
        <x:f>IF(AND(ISNUMBER(C70),ISNUMBER(I70)),(I70-C70)*100,"")</x:f>
        <x:v>8.748858000000004</x:v>
      </x:c>
      <x:c r="P70" s="17" t="str"/>
    </x:row>
    <x:row r="71" ht="25" customHeight="1">
      <x:c r="A71" s="2" t="str">
        <x:v>诺奴佩普</x:v>
      </x:c>
      <x:c r="B71" s="2" t="str">
        <x:v>艳丽围巾</x:v>
      </x:c>
      <x:c r="C71" s="28" t="n">
        <x:f>IF('全量明细'!E361="","",'全量明细'!E361)</x:f>
        <x:v>0.5100256000000001</x:v>
      </x:c>
      <x:c r="D71" s="12" t="n">
        <x:f>IF('全量明细'!F361="","",'全量明细'!F361)</x:f>
        <x:v>1647</x:v>
      </x:c>
      <x:c r="E71" s="11" t="n">
        <x:f>IF('全量明细'!G361="","",'全量明细'!G361)</x:f>
        <x:v>0.408</x:v>
      </x:c>
      <x:c r="F71" s="11" t="n">
        <x:f>IF('全量明细'!H361="","",'全量明细'!H361)</x:f>
        <x:v>0.5134000000000001</x:v>
      </x:c>
      <x:c r="G71" s="11" t="n">
        <x:f>IF('全量明细'!I361="","",'全量明细'!I361)</x:f>
        <x:v>0.5077</x:v>
      </x:c>
      <x:c r="H71" s="14" t="n">
        <x:f>IF('全量明细'!J361="","",'全量明细'!J361)</x:f>
        <x:v>0.5700000000000038</x:v>
      </x:c>
      <x:c r="I71" s="28" t="n">
        <x:f>IF('全量明细'!E860="","",'全量明细'!E860)</x:f>
        <x:v>0.6244542900000001</x:v>
      </x:c>
      <x:c r="J71" s="12" t="n">
        <x:f>IF('全量明细'!F860="","",'全量明细'!F860)</x:f>
        <x:v>860</x:v>
      </x:c>
      <x:c r="K71" s="11" t="n">
        <x:f>IF('全量明细'!G860="","",'全量明细'!G860)</x:f>
        <x:v>0.4349</x:v>
      </x:c>
      <x:c r="L71" s="11" t="n">
        <x:f>IF('全量明细'!H860="","",'全量明细'!H860)</x:f>
        <x:v>0.6765000000000001</x:v>
      </x:c>
      <x:c r="M71" s="11" t="n">
        <x:f>IF('全量明细'!I860="","",'全量明细'!I860)</x:f>
        <x:v>0.5844</x:v>
      </x:c>
      <x:c r="N71" s="14" t="n">
        <x:f>IF('全量明细'!J860="","",'全量明细'!J860)</x:f>
        <x:v>9.210000000000008</x:v>
      </x:c>
      <x:c r="O71" s="14" t="n">
        <x:f>IF(AND(ISNUMBER(C71),ISNUMBER(I71)),(I71-C71)*100,"")</x:f>
        <x:v>11.442869</x:v>
      </x:c>
      <x:c r="P71" s="17" t="str"/>
    </x:row>
    <x:row r="72" ht="25" customHeight="1">
      <x:c r="A72" s="2" t="str">
        <x:v>诺奴佩普</x:v>
      </x:c>
      <x:c r="B72" s="2" t="str">
        <x:v>珠宝盒</x:v>
      </x:c>
      <x:c r="C72" s="28" t="n">
        <x:f>IF('全量明细'!E363="","",'全量明细'!E363)</x:f>
        <x:v>0.4941257600000001</x:v>
      </x:c>
      <x:c r="D72" s="12" t="n">
        <x:f>IF('全量明细'!F363="","",'全量明细'!F363)</x:f>
        <x:v>1793</x:v>
      </x:c>
      <x:c r="E72" s="11" t="n">
        <x:f>IF('全量明细'!G363="","",'全量明细'!G363)</x:f>
        <x:v>0.24480000000000002</x:v>
      </x:c>
      <x:c r="F72" s="11" t="n">
        <x:f>IF('全量明细'!H363="","",'全量明细'!H363)</x:f>
        <x:v>0.4214</x:v>
      </x:c>
      <x:c r="G72" s="11" t="n">
        <x:f>IF('全量明细'!I363="","",'全量明细'!I363)</x:f>
        <x:v>0.5177</x:v>
      </x:c>
      <x:c r="H72" s="14" t="n">
        <x:f>IF('全量明细'!J363="","",'全量明细'!J363)</x:f>
        <x:v>-9.630000000000006</x:v>
      </x:c>
      <x:c r="I72" s="28" t="n">
        <x:f>IF('全量明细'!E859="","",'全量明细'!E859)</x:f>
        <x:v>0.6287777999999999</x:v>
      </x:c>
      <x:c r="J72" s="12" t="n">
        <x:f>IF('全量明细'!F859="","",'全量明细'!F859)</x:f>
        <x:v>862</x:v>
      </x:c>
      <x:c r="K72" s="11" t="n">
        <x:f>IF('全量明细'!G859="","",'全量明细'!G859)</x:f>
        <x:v>0.23670000000000002</x:v>
      </x:c>
      <x:c r="L72" s="11" t="n">
        <x:f>IF('全量明细'!H859="","",'全量明细'!H859)</x:f>
        <x:v>0.5784</x:v>
      </x:c>
      <x:c r="M72" s="11" t="n">
        <x:f>IF('全量明细'!I859="","",'全量明细'!I859)</x:f>
        <x:v>0.6444</x:v>
      </x:c>
      <x:c r="N72" s="14" t="n">
        <x:f>IF('全量明细'!J859="","",'全量明细'!J859)</x:f>
        <x:v>-6.599999999999994</x:v>
      </x:c>
      <x:c r="O72" s="14" t="n">
        <x:f>IF(AND(ISNUMBER(C72),ISNUMBER(I72)),(I72-C72)*100,"")</x:f>
        <x:v>13.465203999999986</x:v>
      </x:c>
      <x:c r="P72" s="17" t="str"/>
    </x:row>
    <x:row r="73" ht="25" customHeight="1">
      <x:c r="A73" s="2" t="str">
        <x:v>诺奴佩普</x:v>
      </x:c>
      <x:c r="B73" s="2" t="str">
        <x:v>钻石头冠</x:v>
      </x:c>
      <x:c r="C73" s="28" t="n">
        <x:f>IF('全量明细'!E368="","",'全量明细'!E368)</x:f>
        <x:v>0.47544111</x:v>
      </x:c>
      <x:c r="D73" s="12" t="n">
        <x:f>IF('全量明细'!F368="","",'全量明细'!F368)</x:f>
        <x:v>1729</x:v>
      </x:c>
      <x:c r="E73" s="11" t="n">
        <x:f>IF('全量明细'!G368="","",'全量明细'!G368)</x:f>
        <x:v>0.3031</x:v>
      </x:c>
      <x:c r="F73" s="11" t="n">
        <x:f>IF('全量明细'!H368="","",'全量明细'!H368)</x:f>
        <x:v>0.5229</x:v>
      </x:c>
      <x:c r="G73" s="11" t="n">
        <x:f>IF('全量明细'!I368="","",'全量明细'!I368)</x:f>
        <x:v>0.4548</x:v>
      </x:c>
      <x:c r="H73" s="14" t="n">
        <x:f>IF('全量明细'!J368="","",'全量明细'!J368)</x:f>
        <x:v>6.810000000000005</x:v>
      </x:c>
      <x:c r="I73" s="28" t="n">
        <x:f>IF('全量明细'!E858="","",'全量明细'!E858)</x:f>
        <x:v>0.6315175000000001</x:v>
      </x:c>
      <x:c r="J73" s="12" t="n">
        <x:f>IF('全量明细'!F858="","",'全量明细'!F858)</x:f>
        <x:v>844</x:v>
      </x:c>
      <x:c r="K73" s="11" t="n">
        <x:f>IF('全量明细'!G858="","",'全量明细'!G858)</x:f>
        <x:v>0.513</x:v>
      </x:c>
      <x:c r="L73" s="11" t="n">
        <x:f>IF('全量明细'!H858="","",'全量明细'!H858)</x:f>
        <x:v>0.679</x:v>
      </x:c>
      <x:c r="M73" s="11" t="n">
        <x:f>IF('全量明细'!I858="","",'全量明细'!I858)</x:f>
        <x:v>0.5815</x:v>
      </x:c>
      <x:c r="N73" s="14" t="n">
        <x:f>IF('全量明细'!J858="","",'全量明细'!J858)</x:f>
        <x:v>9.750000000000004</x:v>
      </x:c>
      <x:c r="O73" s="14" t="n">
        <x:f>IF(AND(ISNUMBER(C73),ISNUMBER(I73)),(I73-C73)*100,"")</x:f>
        <x:v>15.607639000000006</x:v>
      </x:c>
      <x:c r="P73" s="17" t="str"/>
    </x:row>
    <x:row r="74" ht="25" customHeight="1">
      <x:c r="A74" s="20" t="str">
        <x:v>坦克斯</x:v>
      </x:c>
      <x:c r="B74" s="20" t="str">
        <x:v>钗</x:v>
      </x:c>
      <x:c r="C74" s="27" t="n">
        <x:f>IF('全量明细'!E370="","",'全量明细'!E370)</x:f>
        <x:v>0.577492</x:v>
      </x:c>
      <x:c r="D74" s="23" t="n">
        <x:f>IF('全量明细'!F370="","",'全量明细'!F370)</x:f>
        <x:v>1704</x:v>
      </x:c>
      <x:c r="E74" s="22" t="n">
        <x:f>IF('全量明细'!G370="","",'全量明细'!G370)</x:f>
        <x:v>0.52</x:v>
      </x:c>
      <x:c r="F74" s="22" t="n">
        <x:f>IF('全量明细'!H370="","",'全量明细'!H370)</x:f>
        <x:v>0.6061</x:v>
      </x:c>
      <x:c r="G74" s="22" t="n">
        <x:f>IF('全量明细'!I370="","",'全量明细'!I370)</x:f>
        <x:v>0.5465</x:v>
      </x:c>
      <x:c r="H74" s="24" t="n">
        <x:f>IF('全量明细'!J370="","",'全量明细'!J370)</x:f>
        <x:v>5.959999999999999</x:v>
      </x:c>
      <x:c r="I74" s="27" t="n">
        <x:f>IF('全量明细'!E868="","",'全量明细'!E868)</x:f>
        <x:v>0.6903811900000001</x:v>
      </x:c>
      <x:c r="J74" s="23" t="n">
        <x:f>IF('全量明细'!F868="","",'全量明细'!F868)</x:f>
        <x:v>859</x:v>
      </x:c>
      <x:c r="K74" s="22" t="n">
        <x:f>IF('全量明细'!G868="","",'全量明细'!G868)</x:f>
        <x:v>0.5111</x:v>
      </x:c>
      <x:c r="L74" s="22" t="n">
        <x:f>IF('全量明细'!H868="","",'全量明细'!H868)</x:f>
        <x:v>0.7358</x:v>
      </x:c>
      <x:c r="M74" s="22" t="n">
        <x:f>IF('全量明细'!I868="","",'全量明细'!I868)</x:f>
        <x:v>0.6429</x:v>
      </x:c>
      <x:c r="N74" s="24" t="n">
        <x:f>IF('全量明细'!J868="","",'全量明细'!J868)</x:f>
        <x:v>9.29</x:v>
      </x:c>
      <x:c r="O74" s="24" t="n">
        <x:f>IF(AND(ISNUMBER(C74),ISNUMBER(I74)),(I74-C74)*100,"")</x:f>
        <x:v>11.288919000000009</x:v>
      </x:c>
      <x:c r="P74" s="31" t="str"/>
    </x:row>
    <x:row r="75" ht="25" customHeight="1">
      <x:c r="A75" s="2" t="str">
        <x:v>坦克斯</x:v>
      </x:c>
      <x:c r="B75" s="2" t="str">
        <x:v>带刺手甲</x:v>
      </x:c>
      <x:c r="C75" s="28" t="n">
        <x:f>IF('全量明细'!E376="","",'全量明细'!E376)</x:f>
        <x:v>0.51698</x:v>
      </x:c>
      <x:c r="D75" s="12" t="n">
        <x:f>IF('全量明细'!F376="","",'全量明细'!F376)</x:f>
        <x:v>1681</x:v>
      </x:c>
      <x:c r="E75" s="11" t="n">
        <x:f>IF('全量明细'!G376="","",'全量明细'!G376)</x:f>
        <x:v>0.26</x:v>
      </x:c>
      <x:c r="F75" s="11" t="n">
        <x:f>IF('全量明细'!H376="","",'全量明细'!H376)</x:f>
        <x:v>0.4119</x:v>
      </x:c>
      <x:c r="G75" s="11" t="n">
        <x:f>IF('全量明细'!I376="","",'全量明细'!I376)</x:f>
        <x:v>0.5539000000000001</x:v>
      </x:c>
      <x:c r="H75" s="14" t="n">
        <x:f>IF('全量明细'!J376="","",'全量明细'!J376)</x:f>
        <x:v>-14.200000000000006</x:v>
      </x:c>
      <x:c r="I75" s="28" t="n">
        <x:f>IF('全量明细'!E871="","",'全量明细'!E871)</x:f>
        <x:v>0.660498</x:v>
      </x:c>
      <x:c r="J75" s="12" t="n">
        <x:f>IF('全量明细'!F871="","",'全量明细'!F871)</x:f>
        <x:v>813</x:v>
      </x:c>
      <x:c r="K75" s="11" t="n">
        <x:f>IF('全量明细'!G871="","",'全量明细'!G871)</x:f>
        <x:v>0.24350000000000002</x:v>
      </x:c>
      <x:c r="L75" s="11" t="n">
        <x:f>IF('全量明细'!H871="","",'全量明细'!H871)</x:f>
        <x:v>0.5909</x:v>
      </x:c>
      <x:c r="M75" s="11" t="n">
        <x:f>IF('全量明细'!I871="","",'全量明细'!I871)</x:f>
        <x:v>0.6829000000000001</x:v>
      </x:c>
      <x:c r="N75" s="14" t="n">
        <x:f>IF('全量明细'!J871="","",'全量明细'!J871)</x:f>
        <x:v>-9.200000000000008</x:v>
      </x:c>
      <x:c r="O75" s="14" t="n">
        <x:f>IF(AND(ISNUMBER(C75),ISNUMBER(I75)),(I75-C75)*100,"")</x:f>
        <x:v>14.351800000000004</x:v>
      </x:c>
      <x:c r="P75" s="17" t="str"/>
    </x:row>
    <x:row r="76" ht="25" customHeight="1">
      <x:c r="A76" s="2" t="str">
        <x:v>坦克斯</x:v>
      </x:c>
      <x:c r="B76" s="2" t="str">
        <x:v>利爪</x:v>
      </x:c>
      <x:c r="C76" s="28" t="n">
        <x:f>IF('全量明细'!E373="","",'全量明细'!E373)</x:f>
        <x:v>0.53320062</x:v>
      </x:c>
      <x:c r="D76" s="12" t="n">
        <x:f>IF('全量明细'!F373="","",'全量明细'!F373)</x:f>
        <x:v>1714</x:v>
      </x:c>
      <x:c r="E76" s="11" t="n">
        <x:f>IF('全量明细'!G373="","",'全量明细'!G373)</x:f>
        <x:v>0.0858</x:v>
      </x:c>
      <x:c r="F76" s="11" t="n">
        <x:f>IF('全量明细'!H373="","",'全量明细'!H373)</x:f>
        <x:v>0.3265</x:v>
      </x:c>
      <x:c r="G76" s="11" t="n">
        <x:f>IF('全量明细'!I373="","",'全量明细'!I373)</x:f>
        <x:v>0.5526</x:v>
      </x:c>
      <x:c r="H76" s="14" t="n">
        <x:f>IF('全量明细'!J373="","",'全量明细'!J373)</x:f>
        <x:v>-22.609999999999996</x:v>
      </x:c>
      <x:c r="I76" s="28" t="n">
        <x:f>IF('全量明细'!E874="","",'全量明细'!E874)</x:f>
        <x:v>0.6443846000000001</x:v>
      </x:c>
      <x:c r="J76" s="12" t="n">
        <x:f>IF('全量明细'!F874="","",'全量明细'!F874)</x:f>
        <x:v>824</x:v>
      </x:c>
      <x:c r="K76" s="11" t="n">
        <x:f>IF('全量明细'!G874="","",'全量明细'!G874)</x:f>
        <x:v>0.1092</x:v>
      </x:c>
      <x:c r="L76" s="11" t="n">
        <x:f>IF('全量明细'!H874="","",'全量明细'!H874)</x:f>
        <x:v>0.44439999999999996</x:v>
      </x:c>
      <x:c r="M76" s="11" t="n">
        <x:f>IF('全量明细'!I874="","",'全量明细'!I874)</x:f>
        <x:v>0.6689</x:v>
      </x:c>
      <x:c r="N76" s="14" t="n">
        <x:f>IF('全量明细'!J874="","",'全量明细'!J874)</x:f>
        <x:v>-22.45000000000001</x:v>
      </x:c>
      <x:c r="O76" s="14" t="n">
        <x:f>IF(AND(ISNUMBER(C76),ISNUMBER(I76)),(I76-C76)*100,"")</x:f>
        <x:v>11.118398000000006</x:v>
      </x:c>
      <x:c r="P76" s="17" t="str"/>
    </x:row>
    <x:row r="77" ht="25" customHeight="1">
      <x:c r="A77" s="2" t="str">
        <x:v>坦克斯</x:v>
      </x:c>
      <x:c r="B77" s="2" t="str">
        <x:v>切肉刀</x:v>
      </x:c>
      <x:c r="C77" s="28" t="n">
        <x:f>IF('全量明细'!E374="","",'全量明细'!E374)</x:f>
        <x:v>0.52188864</x:v>
      </x:c>
      <x:c r="D77" s="12" t="n">
        <x:f>IF('全量明细'!F374="","",'全量明细'!F374)</x:f>
        <x:v>1713</x:v>
      </x:c>
      <x:c r="E77" s="11" t="n">
        <x:f>IF('全量明细'!G374="","",'全量明细'!G374)</x:f>
        <x:v>0.5032</x:v>
      </x:c>
      <x:c r="F77" s="11" t="n">
        <x:f>IF('全量明细'!H374="","",'全量明细'!H374)</x:f>
        <x:v>0.5046</x:v>
      </x:c>
      <x:c r="G77" s="11" t="n">
        <x:f>IF('全量明细'!I374="","",'全量明细'!I374)</x:f>
        <x:v>0.5394</x:v>
      </x:c>
      <x:c r="H77" s="14" t="n">
        <x:f>IF('全量明细'!J374="","",'全量明细'!J374)</x:f>
        <x:v>-3.479999999999994</x:v>
      </x:c>
      <x:c r="I77" s="28" t="n">
        <x:f>IF('全量明细'!E875="","",'全量明细'!E875)</x:f>
        <x:v>0.6439131</x:v>
      </x:c>
      <x:c r="J77" s="12" t="n">
        <x:f>IF('全量明细'!F875="","",'全量明细'!F875)</x:f>
        <x:v>834</x:v>
      </x:c>
      <x:c r="K77" s="11" t="n">
        <x:f>IF('全量明细'!G875="","",'全量明细'!G875)</x:f>
        <x:v>0.4365</x:v>
      </x:c>
      <x:c r="L77" s="11" t="n">
        <x:f>IF('全量明细'!H875="","",'全量明细'!H875)</x:f>
        <x:v>0.6154</x:v>
      </x:c>
      <x:c r="M77" s="11" t="n">
        <x:f>IF('全量明细'!I875="","",'全量明细'!I875)</x:f>
        <x:v>0.6659999999999999</x:v>
      </x:c>
      <x:c r="N77" s="14" t="n">
        <x:f>IF('全量明细'!J875="","",'全量明细'!J875)</x:f>
        <x:v>-5.059999999999998</x:v>
      </x:c>
      <x:c r="O77" s="14" t="n">
        <x:f>IF(AND(ISNUMBER(C77),ISNUMBER(I77)),(I77-C77)*100,"")</x:f>
        <x:v>12.202446</x:v>
      </x:c>
      <x:c r="P77" s="17" t="str"/>
    </x:row>
    <x:row r="78" ht="25" customHeight="1">
      <x:c r="A78" s="2" t="str">
        <x:v>坦克斯</x:v>
      </x:c>
      <x:c r="B78" s="2" t="str">
        <x:v>三刃回旋镖</x:v>
      </x:c>
      <x:c r="C78" s="28" t="n">
        <x:f>IF('全量明细'!E369="","",'全量明细'!E369)</x:f>
        <x:v>0.58181761</x:v>
      </x:c>
      <x:c r="D78" s="12" t="n">
        <x:f>IF('全量明细'!F369="","",'全量明细'!F369)</x:f>
        <x:v>1674</x:v>
      </x:c>
      <x:c r="E78" s="11" t="n">
        <x:f>IF('全量明细'!G369="","",'全量明细'!G369)</x:f>
        <x:v>0.5753</x:v>
      </x:c>
      <x:c r="F78" s="11" t="n">
        <x:f>IF('全量明细'!H369="","",'全量明细'!H369)</x:f>
        <x:v>0.6386</x:v>
      </x:c>
      <x:c r="G78" s="11" t="n">
        <x:f>IF('全量明细'!I369="","",'全量明细'!I369)</x:f>
        <x:v>0.5049</x:v>
      </x:c>
      <x:c r="H78" s="14" t="n">
        <x:f>IF('全量明细'!J369="","",'全量明细'!J369)</x:f>
        <x:v>13.369999999999994</x:v>
      </x:c>
      <x:c r="I78" s="28" t="n">
        <x:f>IF('全量明细'!E869="","",'全量明细'!E869)</x:f>
        <x:v>0.68351718</x:v>
      </x:c>
      <x:c r="J78" s="12" t="n">
        <x:f>IF('全量明细'!F869="","",'全量明细'!F869)</x:f>
        <x:v>752</x:v>
      </x:c>
      <x:c r="K78" s="11" t="n">
        <x:f>IF('全量明细'!G869="","",'全量明细'!G869)</x:f>
        <x:v>0.6236999999999999</x:v>
      </x:c>
      <x:c r="L78" s="11" t="n">
        <x:f>IF('全量明细'!H869="","",'全量明细'!H869)</x:f>
        <x:v>0.7292000000000001</x:v>
      </x:c>
      <x:c r="M78" s="11" t="n">
        <x:f>IF('全量明细'!I869="","",'全量明细'!I869)</x:f>
        <x:v>0.6078</x:v>
      </x:c>
      <x:c r="N78" s="14" t="n">
        <x:f>IF('全量明细'!J869="","",'全量明细'!J869)</x:f>
        <x:v>12.140000000000006</x:v>
      </x:c>
      <x:c r="O78" s="14" t="n">
        <x:f>IF(AND(ISNUMBER(C78),ISNUMBER(I78)),(I78-C78)*100,"")</x:f>
        <x:v>10.169956999999997</x:v>
      </x:c>
      <x:c r="P78" s="17" t="str"/>
    </x:row>
    <x:row r="79" ht="25" customHeight="1">
      <x:c r="A79" s="2" t="str">
        <x:v>坦克斯</x:v>
      </x:c>
      <x:c r="B79" s="2" t="str">
        <x:v>十字弓</x:v>
      </x:c>
      <x:c r="C79" s="28" t="n">
        <x:f>IF('全量明细'!E372="","",'全量明细'!E372)</x:f>
        <x:v>0.54891416</x:v>
      </x:c>
      <x:c r="D79" s="12" t="n">
        <x:f>IF('全量明细'!F372="","",'全量明细'!F372)</x:f>
        <x:v>1698</x:v>
      </x:c>
      <x:c r="E79" s="11" t="n">
        <x:f>IF('全量明细'!G372="","",'全量明细'!G372)</x:f>
        <x:v>0.1578</x:v>
      </x:c>
      <x:c r="F79" s="11" t="n">
        <x:f>IF('全量明细'!H372="","",'全量明细'!H372)</x:f>
        <x:v>0.5634</x:v>
      </x:c>
      <x:c r="G79" s="11" t="n">
        <x:f>IF('全量明细'!I372="","",'全量明细'!I372)</x:f>
        <x:v>0.5462</x:v>
      </x:c>
      <x:c r="H79" s="14" t="n">
        <x:f>IF('全量明细'!J372="","",'全量明细'!J372)</x:f>
        <x:v>1.7199999999999993</x:v>
      </x:c>
      <x:c r="I79" s="28" t="n">
        <x:f>IF('全量明细'!E876="","",'全量明细'!E876)</x:f>
        <x:v>0.64053008</x:v>
      </x:c>
      <x:c r="J79" s="12" t="n">
        <x:f>IF('全量明细'!F876="","",'全量明细'!F876)</x:f>
        <x:v>804</x:v>
      </x:c>
      <x:c r="K79" s="11" t="n">
        <x:f>IF('全量明细'!G876="","",'全量明细'!G876)</x:f>
        <x:v>0.16920000000000002</x:v>
      </x:c>
      <x:c r="L79" s="11" t="n">
        <x:f>IF('全量明细'!H876="","",'全量明细'!H876)</x:f>
        <x:v>0.6175999999999999</x:v>
      </x:c>
      <x:c r="M79" s="11" t="n">
        <x:f>IF('全量明细'!I876="","",'全量明细'!I876)</x:f>
        <x:v>0.6452</x:v>
      </x:c>
      <x:c r="N79" s="14" t="n">
        <x:f>IF('全量明细'!J876="","",'全量明细'!J876)</x:f>
        <x:v>-2.760000000000007</x:v>
      </x:c>
      <x:c r="O79" s="14" t="n">
        <x:f>IF(AND(ISNUMBER(C79),ISNUMBER(I79)),(I79-C79)*100,"")</x:f>
        <x:v>9.161591999999995</x:v>
      </x:c>
      <x:c r="P79" s="17" t="str"/>
    </x:row>
    <x:row r="80" ht="25" customHeight="1">
      <x:c r="A80" s="2" t="str">
        <x:v>坦克斯</x:v>
      </x:c>
      <x:c r="B80" s="2" t="str">
        <x:v>坦克斯的哨子</x:v>
      </x:c>
      <x:c r="C80" s="28" t="n">
        <x:f>IF('全量明细'!E378="","",'全量明细'!E378)</x:f>
        <x:v>0.5161199</x:v>
      </x:c>
      <x:c r="D80" s="12" t="n">
        <x:f>IF('全量明细'!F378="","",'全量明细'!F378)</x:f>
        <x:v>1709</x:v>
      </x:c>
      <x:c r="E80" s="11" t="n">
        <x:f>IF('全量明细'!G378="","",'全量明细'!G378)</x:f>
        <x:v>0.20420000000000002</x:v>
      </x:c>
      <x:c r="F80" s="11" t="n">
        <x:f>IF('全量明细'!H378="","",'全量明细'!H378)</x:f>
        <x:v>0.44409999999999994</x:v>
      </x:c>
      <x:c r="G80" s="11" t="n">
        <x:f>IF('全量明细'!I378="","",'全量明细'!I378)</x:f>
        <x:v>0.5346</x:v>
      </x:c>
      <x:c r="H80" s="14" t="n">
        <x:f>IF('全量明细'!J378="","",'全量明细'!J378)</x:f>
        <x:v>-9.050000000000002</x:v>
      </x:c>
      <x:c r="I80" s="28" t="n">
        <x:f>IF('全量明细'!E877="","",'全量明细'!E877)</x:f>
        <x:v>0.60579841</x:v>
      </x:c>
      <x:c r="J80" s="12" t="n">
        <x:f>IF('全量明细'!F877="","",'全量明细'!F877)</x:f>
        <x:v>822</x:v>
      </x:c>
      <x:c r="K80" s="11" t="n">
        <x:f>IF('全量明细'!G877="","",'全量明细'!G877)</x:f>
        <x:v>0.26890000000000003</x:v>
      </x:c>
      <x:c r="L80" s="11" t="n">
        <x:f>IF('全量明细'!H877="","",'全量明细'!H877)</x:f>
        <x:v>0.5158</x:v>
      </x:c>
      <x:c r="M80" s="11" t="n">
        <x:f>IF('全量明细'!I877="","",'全量明细'!I877)</x:f>
        <x:v>0.6389</x:v>
      </x:c>
      <x:c r="N80" s="14" t="n">
        <x:f>IF('全量明细'!J877="","",'全量明细'!J877)</x:f>
        <x:v>-12.309999999999999</x:v>
      </x:c>
      <x:c r="O80" s="14" t="n">
        <x:f>IF(AND(ISNUMBER(C80),ISNUMBER(I80)),(I80-C80)*100,"")</x:f>
        <x:v>8.967851000000005</x:v>
      </x:c>
      <x:c r="P80" s="17" t="str"/>
    </x:row>
    <x:row r="81" ht="25" customHeight="1">
      <x:c r="A81" s="2" t="str">
        <x:v>坦克斯</x:v>
      </x:c>
      <x:c r="B81" s="2" t="str">
        <x:v>铁棒</x:v>
      </x:c>
      <x:c r="C81" s="28" t="n">
        <x:f>IF('全量明细'!E371="","",'全量明细'!E371)</x:f>
        <x:v>0.55818208</x:v>
      </x:c>
      <x:c r="D81" s="12" t="n">
        <x:f>IF('全量明细'!F371="","",'全量明细'!F371)</x:f>
        <x:v>1684</x:v>
      </x:c>
      <x:c r="E81" s="11" t="n">
        <x:f>IF('全量明细'!G371="","",'全量明细'!G371)</x:f>
        <x:v>0.4192</x:v>
      </x:c>
      <x:c r="F81" s="11" t="n">
        <x:f>IF('全量明细'!H371="","",'全量明细'!H371)</x:f>
        <x:v>0.6133</x:v>
      </x:c>
      <x:c r="G81" s="11" t="n">
        <x:f>IF('全量明细'!I371="","",'全量明细'!I371)</x:f>
        <x:v>0.5184000000000001</x:v>
      </x:c>
      <x:c r="H81" s="14" t="n">
        <x:f>IF('全量明细'!J371="","",'全量明细'!J371)</x:f>
        <x:v>9.489999999999988</x:v>
      </x:c>
      <x:c r="I81" s="28" t="n">
        <x:f>IF('全量明细'!E870="","",'全量明细'!E870)</x:f>
        <x:v>0.6711236199999999</x:v>
      </x:c>
      <x:c r="J81" s="12" t="n">
        <x:f>IF('全量明细'!F870="","",'全量明细'!F870)</x:f>
        <x:v>821</x:v>
      </x:c>
      <x:c r="K81" s="11" t="n">
        <x:f>IF('全量明细'!G870="","",'全量明细'!G870)</x:f>
        <x:v>0.4129</x:v>
      </x:c>
      <x:c r="L81" s="11" t="n">
        <x:f>IF('全量明细'!H870="","",'全量明细'!H870)</x:f>
        <x:v>0.7168000000000001</x:v>
      </x:c>
      <x:c r="M81" s="11" t="n">
        <x:f>IF('全量明细'!I870="","",'全量明细'!I870)</x:f>
        <x:v>0.639</x:v>
      </x:c>
      <x:c r="N81" s="14" t="n">
        <x:f>IF('全量明细'!J870="","",'全量明细'!J870)</x:f>
        <x:v>7.780000000000009</x:v>
      </x:c>
      <x:c r="O81" s="14" t="n">
        <x:f>IF(AND(ISNUMBER(C81),ISNUMBER(I81)),(I81-C81)*100,"")</x:f>
        <x:v>11.29415399999999</x:v>
      </x:c>
      <x:c r="P81" s="17" t="str"/>
    </x:row>
    <x:row r="82" ht="25" customHeight="1">
      <x:c r="A82" s="2" t="str">
        <x:v>坦克斯</x:v>
      </x:c>
      <x:c r="B82" s="2" t="str">
        <x:v>投斧</x:v>
      </x:c>
      <x:c r="C82" s="28" t="n">
        <x:f>IF('全量明细'!E375="","",'全量明细'!E375)</x:f>
        <x:v>0.51843678</x:v>
      </x:c>
      <x:c r="D82" s="12" t="n">
        <x:f>IF('全量明细'!F375="","",'全量明细'!F375)</x:f>
        <x:v>1655</x:v>
      </x:c>
      <x:c r="E82" s="11" t="n">
        <x:f>IF('全量明细'!G375="","",'全量明细'!G375)</x:f>
        <x:v>0.4326</x:v>
      </x:c>
      <x:c r="F82" s="11" t="n">
        <x:f>IF('全量明细'!H375="","",'全量明细'!H375)</x:f>
        <x:v>0.4874</x:v>
      </x:c>
      <x:c r="G82" s="11" t="n">
        <x:f>IF('全量明细'!I375="","",'全量明细'!I375)</x:f>
        <x:v>0.5421</x:v>
      </x:c>
      <x:c r="H82" s="14" t="n">
        <x:f>IF('全量明细'!J375="","",'全量明细'!J375)</x:f>
        <x:v>-5.470000000000002</x:v>
      </x:c>
      <x:c r="I82" s="28" t="n">
        <x:f>IF('全量明细'!E872="","",'全量明细'!E872)</x:f>
        <x:v>0.6464417200000001</x:v>
      </x:c>
      <x:c r="J82" s="12" t="n">
        <x:f>IF('全量明细'!F872="","",'全量明细'!F872)</x:f>
        <x:v>840</x:v>
      </x:c>
      <x:c r="K82" s="11" t="n">
        <x:f>IF('全量明细'!G872="","",'全量明细'!G872)</x:f>
        <x:v>0.3917</x:v>
      </x:c>
      <x:c r="L82" s="11" t="n">
        <x:f>IF('全量明细'!H872="","",'全量明细'!H872)</x:f>
        <x:v>0.617</x:v>
      </x:c>
      <x:c r="M82" s="11" t="n">
        <x:f>IF('全量明细'!I872="","",'全量明细'!I872)</x:f>
        <x:v>0.6654000000000001</x:v>
      </x:c>
      <x:c r="N82" s="14" t="n">
        <x:f>IF('全量明细'!J872="","",'全量明细'!J872)</x:f>
        <x:v>-4.8400000000000105</x:v>
      </x:c>
      <x:c r="O82" s="14" t="n">
        <x:f>IF(AND(ISNUMBER(C82),ISNUMBER(I82)),(I82-C82)*100,"")</x:f>
        <x:v>12.800494000000008</x:v>
      </x:c>
      <x:c r="P82" s="17" t="str"/>
    </x:row>
    <x:row r="83" ht="25" customHeight="1">
      <x:c r="A83" s="2" t="str">
        <x:v>坦克斯</x:v>
      </x:c>
      <x:c r="B83" s="2" t="str">
        <x:v>战锤</x:v>
      </x:c>
      <x:c r="C83" s="28" t="n">
        <x:f>IF('全量明细'!E377="","",'全量明细'!E377)</x:f>
        <x:v>0.516596</x:v>
      </x:c>
      <x:c r="D83" s="12" t="n">
        <x:f>IF('全量明细'!F377="","",'全量明细'!F377)</x:f>
        <x:v>1659</x:v>
      </x:c>
      <x:c r="E83" s="11" t="n">
        <x:f>IF('全量明细'!G377="","",'全量明细'!G377)</x:f>
        <x:v>0.17</x:v>
      </x:c>
      <x:c r="F83" s="11" t="n">
        <x:f>IF('全量明细'!H377="","",'全量明细'!H377)</x:f>
        <x:v>0.4326</x:v>
      </x:c>
      <x:c r="G83" s="11" t="n">
        <x:f>IF('全量明细'!I377="","",'全量明细'!I377)</x:f>
        <x:v>0.5338</x:v>
      </x:c>
      <x:c r="H83" s="14" t="n">
        <x:f>IF('全量明细'!J377="","",'全量明细'!J377)</x:f>
        <x:v>-10.120000000000006</x:v>
      </x:c>
      <x:c r="I83" s="28" t="n">
        <x:f>IF('全量明细'!E873="","",'全量明细'!E873)</x:f>
        <x:v>0.6459963100000001</x:v>
      </x:c>
      <x:c r="J83" s="12" t="n">
        <x:f>IF('全量明细'!F873="","",'全量明细'!F873)</x:f>
        <x:v>805</x:v>
      </x:c>
      <x:c r="K83" s="11" t="n">
        <x:f>IF('全量明细'!G873="","",'全量明细'!G873)</x:f>
        <x:v>0.1677</x:v>
      </x:c>
      <x:c r="L83" s="11" t="n">
        <x:f>IF('全量明细'!H873="","",'全量明细'!H873)</x:f>
        <x:v>0.6296</x:v>
      </x:c>
      <x:c r="M83" s="11" t="n">
        <x:f>IF('全量明细'!I873="","",'全量明细'!I873)</x:f>
        <x:v>0.6493000000000001</x:v>
      </x:c>
      <x:c r="N83" s="14" t="n">
        <x:f>IF('全量明细'!J873="","",'全量明细'!J873)</x:f>
        <x:v>-1.970000000000005</x:v>
      </x:c>
      <x:c r="O83" s="14" t="n">
        <x:f>IF(AND(ISNUMBER(C83),ISNUMBER(I83)),(I83-C83)*100,"")</x:f>
        <x:v>12.940031000000008</x:v>
      </x:c>
      <x:c r="P83" s="17" t="str"/>
    </x:row>
    <x:row r="84" ht="25" customHeight="1">
      <x:c r="A84" s="20" t="str">
        <x:v>瓦库</x:v>
      </x:c>
      <x:c r="B84" s="20" t="str">
        <x:v>宝石面具</x:v>
      </x:c>
      <x:c r="C84" s="27" t="n">
        <x:f>IF('全量明细'!E381="","",'全量明细'!E381)</x:f>
        <x:v>0.48597648</x:v>
      </x:c>
      <x:c r="D84" s="23" t="n">
        <x:f>IF('全量明细'!F381="","",'全量明细'!F381)</x:f>
        <x:v>1422</x:v>
      </x:c>
      <x:c r="E84" s="22" t="n">
        <x:f>IF('全量明细'!G381="","",'全量明细'!G381)</x:f>
        <x:v>0.6709</x:v>
      </x:c>
      <x:c r="F84" s="22" t="n">
        <x:f>IF('全量明细'!H381="","",'全量明细'!H381)</x:f>
        <x:v>0.4686</x:v>
      </x:c>
      <x:c r="G84" s="22" t="n">
        <x:f>IF('全量明细'!I381="","",'全量明细'!I381)</x:f>
        <x:v>0.5214</x:v>
      </x:c>
      <x:c r="H84" s="24" t="n">
        <x:f>IF('全量明细'!J381="","",'全量明细'!J381)</x:f>
        <x:v>-5.279999999999996</x:v>
      </x:c>
      <x:c r="I84" s="27" t="n">
        <x:f>IF('全量明细'!E887="","",'全量明细'!E887)</x:f>
        <x:v>0.53402255</x:v>
      </x:c>
      <x:c r="J84" s="23" t="n">
        <x:f>IF('全量明细'!F887="","",'全量明细'!F887)</x:f>
        <x:v>661</x:v>
      </x:c>
      <x:c r="K84" s="22" t="n">
        <x:f>IF('全量明细'!G887="","",'全量明细'!G887)</x:f>
        <x:v>0.7277</x:v>
      </x:c>
      <x:c r="L84" s="22" t="n">
        <x:f>IF('全量明细'!H887="","",'全量明细'!H887)</x:f>
        <x:v>0.5426</x:v>
      </x:c>
      <x:c r="M84" s="22" t="n">
        <x:f>IF('全量明细'!I887="","",'全量明细'!I887)</x:f>
        <x:v>0.5111</x:v>
      </x:c>
      <x:c r="N84" s="24" t="n">
        <x:f>IF('全量明细'!J887="","",'全量明细'!J887)</x:f>
        <x:v>3.1499999999999972</x:v>
      </x:c>
      <x:c r="O84" s="24" t="n">
        <x:f>IF(AND(ISNUMBER(C84),ISNUMBER(I84)),(I84-C84)*100,"")</x:f>
        <x:v>4.804607</x:v>
      </x:c>
      <x:c r="P84" s="31" t="str"/>
    </x:row>
    <x:row r="85" ht="25" customHeight="1">
      <x:c r="A85" s="2" t="str">
        <x:v>瓦库</x:v>
      </x:c>
      <x:c r="B85" s="2" t="str">
        <x:v>低语耳环</x:v>
      </x:c>
      <x:c r="C85" s="28" t="n">
        <x:f>IF('全量明细'!E383="","",'全量明细'!E383)</x:f>
        <x:v>0.472678</x:v>
      </x:c>
      <x:c r="D85" s="12" t="n">
        <x:f>IF('全量明细'!F383="","",'全量明细'!F383)</x:f>
        <x:v>1758</x:v>
      </x:c>
      <x:c r="E85" s="11" t="n">
        <x:f>IF('全量明细'!G383="","",'全量明细'!G383)</x:f>
        <x:v>0.1229</x:v>
      </x:c>
      <x:c r="F85" s="11" t="n">
        <x:f>IF('全量明细'!H383="","",'全量明细'!H383)</x:f>
        <x:v>0.3148</x:v>
      </x:c>
      <x:c r="G85" s="11" t="n">
        <x:f>IF('全量明细'!I383="","",'全量明细'!I383)</x:f>
        <x:v>0.49479999999999996</x:v>
      </x:c>
      <x:c r="H85" s="14" t="n">
        <x:f>IF('全量明细'!J383="","",'全量明细'!J383)</x:f>
        <x:v>-17.999999999999993</x:v>
      </x:c>
      <x:c r="I85" s="28" t="n">
        <x:f>IF('全量明细'!E882="","",'全量明细'!E882)</x:f>
        <x:v>0.58574279</x:v>
      </x:c>
      <x:c r="J85" s="12" t="n">
        <x:f>IF('全量明细'!F882="","",'全量明细'!F882)</x:f>
        <x:v>898</x:v>
      </x:c>
      <x:c r="K85" s="11" t="n">
        <x:f>IF('全量明细'!G882="","",'全量明细'!G882)</x:f>
        <x:v>0.11470000000000001</x:v>
      </x:c>
      <x:c r="L85" s="11" t="n">
        <x:f>IF('全量明细'!H882="","",'全量明细'!H882)</x:f>
        <x:v>0.4757</x:v>
      </x:c>
      <x:c r="M85" s="11" t="n">
        <x:f>IF('全量明细'!I882="","",'全量明细'!I882)</x:f>
        <x:v>0.6</x:v>
      </x:c>
      <x:c r="N85" s="14" t="n">
        <x:f>IF('全量明细'!J882="","",'全量明细'!J882)</x:f>
        <x:v>-12.429999999999996</x:v>
      </x:c>
      <x:c r="O85" s="14" t="n">
        <x:f>IF(AND(ISNUMBER(C85),ISNUMBER(I85)),(I85-C85)*100,"")</x:f>
        <x:v>11.306478999999998</x:v>
      </x:c>
      <x:c r="P85" s="17" t="str"/>
    </x:row>
    <x:row r="86" ht="25" customHeight="1">
      <x:c r="A86" s="2" t="str">
        <x:v>瓦库</x:v>
      </x:c>
      <x:c r="B86" s="2" t="str">
        <x:v>领主阳伞</x:v>
      </x:c>
      <x:c r="C86" s="28" t="n">
        <x:f>IF('全量明细'!E388="","",'全量明细'!E388)</x:f>
        <x:v>0.44765601</x:v>
      </x:c>
      <x:c r="D86" s="12" t="n">
        <x:f>IF('全量明细'!F388="","",'全量明细'!F388)</x:f>
        <x:v>1318</x:v>
      </x:c>
      <x:c r="E86" s="11" t="n">
        <x:f>IF('全量明细'!G388="","",'全量明细'!G388)</x:f>
        <x:v>0.1457</x:v>
      </x:c>
      <x:c r="F86" s="11" t="n">
        <x:f>IF('全量明细'!H388="","",'全量明细'!H388)</x:f>
        <x:v>0.3958</x:v>
      </x:c>
      <x:c r="G86" s="11" t="n">
        <x:f>IF('全量明细'!I388="","",'全量明细'!I388)</x:f>
        <x:v>0.45649999999999996</x:v>
      </x:c>
      <x:c r="H86" s="14" t="n">
        <x:f>IF('全量明细'!J388="","",'全量明细'!J388)</x:f>
        <x:v>-6.069999999999998</x:v>
      </x:c>
      <x:c r="I86" s="28" t="n">
        <x:f>IF('全量明细'!E884="","",'全量明细'!E884)</x:f>
        <x:v>0.56839944</x:v>
      </x:c>
      <x:c r="J86" s="12" t="n">
        <x:f>IF('全量明细'!F884="","",'全量明细'!F884)</x:f>
        <x:v>658</x:v>
      </x:c>
      <x:c r="K86" s="11" t="n">
        <x:f>IF('全量明细'!G884="","",'全量明细'!G884)</x:f>
        <x:v>0.09880000000000001</x:v>
      </x:c>
      <x:c r="L86" s="11" t="n">
        <x:f>IF('全量明细'!H884="","",'全量明细'!H884)</x:f>
        <x:v>0.5538000000000001</x:v>
      </x:c>
      <x:c r="M86" s="11" t="n">
        <x:f>IF('全量明细'!I884="","",'全量明细'!I884)</x:f>
        <x:v>0.57</x:v>
      </x:c>
      <x:c r="N86" s="14" t="n">
        <x:f>IF('全量明细'!J884="","",'全量明细'!J884)</x:f>
        <x:v>-1.6199999999999881</x:v>
      </x:c>
      <x:c r="O86" s="14" t="n">
        <x:f>IF(AND(ISNUMBER(C86),ISNUMBER(I86)),(I86-C86)*100,"")</x:f>
        <x:v>12.074342999999999</x:v>
      </x:c>
      <x:c r="P86" s="17" t="str"/>
    </x:row>
    <x:row r="87" ht="25" customHeight="1">
      <x:c r="A87" s="2" t="str">
        <x:v>瓦库</x:v>
      </x:c>
      <x:c r="B87" s="2" t="str">
        <x:v>小提琴</x:v>
      </x:c>
      <x:c r="C87" s="28" t="n">
        <x:f>IF('全量明细'!E382="","",'全量明细'!E382)</x:f>
        <x:v>0.47722216</x:v>
      </x:c>
      <x:c r="D87" s="12" t="n">
        <x:f>IF('全量明细'!F382="","",'全量明细'!F382)</x:f>
        <x:v>1867</x:v>
      </x:c>
      <x:c r="E87" s="11" t="n">
        <x:f>IF('全量明细'!G382="","",'全量明细'!G382)</x:f>
        <x:v>0.1564</x:v>
      </x:c>
      <x:c r="F87" s="11" t="n">
        <x:f>IF('全量明细'!H382="","",'全量明细'!H382)</x:f>
        <x:v>0.637</x:v>
      </x:c>
      <x:c r="G87" s="11" t="n">
        <x:f>IF('全量明细'!I382="","",'全量明细'!I382)</x:f>
        <x:v>0.4476</x:v>
      </x:c>
      <x:c r="H87" s="14" t="n">
        <x:f>IF('全量明细'!J382="","",'全量明细'!J382)</x:f>
        <x:v>18.94</x:v>
      </x:c>
      <x:c r="I87" s="28" t="n">
        <x:f>IF('全量明细'!E880="","",'全量明细'!E880)</x:f>
        <x:v>0.59290248</x:v>
      </x:c>
      <x:c r="J87" s="12" t="n">
        <x:f>IF('全量明细'!F880="","",'全量明细'!F880)</x:f>
        <x:v>877</x:v>
      </x:c>
      <x:c r="K87" s="11" t="n">
        <x:f>IF('全量明细'!G880="","",'全量明细'!G880)</x:f>
        <x:v>0.21660000000000001</x:v>
      </x:c>
      <x:c r="L87" s="11" t="n">
        <x:f>IF('全量明细'!H880="","",'全量明细'!H880)</x:f>
        <x:v>0.6420999999999999</x:v>
      </x:c>
      <x:c r="M87" s="11" t="n">
        <x:f>IF('全量明细'!I880="","",'全量明细'!I880)</x:f>
        <x:v>0.5793</x:v>
      </x:c>
      <x:c r="N87" s="14" t="n">
        <x:f>IF('全量明细'!J880="","",'全量明细'!J880)</x:f>
        <x:v>6.279999999999985</x:v>
      </x:c>
      <x:c r="O87" s="14" t="n">
        <x:f>IF(AND(ISNUMBER(C87),ISNUMBER(I87)),(I87-C87)*100,"")</x:f>
        <x:v>11.568032</x:v>
      </x:c>
      <x:c r="P87" s="17" t="str"/>
    </x:row>
    <x:row r="88" ht="25" customHeight="1">
      <x:c r="A88" s="2" t="str">
        <x:v>瓦库</x:v>
      </x:c>
      <x:c r="B88" s="2" t="str">
        <x:v>选择悖论</x:v>
      </x:c>
      <x:c r="C88" s="28" t="n">
        <x:f>IF('全量明细'!E387="","",'全量明细'!E387)</x:f>
        <x:v>0.45276604</x:v>
      </x:c>
      <x:c r="D88" s="12" t="n">
        <x:f>IF('全量明细'!F387="","",'全量明细'!F387)</x:f>
        <x:v>1409</x:v>
      </x:c>
      <x:c r="E88" s="11" t="n">
        <x:f>IF('全量明细'!G387="","",'全量明细'!G387)</x:f>
        <x:v>0.42229999999999995</x:v>
      </x:c>
      <x:c r="F88" s="11" t="n">
        <x:f>IF('全量明细'!H387="","",'全量明细'!H387)</x:f>
        <x:v>0.41509999999999997</x:v>
      </x:c>
      <x:c r="G88" s="11" t="n">
        <x:f>IF('全量明细'!I387="","",'全量明细'!I387)</x:f>
        <x:v>0.4803</x:v>
      </x:c>
      <x:c r="H88" s="14" t="n">
        <x:f>IF('全量明细'!J387="","",'全量明细'!J387)</x:f>
        <x:v>-6.520000000000003</x:v>
      </x:c>
      <x:c r="I88" s="28" t="n">
        <x:f>IF('全量明细'!E879="","",'全量明细'!E879)</x:f>
        <x:v>0.6009212800000001</x:v>
      </x:c>
      <x:c r="J88" s="12" t="n">
        <x:f>IF('全量明细'!F879="","",'全量明细'!F879)</x:f>
        <x:v>639</x:v>
      </x:c>
      <x:c r="K88" s="11" t="n">
        <x:f>IF('全量明细'!G879="","",'全量明细'!G879)</x:f>
        <x:v>0.44439999999999996</x:v>
      </x:c>
      <x:c r="L88" s="11" t="n">
        <x:f>IF('全量明细'!H879="","",'全量明细'!H879)</x:f>
        <x:v>0.6127</x:v>
      </x:c>
      <x:c r="M88" s="11" t="n">
        <x:f>IF('全量明细'!I879="","",'全量明细'!I879)</x:f>
        <x:v>0.5915</x:v>
      </x:c>
      <x:c r="N88" s="14" t="n">
        <x:f>IF('全量明细'!J879="","",'全量明细'!J879)</x:f>
        <x:v>2.1199999999999997</x:v>
      </x:c>
      <x:c r="O88" s="14" t="n">
        <x:f>IF(AND(ISNUMBER(C88),ISNUMBER(I88)),(I88-C88)*100,"")</x:f>
        <x:v>14.815524000000014</x:v>
      </x:c>
      <x:c r="P88" s="17" t="str"/>
    </x:row>
    <x:row r="89" ht="25" customHeight="1">
      <x:c r="A89" s="2" t="str">
        <x:v>瓦库</x:v>
      </x:c>
      <x:c r="B89" s="2" t="str">
        <x:v>血染玫瑰</x:v>
      </x:c>
      <x:c r="C89" s="28" t="n">
        <x:f>IF('全量明细'!E384="","",'全量明细'!E384)</x:f>
        <x:v>0.46233175</x:v>
      </x:c>
      <x:c r="D89" s="12" t="n">
        <x:f>IF('全量明细'!F384="","",'全量明细'!F384)</x:f>
        <x:v>1897</x:v>
      </x:c>
      <x:c r="E89" s="11" t="n">
        <x:f>IF('全量明细'!G384="","",'全量明细'!G384)</x:f>
        <x:v>0.2225</x:v>
      </x:c>
      <x:c r="F89" s="11" t="n">
        <x:f>IF('全量明细'!H384="","",'全量明细'!H384)</x:f>
        <x:v>0.3957</x:v>
      </x:c>
      <x:c r="G89" s="11" t="n">
        <x:f>IF('全量明细'!I384="","",'全量明细'!I384)</x:f>
        <x:v>0.4814</x:v>
      </x:c>
      <x:c r="H89" s="14" t="n">
        <x:f>IF('全量明细'!J384="","",'全量明细'!J384)</x:f>
        <x:v>-8.57</x:v>
      </x:c>
      <x:c r="I89" s="28" t="n">
        <x:f>IF('全量明细'!E886="","",'全量明细'!E886)</x:f>
        <x:v>0.5578020899999999</x:v>
      </x:c>
      <x:c r="J89" s="12" t="n">
        <x:f>IF('全量明细'!F886="","",'全量明细'!F886)</x:f>
        <x:v>891</x:v>
      </x:c>
      <x:c r="K89" s="11" t="n">
        <x:f>IF('全量明细'!G886="","",'全量明细'!G886)</x:f>
        <x:v>0.2009</x:v>
      </x:c>
      <x:c r="L89" s="11" t="n">
        <x:f>IF('全量明细'!H886="","",'全量明细'!H886)</x:f>
        <x:v>0.5418999999999999</x:v>
      </x:c>
      <x:c r="M89" s="11" t="n">
        <x:f>IF('全量明细'!I886="","",'全量明细'!I886)</x:f>
        <x:v>0.5618</x:v>
      </x:c>
      <x:c r="N89" s="14" t="n">
        <x:f>IF('全量明细'!J886="","",'全量明细'!J886)</x:f>
        <x:v>-1.9900000000000029</x:v>
      </x:c>
      <x:c r="O89" s="14" t="n">
        <x:f>IF(AND(ISNUMBER(C89),ISNUMBER(I89)),(I89-C89)*100,"")</x:f>
        <x:v>9.547033999999993</x:v>
      </x:c>
      <x:c r="P89" s="17" t="str"/>
    </x:row>
    <x:row r="90" ht="25" customHeight="1">
      <x:c r="A90" s="2" t="str">
        <x:v>瓦库</x:v>
      </x:c>
      <x:c r="B90" s="2" t="str">
        <x:v>腌制活雾</x:v>
      </x:c>
      <x:c r="C90" s="28" t="n">
        <x:f>IF('全量明细'!E385="","",'全量明细'!E385)</x:f>
        <x:v>0.46175644</x:v>
      </x:c>
      <x:c r="D90" s="12" t="n">
        <x:f>IF('全量明细'!F385="","",'全量明细'!F385)</x:f>
        <x:v>1908</x:v>
      </x:c>
      <x:c r="E90" s="11" t="n">
        <x:f>IF('全量明细'!G385="","",'全量明细'!G385)</x:f>
        <x:v>0.46490000000000004</x:v>
      </x:c>
      <x:c r="F90" s="11" t="n">
        <x:f>IF('全量明细'!H385="","",'全量明细'!H385)</x:f>
        <x:v>0.4487</x:v>
      </x:c>
      <x:c r="G90" s="11" t="n">
        <x:f>IF('全量明细'!I385="","",'全量明细'!I385)</x:f>
        <x:v>0.4731</x:v>
      </x:c>
      <x:c r="H90" s="14" t="n">
        <x:f>IF('全量明细'!J385="","",'全量明细'!J385)</x:f>
        <x:v>-2.440000000000003</x:v>
      </x:c>
      <x:c r="I90" s="28" t="n">
        <x:f>IF('全量明细'!E885="","",'全量明细'!E885)</x:f>
        <x:v>0.56300218</x:v>
      </x:c>
      <x:c r="J90" s="12" t="n">
        <x:f>IF('全量明细'!F885="","",'全量明细'!F885)</x:f>
        <x:v>817</x:v>
      </x:c>
      <x:c r="K90" s="11" t="n">
        <x:f>IF('全量明细'!G885="","",'全量明细'!G885)</x:f>
        <x:v>0.5006</x:v>
      </x:c>
      <x:c r="L90" s="11" t="n">
        <x:f>IF('全量明细'!H885="","",'全量明细'!H885)</x:f>
        <x:v>0.5232</x:v>
      </x:c>
      <x:c r="M90" s="11" t="n">
        <x:f>IF('全量明细'!I885="","",'全量明细'!I885)</x:f>
        <x:v>0.6029</x:v>
      </x:c>
      <x:c r="N90" s="14" t="n">
        <x:f>IF('全量明细'!J885="","",'全量明细'!J885)</x:f>
        <x:v>-7.969999999999999</x:v>
      </x:c>
      <x:c r="O90" s="14" t="n">
        <x:f>IF(AND(ISNUMBER(C90),ISNUMBER(I90)),(I90-C90)*100,"")</x:f>
        <x:v>10.124574000000003</x:v>
      </x:c>
      <x:c r="P90" s="17" t="str"/>
    </x:row>
    <x:row r="91" ht="25" customHeight="1">
      <x:c r="A91" s="2" t="str">
        <x:v>瓦库</x:v>
      </x:c>
      <x:c r="B91" s="2" t="str">
        <x:v>音乐盒</x:v>
      </x:c>
      <x:c r="C91" s="28" t="n">
        <x:f>IF('全量明细'!E380="","",'全量明细'!E380)</x:f>
        <x:v>0.49674368</x:v>
      </x:c>
      <x:c r="D91" s="12" t="n">
        <x:f>IF('全量明细'!F380="","",'全量明细'!F380)</x:f>
        <x:v>1385</x:v>
      </x:c>
      <x:c r="E91" s="11" t="n">
        <x:f>IF('全量明细'!G380="","",'全量明细'!G380)</x:f>
        <x:v>0.4736</x:v>
      </x:c>
      <x:c r="F91" s="11" t="n">
        <x:f>IF('全量明细'!H380="","",'全量明细'!H380)</x:f>
        <x:v>0.5197999999999999</x:v>
      </x:c>
      <x:c r="G91" s="11" t="n">
        <x:f>IF('全量明细'!I380="","",'全量明细'!I380)</x:f>
        <x:v>0.47600000000000003</x:v>
      </x:c>
      <x:c r="H91" s="14" t="n">
        <x:f>IF('全量明细'!J380="","",'全量明细'!J380)</x:f>
        <x:v>4.379999999999989</x:v>
      </x:c>
      <x:c r="I91" s="28" t="n">
        <x:f>IF('全量明细'!E878="","",'全量明细'!E878)</x:f>
        <x:v>0.6112725999999999</x:v>
      </x:c>
      <x:c r="J91" s="12" t="n">
        <x:f>IF('全量明细'!F878="","",'全量明细'!F878)</x:f>
        <x:v>710</x:v>
      </x:c>
      <x:c r="K91" s="11" t="n">
        <x:f>IF('全量明细'!G878="","",'全量明细'!G878)</x:f>
        <x:v>0.46759999999999996</x:v>
      </x:c>
      <x:c r="L91" s="11" t="n">
        <x:f>IF('全量明细'!H878="","",'全量明细'!H878)</x:f>
        <x:v>0.6717</x:v>
      </x:c>
      <x:c r="M91" s="11" t="n">
        <x:f>IF('全量明细'!I878="","",'全量明细'!I878)</x:f>
        <x:v>0.5582</x:v>
      </x:c>
      <x:c r="N91" s="14" t="n">
        <x:f>IF('全量明细'!J878="","",'全量明细'!J878)</x:f>
        <x:v>11.349999999999994</x:v>
      </x:c>
      <x:c r="O91" s="14" t="n">
        <x:f>IF(AND(ISNUMBER(C91),ISNUMBER(I91)),(I91-C91)*100,"")</x:f>
        <x:v>11.452891999999991</x:v>
      </x:c>
      <x:c r="P91" s="17" t="str"/>
    </x:row>
    <x:row r="92" ht="25" customHeight="1">
      <x:c r="A92" s="2" t="str">
        <x:v>瓦库</x:v>
      </x:c>
      <x:c r="B92" s="2" t="str">
        <x:v>原初之爪</x:v>
      </x:c>
      <x:c r="C92" s="28" t="n">
        <x:f>IF('全量明细'!E386="","",'全量明细'!E386)</x:f>
        <x:v>0.45285071</x:v>
      </x:c>
      <x:c r="D92" s="12" t="n">
        <x:f>IF('全量明细'!F386="","",'全量明细'!F386)</x:f>
        <x:v>1835</x:v>
      </x:c>
      <x:c r="E92" s="11" t="n">
        <x:f>IF('全量明细'!G386="","",'全量明细'!G386)</x:f>
        <x:v>0.16570000000000001</x:v>
      </x:c>
      <x:c r="F92" s="11" t="n">
        <x:f>IF('全量明细'!H386="","",'全量明细'!H386)</x:f>
        <x:v>0.3947</x:v>
      </x:c>
      <x:c r="G92" s="11" t="n">
        <x:f>IF('全量明细'!I386="","",'全量明细'!I386)</x:f>
        <x:v>0.4644</x:v>
      </x:c>
      <x:c r="H92" s="14" t="n">
        <x:f>IF('全量明细'!J386="","",'全量明细'!J386)</x:f>
        <x:v>-6.969999999999999</x:v>
      </x:c>
      <x:c r="I92" s="28" t="n">
        <x:f>IF('全量明细'!E883="","",'全量明细'!E883)</x:f>
        <x:v>0.58184762</x:v>
      </x:c>
      <x:c r="J92" s="12" t="n">
        <x:f>IF('全量明细'!F883="","",'全量明细'!F883)</x:f>
        <x:v>935</x:v>
      </x:c>
      <x:c r="K92" s="11" t="n">
        <x:f>IF('全量明细'!G883="","",'全量明细'!G883)</x:f>
        <x:v>0.4021</x:v>
      </x:c>
      <x:c r="L92" s="11" t="n">
        <x:f>IF('全量明细'!H883="","",'全量明细'!H883)</x:f>
        <x:v>0.6011</x:v>
      </x:c>
      <x:c r="M92" s="11" t="n">
        <x:f>IF('全量明细'!I883="","",'全量明细'!I883)</x:f>
        <x:v>0.5689</x:v>
      </x:c>
      <x:c r="N92" s="14" t="n">
        <x:f>IF('全量明细'!J883="","",'全量明细'!J883)</x:f>
        <x:v>3.2200000000000006</x:v>
      </x:c>
      <x:c r="O92" s="14" t="n">
        <x:f>IF(AND(ISNUMBER(C92),ISNUMBER(I92)),(I92-C92)*100,"")</x:f>
        <x:v>12.899691000000002</x:v>
      </x:c>
      <x:c r="P92" s="17" t="str"/>
    </x:row>
    <x:row r="93" ht="25" customHeight="1">
      <x:c r="A93" s="2" t="str">
        <x:v>瓦库</x:v>
      </x:c>
      <x:c r="B93" s="2" t="str">
        <x:v>卓越斗篷</x:v>
      </x:c>
      <x:c r="C93" s="28" t="n">
        <x:f>IF('全量明细'!E379="","",'全量明细'!E379)</x:f>
        <x:v>0.49804009000000005</x:v>
      </x:c>
      <x:c r="D93" s="12" t="n">
        <x:f>IF('全量明细'!F379="","",'全量明细'!F379)</x:f>
        <x:v>1777</x:v>
      </x:c>
      <x:c r="E93" s="11" t="n">
        <x:f>IF('全量明细'!G379="","",'全量明细'!G379)</x:f>
        <x:v>0.5571</x:v>
      </x:c>
      <x:c r="F93" s="11" t="n">
        <x:f>IF('全量明细'!H379="","",'全量明细'!H379)</x:f>
        <x:v>0.5414</x:v>
      </x:c>
      <x:c r="G93" s="11" t="n">
        <x:f>IF('全量明细'!I379="","",'全量明细'!I379)</x:f>
        <x:v>0.4435</x:v>
      </x:c>
      <x:c r="H93" s="14" t="n">
        <x:f>IF('全量明细'!J379="","",'全量明细'!J379)</x:f>
        <x:v>9.79</x:v>
      </x:c>
      <x:c r="I93" s="28" t="n">
        <x:f>IF('全量明细'!E881="","",'全量明细'!E881)</x:f>
        <x:v>0.58882002</x:v>
      </x:c>
      <x:c r="J93" s="12" t="n">
        <x:f>IF('全量明细'!F881="","",'全量明细'!F881)</x:f>
        <x:v>912</x:v>
      </x:c>
      <x:c r="K93" s="11" t="n">
        <x:f>IF('全量明细'!G881="","",'全量明细'!G881)</x:f>
        <x:v>0.2621</x:v>
      </x:c>
      <x:c r="L93" s="11" t="n">
        <x:f>IF('全量明细'!H881="","",'全量明细'!H881)</x:f>
        <x:v>0.5565</x:v>
      </x:c>
      <x:c r="M93" s="11" t="n">
        <x:f>IF('全量明细'!I881="","",'全量明细'!I881)</x:f>
        <x:v>0.6003000000000001</x:v>
      </x:c>
      <x:c r="N93" s="14" t="n">
        <x:f>IF('全量明细'!J881="","",'全量明细'!J881)</x:f>
        <x:v>-4.380000000000006</x:v>
      </x:c>
      <x:c r="O93" s="14" t="n">
        <x:f>IF(AND(ISNUMBER(C93),ISNUMBER(I93)),(I93-C93)*100,"")</x:f>
        <x:v>9.077992999999996</x:v>
      </x:c>
      <x:c r="P93" s="17" t="str"/>
    </x:row>
    <x:row r="94" ht="25" customHeight="1">
      <x:c r="A94" s="20" t="str">
        <x:v>达弗</x:v>
      </x:c>
      <x:c r="B94" s="20" t="str">
        <x:v>尘封魔典</x:v>
      </x:c>
      <x:c r="C94" s="27" t="n">
        <x:f>IF('全量明细'!E393="","",'全量明细'!E393)</x:f>
        <x:v>0.35490700000000003</x:v>
      </x:c>
      <x:c r="D94" s="23" t="n">
        <x:f>IF('全量明细'!F393="","",'全量明细'!F393)</x:f>
        <x:v>2685</x:v>
      </x:c>
      <x:c r="E94" s="22" t="n">
        <x:f>IF('全量明细'!G393="","",'全量明细'!G393)</x:f>
        <x:v>0.657</x:v>
      </x:c>
      <x:c r="F94" s="22" t="n">
        <x:f>IF('全量明细'!H393="","",'全量明细'!H393)</x:f>
        <x:v>0.3724</x:v>
      </x:c>
      <x:c r="G94" s="22" t="n">
        <x:f>IF('全量明细'!I393="","",'全量明细'!I393)</x:f>
        <x:v>0.3214</x:v>
      </x:c>
      <x:c r="H94" s="24" t="n">
        <x:f>IF('全量明细'!J393="","",'全量明细'!J393)</x:f>
        <x:v>5.099999999999999</x:v>
      </x:c>
      <x:c r="I94" s="27" t="n">
        <x:f>IF('全量明细'!E894="","",'全量明细'!E894)</x:f>
        <x:v>0.47514</x:v>
      </x:c>
      <x:c r="J94" s="23" t="n">
        <x:f>IF('全量明细'!F894="","",'全量明细'!F894)</x:f>
        <x:v>1208</x:v>
      </x:c>
      <x:c r="K94" s="22" t="n">
        <x:f>IF('全量明细'!G894="","",'全量明细'!G894)</x:f>
        <x:v>0.6912</x:v>
      </x:c>
      <x:c r="L94" s="22" t="n">
        <x:f>IF('全量明细'!H894="","",'全量明细'!H894)</x:f>
        <x:v>0.479</x:v>
      </x:c>
      <x:c r="M94" s="22" t="n">
        <x:f>IF('全量明细'!I894="","",'全量明细'!I894)</x:f>
        <x:v>0.46649999999999997</x:v>
      </x:c>
      <x:c r="N94" s="24" t="n">
        <x:f>IF('全量明细'!J894="","",'全量明细'!J894)</x:f>
        <x:v>1.250000000000001</x:v>
      </x:c>
      <x:c r="O94" s="24" t="n">
        <x:f>IF(AND(ISNUMBER(C94),ISNUMBER(I94)),(I94-C94)*100,"")</x:f>
        <x:v>12.023299999999997</x:v>
      </x:c>
      <x:c r="P94" s="31" t="str">
        <x:v>不同幕混合，勿直接解释为纯强度</x:v>
      </x:c>
    </x:row>
    <x:row r="95" ht="25" customHeight="1">
      <x:c r="A95" s="2" t="str">
        <x:v>达弗</x:v>
      </x:c>
      <x:c r="B95" s="2" t="str">
        <x:v>符文金字塔</x:v>
      </x:c>
      <x:c r="C95" s="28" t="n">
        <x:f>IF('全量明细'!E396="","",'全量明细'!E396)</x:f>
        <x:v>0.33538920000000005</x:v>
      </x:c>
      <x:c r="D95" s="12" t="n">
        <x:f>IF('全量明细'!F396="","",'全量明细'!F396)</x:f>
        <x:v>1616</x:v>
      </x:c>
      <x:c r="E95" s="11" t="n">
        <x:f>IF('全量明细'!G396="","",'全量明细'!G396)</x:f>
        <x:v>0.36200000000000004</x:v>
      </x:c>
      <x:c r="F95" s="11" t="n">
        <x:f>IF('全量明细'!H396="","",'全量明细'!H396)</x:f>
        <x:v>0.40340000000000004</x:v>
      </x:c>
      <x:c r="G95" s="11" t="n">
        <x:f>IF('全量明细'!I396="","",'全量明细'!I396)</x:f>
        <x:v>0.2968</x:v>
      </x:c>
      <x:c r="H95" s="14" t="n">
        <x:f>IF('全量明细'!J396="","",'全量明细'!J396)</x:f>
        <x:v>10.660000000000004</x:v>
      </x:c>
      <x:c r="I95" s="28" t="n">
        <x:f>IF('全量明细'!E890="","",'全量明细'!E890)</x:f>
        <x:v>0.49910562</x:v>
      </x:c>
      <x:c r="J95" s="12" t="n">
        <x:f>IF('全量明细'!F890="","",'全量明细'!F890)</x:f>
        <x:v>557</x:v>
      </x:c>
      <x:c r="K95" s="11" t="n">
        <x:f>IF('全量明细'!G890="","",'全量明细'!G890)</x:f>
        <x:v>0.4201</x:v>
      </x:c>
      <x:c r="L95" s="11" t="n">
        <x:f>IF('全量明细'!H890="","",'全量明细'!H890)</x:f>
        <x:v>0.5085000000000001</x:v>
      </x:c>
      <x:c r="M95" s="11" t="n">
        <x:f>IF('全量明细'!I890="","",'全量明细'!I890)</x:f>
        <x:v>0.49229999999999996</x:v>
      </x:c>
      <x:c r="N95" s="14" t="n">
        <x:f>IF('全量明细'!J890="","",'全量明细'!J890)</x:f>
        <x:v>1.6200000000000103</x:v>
      </x:c>
      <x:c r="O95" s="14" t="n">
        <x:f>IF(AND(ISNUMBER(C95),ISNUMBER(I95)),(I95-C95)*100,"")</x:f>
        <x:v>16.371641999999998</x:v>
      </x:c>
      <x:c r="P95" s="17" t="str">
        <x:v>不同幕混合，勿直接解释为纯强度</x:v>
      </x:c>
    </x:row>
    <x:row r="96" ht="25" customHeight="1">
      <x:c r="A96" s="2" t="str">
        <x:v>达弗</x:v>
      </x:c>
      <x:c r="B96" s="2" t="str">
        <x:v>黑星</x:v>
      </x:c>
      <x:c r="C96" s="28" t="n">
        <x:f>IF('全量明细'!E398="","",'全量明细'!E398)</x:f>
        <x:v>0.31676204999999996</x:v>
      </x:c>
      <x:c r="D96" s="12" t="n">
        <x:f>IF('全量明细'!F398="","",'全量明细'!F398)</x:f>
        <x:v>1673</x:v>
      </x:c>
      <x:c r="E96" s="11" t="n">
        <x:f>IF('全量明细'!G398="","",'全量明细'!G398)</x:f>
        <x:v>0.1315</x:v>
      </x:c>
      <x:c r="F96" s="11" t="n">
        <x:f>IF('全量明细'!H398="","",'全量明细'!H398)</x:f>
        <x:v>0.3</x:v>
      </x:c>
      <x:c r="G96" s="11" t="n">
        <x:f>IF('全量明细'!I398="","",'全量明细'!I398)</x:f>
        <x:v>0.3193</x:v>
      </x:c>
      <x:c r="H96" s="14" t="n">
        <x:f>IF('全量明细'!J398="","",'全量明细'!J398)</x:f>
        <x:v>-1.9299999999999984</x:v>
      </x:c>
      <x:c r="I96" s="28" t="n">
        <x:f>IF('全量明细'!E893="","",'全量明细'!E893)</x:f>
        <x:v>0.4813358</x:v>
      </x:c>
      <x:c r="J96" s="12" t="n">
        <x:f>IF('全量明细'!F893="","",'全量明细'!F893)</x:f>
        <x:v>536</x:v>
      </x:c>
      <x:c r="K96" s="11" t="n">
        <x:f>IF('全量明细'!G893="","",'全量明细'!G893)</x:f>
        <x:v>0.166</x:v>
      </x:c>
      <x:c r="L96" s="11" t="n">
        <x:f>IF('全量明细'!H893="","",'全量明细'!H893)</x:f>
        <x:v>0.4157</x:v>
      </x:c>
      <x:c r="M96" s="11" t="n">
        <x:f>IF('全量明细'!I893="","",'全量明细'!I893)</x:f>
        <x:v>0.49439999999999995</x:v>
      </x:c>
      <x:c r="N96" s="14" t="n">
        <x:f>IF('全量明细'!J893="","",'全量明细'!J893)</x:f>
        <x:v>-7.869999999999994</x:v>
      </x:c>
      <x:c r="O96" s="14" t="n">
        <x:f>IF(AND(ISNUMBER(C96),ISNUMBER(I96)),(I96-C96)*100,"")</x:f>
        <x:v>16.457375000000003</x:v>
      </x:c>
      <x:c r="P96" s="17" t="str">
        <x:v>不同幕混合，勿直接解释为纯强度</x:v>
      </x:c>
    </x:row>
    <x:row r="97" ht="25" customHeight="1">
      <x:c r="A97" s="2" t="str">
        <x:v>达弗</x:v>
      </x:c>
      <x:c r="B97" s="2" t="str">
        <x:v>空鸟笼</x:v>
      </x:c>
      <x:c r="C97" s="28" t="n">
        <x:f>IF('全量明细'!E397="","",'全量明细'!E397)</x:f>
        <x:v>0.31881462</x:v>
      </x:c>
      <x:c r="D97" s="12" t="n">
        <x:f>IF('全量明细'!F397="","",'全量明细'!F397)</x:f>
        <x:v>1656</x:v>
      </x:c>
      <x:c r="E97" s="11" t="n">
        <x:f>IF('全量明细'!G397="","",'全量明细'!G397)</x:f>
        <x:v>0.31579999999999997</x:v>
      </x:c>
      <x:c r="F97" s="11" t="n">
        <x:f>IF('全量明细'!H397="","",'全量明细'!H397)</x:f>
        <x:v>0.24280000000000002</x:v>
      </x:c>
      <x:c r="G97" s="11" t="n">
        <x:f>IF('全量明细'!I397="","",'全量明细'!I397)</x:f>
        <x:v>0.3539</x:v>
      </x:c>
      <x:c r="H97" s="14" t="n">
        <x:f>IF('全量明细'!J397="","",'全量明细'!J397)</x:f>
        <x:v>-11.109999999999998</x:v>
      </x:c>
      <x:c r="I97" s="28" t="n">
        <x:f>IF('全量明细'!E897="","",'全量明细'!E897)</x:f>
        <x:v>0.44729992</x:v>
      </x:c>
      <x:c r="J97" s="12" t="n">
        <x:f>IF('全量明细'!F897="","",'全量明细'!F897)</x:f>
        <x:v>579</x:v>
      </x:c>
      <x:c r="K97" s="11" t="n">
        <x:f>IF('全量明细'!G897="","",'全量明细'!G897)</x:f>
        <x:v>0.3368</x:v>
      </x:c>
      <x:c r="L97" s="11" t="n">
        <x:f>IF('全量明细'!H897="","",'全量明细'!H897)</x:f>
        <x:v>0.4154</x:v>
      </x:c>
      <x:c r="M97" s="11" t="n">
        <x:f>IF('全量明细'!I897="","",'全量明细'!I897)</x:f>
        <x:v>0.4635</x:v>
      </x:c>
      <x:c r="N97" s="14" t="n">
        <x:f>IF('全量明细'!J897="","",'全量明细'!J897)</x:f>
        <x:v>-4.810000000000003</x:v>
      </x:c>
      <x:c r="O97" s="14" t="n">
        <x:f>IF(AND(ISNUMBER(C97),ISNUMBER(I97)),(I97-C97)*100,"")</x:f>
        <x:v>12.848530000000002</x:v>
      </x:c>
      <x:c r="P97" s="17" t="str">
        <x:v>不同幕混合，勿直接解释为纯强度</x:v>
      </x:c>
    </x:row>
    <x:row r="98" ht="25" customHeight="1">
      <x:c r="A98" s="2" t="str">
        <x:v>达弗</x:v>
      </x:c>
      <x:c r="B98" s="2" t="str">
        <x:v>灵体外质</x:v>
      </x:c>
      <x:c r="C98" s="28" t="n">
        <x:f>IF('全量明细'!E400="","",'全量明细'!E400)</x:f>
        <x:v>0.30873716000000007</x:v>
      </x:c>
      <x:c r="D98" s="12" t="n">
        <x:f>IF('全量明细'!F400="","",'全量明细'!F400)</x:f>
        <x:v>596</x:v>
      </x:c>
      <x:c r="E98" s="11" t="n">
        <x:f>IF('全量明细'!G400="","",'全量明细'!G400)</x:f>
        <x:v>0.0604</x:v>
      </x:c>
      <x:c r="F98" s="11" t="n">
        <x:f>IF('全量明细'!H400="","",'全量明细'!H400)</x:f>
        <x:v>0.22219999999999998</x:v>
      </x:c>
      <x:c r="G98" s="11" t="n">
        <x:f>IF('全量明细'!I400="","",'全量明细'!I400)</x:f>
        <x:v>0.3143</x:v>
      </x:c>
      <x:c r="H98" s="14" t="n">
        <x:f>IF('全量明细'!J400="","",'全量明细'!J400)</x:f>
        <x:v>-9.210000000000004</x:v>
      </x:c>
      <x:c r="I98" s="28" t="n">
        <x:f>IF('全量明细'!E899="","",'全量明细'!E899)</x:f>
        <x:v>0.4112873</x:v>
      </x:c>
      <x:c r="J98" s="12" t="n">
        <x:f>IF('全量明细'!F899="","",'全量明细'!F899)</x:f>
        <x:v>406</x:v>
      </x:c>
      <x:c r="K98" s="11" t="n">
        <x:f>IF('全量明细'!G899="","",'全量明细'!G899)</x:f>
        <x:v>0.0665</x:v>
      </x:c>
      <x:c r="L98" s="11" t="n">
        <x:f>IF('全量明细'!H899="","",'全量明细'!H899)</x:f>
        <x:v>0.3704</x:v>
      </x:c>
      <x:c r="M98" s="11" t="n">
        <x:f>IF('全量明细'!I899="","",'全量明细'!I899)</x:f>
        <x:v>0.4142</x:v>
      </x:c>
      <x:c r="N98" s="14" t="n">
        <x:f>IF('全量明细'!J899="","",'全量明细'!J899)</x:f>
        <x:v>-4.380000000000001</x:v>
      </x:c>
      <x:c r="O98" s="14" t="n">
        <x:f>IF(AND(ISNUMBER(C98),ISNUMBER(I98)),(I98-C98)*100,"")</x:f>
        <x:v>10.255013999999996</x:v>
      </x:c>
      <x:c r="P98" s="17" t="str">
        <x:v>不同幕混合，勿直接解释为纯强度</x:v>
      </x:c>
    </x:row>
    <x:row r="99" ht="25" customHeight="1">
      <x:c r="A99" s="2" t="str">
        <x:v>达弗</x:v>
      </x:c>
      <x:c r="B99" s="2" t="str">
        <x:v>潘多拉魔盒</x:v>
      </x:c>
      <x:c r="C99" s="28" t="n">
        <x:f>IF('全量明细'!E392="","",'全量明细'!E392)</x:f>
        <x:v>0.36224369</x:v>
      </x:c>
      <x:c r="D99" s="12" t="n">
        <x:f>IF('全量明细'!F392="","",'全量明细'!F392)</x:f>
        <x:v>1623</x:v>
      </x:c>
      <x:c r="E99" s="11" t="n">
        <x:f>IF('全量明细'!G392="","",'全量明细'!G392)</x:f>
        <x:v>0.3931</x:v>
      </x:c>
      <x:c r="F99" s="11" t="n">
        <x:f>IF('全量明细'!H392="","",'全量明细'!H392)</x:f>
        <x:v>0.3197</x:v>
      </x:c>
      <x:c r="G99" s="11" t="n">
        <x:f>IF('全量明细'!I392="","",'全量明细'!I392)</x:f>
        <x:v>0.3898</x:v>
      </x:c>
      <x:c r="H99" s="14" t="n">
        <x:f>IF('全量明细'!J392="","",'全量明细'!J392)</x:f>
        <x:v>-7.01</x:v>
      </x:c>
      <x:c r="I99" s="28" t="n">
        <x:f>IF('全量明细'!E888="","",'全量明细'!E888)</x:f>
        <x:v>0.51016095</x:v>
      </x:c>
      <x:c r="J99" s="12" t="n">
        <x:f>IF('全量明细'!F888="","",'全量明细'!F888)</x:f>
        <x:v>541</x:v>
      </x:c>
      <x:c r="K99" s="11" t="n">
        <x:f>IF('全量明细'!G888="","",'全量明细'!G888)</x:f>
        <x:v>0.4307</x:v>
      </x:c>
      <x:c r="L99" s="11" t="n">
        <x:f>IF('全量明细'!H888="","",'全量明细'!H888)</x:f>
        <x:v>0.515</x:v>
      </x:c>
      <x:c r="M99" s="11" t="n">
        <x:f>IF('全量明细'!I888="","",'全量明细'!I888)</x:f>
        <x:v>0.5065</x:v>
      </x:c>
      <x:c r="N99" s="14" t="n">
        <x:f>IF('全量明细'!J888="","",'全量明细'!J888)</x:f>
        <x:v>0.8500000000000063</x:v>
      </x:c>
      <x:c r="O99" s="14" t="n">
        <x:f>IF(AND(ISNUMBER(C99),ISNUMBER(I99)),(I99-C99)*100,"")</x:f>
        <x:v>14.791725999999993</x:v>
      </x:c>
      <x:c r="P99" s="17" t="str">
        <x:v>不同幕混合，勿直接解释为纯强度</x:v>
      </x:c>
    </x:row>
    <x:row r="100" ht="25" customHeight="1">
      <x:c r="A100" s="2" t="str">
        <x:v>达弗</x:v>
      </x:c>
      <x:c r="B100" s="2" t="str">
        <x:v>天鹅绒颈圈</x:v>
      </x:c>
      <x:c r="C100" s="28" t="n">
        <x:f>IF('全量明细'!E390="","",'全量明细'!E390)</x:f>
        <x:v>0.44150022000000005</x:v>
      </x:c>
      <x:c r="D100" s="12" t="n">
        <x:f>IF('全量明细'!F390="","",'全量明细'!F390)</x:f>
        <x:v>188</x:v>
      </x:c>
      <x:c r="E100" s="11" t="n">
        <x:f>IF('全量明细'!G390="","",'全量明细'!G390)</x:f>
        <x:v>0.0691</x:v>
      </x:c>
      <x:c r="F100" s="11" t="n">
        <x:f>IF('全量明细'!H390="","",'全量明细'!H390)</x:f>
        <x:v>0.5385</x:v>
      </x:c>
      <x:c r="G100" s="11" t="n">
        <x:f>IF('全量明细'!I390="","",'全量明细'!I390)</x:f>
        <x:v>0.4343</x:v>
      </x:c>
      <x:c r="H100" s="14" t="n">
        <x:f>IF('全量明细'!J390="","",'全量明细'!J390)</x:f>
        <x:v>10.419999999999996</x:v>
      </x:c>
      <x:c r="I100" s="28" t="n">
        <x:f>IF('全量明细'!E898="","",'全量明细'!E898)</x:f>
        <x:v>0.44260489999999997</x:v>
      </x:c>
      <x:c r="J100" s="12" t="n">
        <x:f>IF('全量明细'!F898="","",'全量明细'!F898)</x:f>
        <x:v>549</x:v>
      </x:c>
      <x:c r="K100" s="11" t="n">
        <x:f>IF('全量明细'!G898="","",'全量明细'!G898)</x:f>
        <x:v>0.051</x:v>
      </x:c>
      <x:c r="L100" s="11" t="n">
        <x:f>IF('全量明细'!H898="","",'全量明细'!H898)</x:f>
        <x:v>0.35710000000000003</x:v>
      </x:c>
      <x:c r="M100" s="11" t="n">
        <x:f>IF('全量明细'!I898="","",'全量明细'!I898)</x:f>
        <x:v>0.4472</x:v>
      </x:c>
      <x:c r="N100" s="14" t="n">
        <x:f>IF('全量明细'!J898="","",'全量明细'!J898)</x:f>
        <x:v>-9.009999999999996</x:v>
      </x:c>
      <x:c r="O100" s="14" t="n">
        <x:f>IF(AND(ISNUMBER(C100),ISNUMBER(I100)),(I100-C100)*100,"")</x:f>
        <x:v>0.11046799999999135</x:v>
      </x:c>
      <x:c r="P100" s="17" t="str">
        <x:v>不同幕混合，勿直接解释为纯强度</x:v>
      </x:c>
    </x:row>
    <x:row r="101" ht="25" customHeight="1">
      <x:c r="A101" s="2" t="str">
        <x:v>达弗</x:v>
      </x:c>
      <x:c r="B101" s="2" t="str">
        <x:v>添水</x:v>
      </x:c>
      <x:c r="C101" s="28" t="n">
        <x:f>IF('全量明细'!E399="","",'全量明细'!E399)</x:f>
        <x:v>0.31416763000000003</x:v>
      </x:c>
      <x:c r="D101" s="12" t="n">
        <x:f>IF('全量明细'!F399="","",'全量明细'!F399)</x:f>
        <x:v>678</x:v>
      </x:c>
      <x:c r="E101" s="11" t="n">
        <x:f>IF('全量明细'!G399="","",'全量明细'!G399)</x:f>
        <x:v>0.1283</x:v>
      </x:c>
      <x:c r="F101" s="11" t="n">
        <x:f>IF('全量明细'!H399="","",'全量明细'!H399)</x:f>
        <x:v>0.2759</x:v>
      </x:c>
      <x:c r="G101" s="11" t="n">
        <x:f>IF('全量明细'!I399="","",'全量明细'!I399)</x:f>
        <x:v>0.31980000000000003</x:v>
      </x:c>
      <x:c r="H101" s="14" t="n">
        <x:f>IF('全量明细'!J399="","",'全量明细'!J399)</x:f>
        <x:v>-4.390000000000005</x:v>
      </x:c>
      <x:c r="I101" s="28" t="n">
        <x:f>IF('全量明细'!E896="","",'全量明细'!E896)</x:f>
        <x:v>0.46550404</x:v>
      </x:c>
      <x:c r="J101" s="12" t="n">
        <x:f>IF('全量明细'!F896="","",'全量明细'!F896)</x:f>
        <x:v>406</x:v>
      </x:c>
      <x:c r="K101" s="11" t="n">
        <x:f>IF('全量明细'!G896="","",'全量明细'!G896)</x:f>
        <x:v>0.1108</x:v>
      </x:c>
      <x:c r="L101" s="11" t="n">
        <x:f>IF('全量明细'!H896="","",'全量明细'!H896)</x:f>
        <x:v>0.42219999999999996</x:v>
      </x:c>
      <x:c r="M101" s="11" t="n">
        <x:f>IF('全量明细'!I896="","",'全量明细'!I896)</x:f>
        <x:v>0.47090000000000004</x:v>
      </x:c>
      <x:c r="N101" s="14" t="n">
        <x:f>IF('全量明细'!J896="","",'全量明细'!J896)</x:f>
        <x:v>-4.870000000000008</x:v>
      </x:c>
      <x:c r="O101" s="14" t="n">
        <x:f>IF(AND(ISNUMBER(C101),ISNUMBER(I101)),(I101-C101)*100,"")</x:f>
        <x:v>15.133640999999997</x:v>
      </x:c>
      <x:c r="P101" s="17" t="str">
        <x:v>不同幕混合，勿直接解释为纯强度</x:v>
      </x:c>
    </x:row>
    <x:row r="102" ht="25" customHeight="1">
      <x:c r="A102" s="2" t="str">
        <x:v>达弗</x:v>
      </x:c>
      <x:c r="B102" s="2" t="str">
        <x:v>贤者之石</x:v>
      </x:c>
      <x:c r="C102" s="28" t="n">
        <x:f>IF('全量明细'!E389="","",'全量明细'!E389)</x:f>
        <x:v>0.47894862000000005</x:v>
      </x:c>
      <x:c r="D102" s="12" t="n">
        <x:f>IF('全量明细'!F389="","",'全量明细'!F389)</x:f>
        <x:v>190</x:v>
      </x:c>
      <x:c r="E102" s="11" t="n">
        <x:f>IF('全量明细'!G389="","",'全量明细'!G389)</x:f>
        <x:v>0.2842</x:v>
      </x:c>
      <x:c r="F102" s="11" t="n">
        <x:f>IF('全量明细'!H389="","",'全量明细'!H389)</x:f>
        <x:v>0.537</x:v>
      </x:c>
      <x:c r="G102" s="11" t="n">
        <x:f>IF('全量明细'!I389="","",'全量明细'!I389)</x:f>
        <x:v>0.4559</x:v>
      </x:c>
      <x:c r="H102" s="14" t="n">
        <x:f>IF('全量明细'!J389="","",'全量明细'!J389)</x:f>
        <x:v>8.110000000000001</x:v>
      </x:c>
      <x:c r="I102" s="28" t="n">
        <x:f>IF('全量明细'!E892="","",'全量明细'!E892)</x:f>
        <x:v>0.48842343999999993</x:v>
      </x:c>
      <x:c r="J102" s="12" t="n">
        <x:f>IF('全量明细'!F892="","",'全量明细'!F892)</x:f>
        <x:v>563</x:v>
      </x:c>
      <x:c r="K102" s="11" t="n">
        <x:f>IF('全量明细'!G892="","",'全量明细'!G892)</x:f>
        <x:v>0.3037</x:v>
      </x:c>
      <x:c r="L102" s="11" t="n">
        <x:f>IF('全量明细'!H892="","",'全量明细'!H892)</x:f>
        <x:v>0.5379999999999999</x:v>
      </x:c>
      <x:c r="M102" s="11" t="n">
        <x:f>IF('全量明细'!I892="","",'全量明细'!I892)</x:f>
        <x:v>0.4668</x:v>
      </x:c>
      <x:c r="N102" s="14" t="n">
        <x:f>IF('全量明细'!J892="","",'全量明细'!J892)</x:f>
        <x:v>7.119999999999993</x:v>
      </x:c>
      <x:c r="O102" s="14" t="n">
        <x:f>IF(AND(ISNUMBER(C102),ISNUMBER(I102)),(I102-C102)*100,"")</x:f>
        <x:v>0.9474819999999884</x:v>
      </x:c>
      <x:c r="P102" s="17" t="str">
        <x:v>不同幕混合，勿直接解释为纯强度</x:v>
      </x:c>
    </x:row>
    <x:row r="103" ht="25" customHeight="1">
      <x:c r="A103" s="2" t="str">
        <x:v>达弗</x:v>
      </x:c>
      <x:c r="B103" s="2" t="str">
        <x:v>星盘</x:v>
      </x:c>
      <x:c r="C103" s="28" t="n">
        <x:f>IF('全量明细'!E394="","",'全量明细'!E394)</x:f>
        <x:v>0.34942735999999996</x:v>
      </x:c>
      <x:c r="D103" s="12" t="n">
        <x:f>IF('全量明细'!F394="","",'全量明细'!F394)</x:f>
        <x:v>1694</x:v>
      </x:c>
      <x:c r="E103" s="11" t="n">
        <x:f>IF('全量明细'!G394="","",'全量明细'!G394)</x:f>
        <x:v>0.5266</x:v>
      </x:c>
      <x:c r="F103" s="11" t="n">
        <x:f>IF('全量明细'!H394="","",'全量明细'!H394)</x:f>
        <x:v>0.3161</x:v>
      </x:c>
      <x:c r="G103" s="11" t="n">
        <x:f>IF('全量明细'!I394="","",'全量明细'!I394)</x:f>
        <x:v>0.3865</x:v>
      </x:c>
      <x:c r="H103" s="14" t="n">
        <x:f>IF('全量明细'!J394="","",'全量明细'!J394)</x:f>
        <x:v>-7.040000000000002</x:v>
      </x:c>
      <x:c r="I103" s="28" t="n">
        <x:f>IF('全量明细'!E889="","",'全量明细'!E889)</x:f>
        <x:v>0.50090806</x:v>
      </x:c>
      <x:c r="J103" s="12" t="n">
        <x:f>IF('全量明细'!F889="","",'全量明细'!F889)</x:f>
        <x:v>543</x:v>
      </x:c>
      <x:c r="K103" s="11" t="n">
        <x:f>IF('全量明细'!G889="","",'全量明细'!G889)</x:f>
        <x:v>0.5838</x:v>
      </x:c>
      <x:c r="L103" s="11" t="n">
        <x:f>IF('全量明细'!H889="","",'全量明细'!H889)</x:f>
        <x:v>0.4858</x:v>
      </x:c>
      <x:c r="M103" s="11" t="n">
        <x:f>IF('全量明细'!I889="","",'全量明细'!I889)</x:f>
        <x:v>0.5221</x:v>
      </x:c>
      <x:c r="N103" s="14" t="n">
        <x:f>IF('全量明细'!J889="","",'全量明细'!J889)</x:f>
        <x:v>-3.63</x:v>
      </x:c>
      <x:c r="O103" s="14" t="n">
        <x:f>IF(AND(ISNUMBER(C103),ISNUMBER(I103)),(I103-C103)*100,"")</x:f>
        <x:v>15.148070000000002</x:v>
      </x:c>
      <x:c r="P103" s="17" t="str">
        <x:v>不同幕混合，勿直接解释为纯强度</x:v>
      </x:c>
    </x:row>
    <x:row r="104" ht="25" customHeight="1">
      <x:c r="A104" s="2" t="str">
        <x:v>达弗</x:v>
      </x:c>
      <x:c r="B104" s="2" t="str">
        <x:v>异蛇之眼</x:v>
      </x:c>
      <x:c r="C104" s="28" t="n">
        <x:f>IF('全量明细'!E391="","",'全量明细'!E391)</x:f>
        <x:v>0.36236698</x:v>
      </x:c>
      <x:c r="D104" s="12" t="n">
        <x:f>IF('全量明细'!F391="","",'全量明细'!F391)</x:f>
        <x:v>1664</x:v>
      </x:c>
      <x:c r="E104" s="11" t="n">
        <x:f>IF('全量明细'!G391="","",'全量明细'!G391)</x:f>
        <x:v>0.0499</x:v>
      </x:c>
      <x:c r="F104" s="11" t="n">
        <x:f>IF('全量明细'!H391="","",'全量明细'!H391)</x:f>
        <x:v>0.7711</x:v>
      </x:c>
      <x:c r="G104" s="11" t="n">
        <x:f>IF('全量明细'!I391="","",'全量明细'!I391)</x:f>
        <x:v>0.34090000000000004</x:v>
      </x:c>
      <x:c r="H104" s="14" t="n">
        <x:f>IF('全量明细'!J391="","",'全量明细'!J391)</x:f>
        <x:v>43.019999999999996</x:v>
      </x:c>
      <x:c r="I104" s="28" t="n">
        <x:f>IF('全量明细'!E891="","",'全量明细'!E891)</x:f>
        <x:v>0.49674699</x:v>
      </x:c>
      <x:c r="J104" s="12" t="n">
        <x:f>IF('全量明细'!F891="","",'全量明细'!F891)</x:f>
        <x:v>610</x:v>
      </x:c>
      <x:c r="K104" s="11" t="n">
        <x:f>IF('全量明细'!G891="","",'全量明细'!G891)</x:f>
        <x:v>0.0639</x:v>
      </x:c>
      <x:c r="L104" s="11" t="n">
        <x:f>IF('全量明细'!H891="","",'全量明细'!H891)</x:f>
        <x:v>0.6409999999999999</x:v>
      </x:c>
      <x:c r="M104" s="11" t="n">
        <x:f>IF('全量明细'!I891="","",'全量明细'!I891)</x:f>
        <x:v>0.4869</x:v>
      </x:c>
      <x:c r="N104" s="14" t="n">
        <x:f>IF('全量明细'!J891="","",'全量明细'!J891)</x:f>
        <x:v>15.40999999999999</x:v>
      </x:c>
      <x:c r="O104" s="14" t="n">
        <x:f>IF(AND(ISNUMBER(C104),ISNUMBER(I104)),(I104-C104)*100,"")</x:f>
        <x:v>13.438001</x:v>
      </x:c>
      <x:c r="P104" s="17" t="str">
        <x:v>不同幕混合，勿直接解释为纯强度</x:v>
      </x:c>
    </x:row>
    <x:row r="105" ht="25" customHeight="1">
      <x:c r="A105" s="2" t="str">
        <x:v>达弗</x:v>
      </x:c>
      <x:c r="B105" s="2" t="str">
        <x:v>召唤铃铛</x:v>
      </x:c>
      <x:c r="C105" s="28" t="n">
        <x:f>IF('全量明细'!E395="","",'全量明细'!E395)</x:f>
        <x:v>0.33555376000000003</x:v>
      </x:c>
      <x:c r="D105" s="12" t="n">
        <x:f>IF('全量明细'!F395="","",'全量明细'!F395)</x:f>
        <x:v>1666</x:v>
      </x:c>
      <x:c r="E105" s="11" t="n">
        <x:f>IF('全量明细'!G395="","",'全量明细'!G395)</x:f>
        <x:v>0.22870000000000001</x:v>
      </x:c>
      <x:c r="F105" s="11" t="n">
        <x:f>IF('全量明细'!H395="","",'全量明细'!H395)</x:f>
        <x:v>0.24670000000000003</x:v>
      </x:c>
      <x:c r="G105" s="11" t="n">
        <x:f>IF('全量明细'!I395="","",'全量明细'!I395)</x:f>
        <x:v>0.3619</x:v>
      </x:c>
      <x:c r="H105" s="14" t="n">
        <x:f>IF('全量明细'!J395="","",'全量明细'!J395)</x:f>
        <x:v>-11.519999999999996</x:v>
      </x:c>
      <x:c r="I105" s="28" t="n">
        <x:f>IF('全量明细'!E895="","",'全量明细'!E895)</x:f>
        <x:v>0.46740478</x:v>
      </x:c>
      <x:c r="J105" s="12" t="n">
        <x:f>IF('全量明细'!F895="","",'全量明细'!F895)</x:f>
        <x:v>537</x:v>
      </x:c>
      <x:c r="K105" s="11" t="n">
        <x:f>IF('全量明细'!G895="","",'全量明细'!G895)</x:f>
        <x:v>0.2402</x:v>
      </x:c>
      <x:c r="L105" s="11" t="n">
        <x:f>IF('全量明细'!H895="","",'全量明细'!H895)</x:f>
        <x:v>0.3488</x:v>
      </x:c>
      <x:c r="M105" s="11" t="n">
        <x:f>IF('全量明细'!I895="","",'全量明细'!I895)</x:f>
        <x:v>0.5049</x:v>
      </x:c>
      <x:c r="N105" s="14" t="n">
        <x:f>IF('全量明细'!J895="","",'全量明细'!J895)</x:f>
        <x:v>-15.610000000000001</x:v>
      </x:c>
      <x:c r="O105" s="14" t="n">
        <x:f>IF(AND(ISNUMBER(C105),ISNUMBER(I105)),(I105-C105)*100,"")</x:f>
        <x:v>13.185101999999999</x:v>
      </x:c>
      <x:c r="P105" s="17" t="str">
        <x:v>不同幕混合，勿直接解释为纯强度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adcd398b85a24c69"/>
  </x:tableParts>
</x:worksheet>
</file>

<file path=xl/worksheets/sheet7.xml><?xml version="1.0" encoding="utf-8"?>
<x:worksheet xmlns:x="http://schemas.openxmlformats.org/spreadsheetml/2006/main">
  <x:sheetPr>
    <x:tabColor rgb="FF087F8C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  <x:col min="8" max="8" width="17" hidden="0" customWidth="1"/>
    <x:col min="9" max="9" width="15" hidden="0" customWidth="1"/>
    <x:col min="10" max="10" width="15" hidden="0" customWidth="1"/>
    <x:col min="11" max="11" width="14" hidden="0" customWidth="1"/>
    <x:col min="12" max="12" width="16" hidden="0" customWidth="1"/>
    <x:col min="13" max="13" width="16" hidden="0" customWidth="1"/>
    <x:col min="14" max="14" width="17" hidden="0" customWidth="1"/>
    <x:col min="15" max="15" width="21" hidden="0" customWidth="1"/>
    <x:col min="16" max="16" width="55" hidden="0" customWidth="1"/>
  </x:cols>
  <x:sheetData>
    <x:row r="1" ht="43" customHeight="1">
      <x:c r="A1" s="4" t="str">
        <x:v>储君 · 两版对照 / 按先古之民分组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5" customHeight="1">
      <x:c r="A2" s="6" t="str">
        <x:v>每个版本保留出现胜率、出现次数、选取率、选择/跳过后胜率和选跳差。空白表示该筛选下未显示记录；不按零值处理。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56" customHeight="1">
      <x:c r="A4" s="8" t="str">
        <x:v>先古之民</x:v>
      </x:c>
      <x:c r="B4" s="8" t="str">
        <x:v>遗物</x:v>
      </x:c>
      <x:c r="C4" s="29" t="str">
        <x:v>0.107
出现胜率</x:v>
      </x:c>
      <x:c r="D4" s="29" t="str">
        <x:v>0.107
出现次数</x:v>
      </x:c>
      <x:c r="E4" s="29" t="str">
        <x:v>0.107
选取率</x:v>
      </x:c>
      <x:c r="F4" s="29" t="str">
        <x:v>0.107
选择后胜率</x:v>
      </x:c>
      <x:c r="G4" s="29" t="str">
        <x:v>0.107
跳过后胜率</x:v>
      </x:c>
      <x:c r="H4" s="29" t="str">
        <x:v>0.107
选跳差(pp)</x:v>
      </x:c>
      <x:c r="I4" s="30" t="str">
        <x:v>0.111
出现胜率</x:v>
      </x:c>
      <x:c r="J4" s="30" t="str">
        <x:v>0.111
出现次数</x:v>
      </x:c>
      <x:c r="K4" s="30" t="str">
        <x:v>0.111
选取率</x:v>
      </x:c>
      <x:c r="L4" s="30" t="str">
        <x:v>0.111
选择后胜率</x:v>
      </x:c>
      <x:c r="M4" s="30" t="str">
        <x:v>0.111
跳过后胜率</x:v>
      </x:c>
      <x:c r="N4" s="30" t="str">
        <x:v>0.111
选跳差(pp)</x:v>
      </x:c>
      <x:c r="O4" s="8" t="str">
        <x:v>出现胜率变化
0.111−0.107(pp)</x:v>
      </x:c>
      <x:c r="P4" s="8" t="str">
        <x:v>备注</x:v>
      </x:c>
    </x:row>
    <x:row r="5" ht="25" customHeight="1">
      <x:c r="A5" s="20" t="str">
        <x:v>涅奥</x:v>
      </x:c>
      <x:c r="B5" s="20" t="str">
        <x:v>奥术卷轴</x:v>
      </x:c>
      <x:c r="C5" s="27" t="n">
        <x:f>IF('全量明细'!E410="","",'全量明细'!E410)</x:f>
        <x:v>0.23192586</x:v>
      </x:c>
      <x:c r="D5" s="23" t="n">
        <x:f>IF('全量明细'!F410="","",'全量明细'!F410)</x:f>
        <x:v>8209</x:v>
      </x:c>
      <x:c r="E5" s="22" t="n">
        <x:f>IF('全量明细'!G410="","",'全量明细'!G410)</x:f>
        <x:v>0.4882</x:v>
      </x:c>
      <x:c r="F5" s="22" t="n">
        <x:f>IF('全量明细'!H410="","",'全量明细'!H410)</x:f>
        <x:v>0.18960000000000002</x:v>
      </x:c>
      <x:c r="G5" s="22" t="n">
        <x:f>IF('全量明细'!I410="","",'全量明细'!I410)</x:f>
        <x:v>0.2723</x:v>
      </x:c>
      <x:c r="H5" s="24" t="n">
        <x:f>IF('全量明细'!J410="","",'全量明细'!J410)</x:f>
        <x:v>-8.269999999999996</x:v>
      </x:c>
      <x:c r="I5" s="27" t="n">
        <x:f>IF('全量明细'!E911="","",'全量明细'!E911)</x:f>
        <x:v>0.29200095</x:v>
      </x:c>
      <x:c r="J5" s="23" t="n">
        <x:f>IF('全量明细'!F911="","",'全量明细'!F911)</x:f>
        <x:v>3106</x:v>
      </x:c>
      <x:c r="K5" s="22" t="n">
        <x:f>IF('全量明细'!G911="","",'全量明细'!G911)</x:f>
        <x:v>0.4907</x:v>
      </x:c>
      <x:c r="L5" s="22" t="n">
        <x:f>IF('全量明细'!H911="","",'全量明细'!H911)</x:f>
        <x:v>0.24539999999999998</x:v>
      </x:c>
      <x:c r="M5" s="22" t="n">
        <x:f>IF('全量明细'!I911="","",'全量明细'!I911)</x:f>
        <x:v>0.3369</x:v>
      </x:c>
      <x:c r="N5" s="24" t="n">
        <x:f>IF('全量明细'!J911="","",'全量明细'!J911)</x:f>
        <x:v>-9.15</x:v>
      </x:c>
      <x:c r="O5" s="24" t="n">
        <x:f>IF(AND(ISNUMBER(C5),ISNUMBER(I5)),(I5-C5)*100,"")</x:f>
        <x:v>6.007508999999997</x:v>
      </x:c>
      <x:c r="P5" s="31" t="str"/>
    </x:row>
    <x:row r="6" ht="25" customHeight="1">
      <x:c r="A6" s="2" t="str">
        <x:v>涅奥</x:v>
      </x:c>
      <x:c r="B6" s="2" t="str">
        <x:v>白银熔炉</x:v>
      </x:c>
      <x:c r="C6" s="28" t="n">
        <x:f>IF('全量明细'!E427="","",'全量明细'!E427)</x:f>
        <x:v>0.22010448</x:v>
      </x:c>
      <x:c r="D6" s="12" t="n">
        <x:f>IF('全量明细'!F427="","",'全量明细'!F427)</x:f>
        <x:v>9660</x:v>
      </x:c>
      <x:c r="E6" s="11" t="n">
        <x:f>IF('全量明细'!G427="","",'全量明细'!G427)</x:f>
        <x:v>0.6984</x:v>
      </x:c>
      <x:c r="F6" s="11" t="n">
        <x:f>IF('全量明细'!H427="","",'全量明细'!H427)</x:f>
        <x:v>0.2268</x:v>
      </x:c>
      <x:c r="G6" s="11" t="n">
        <x:f>IF('全量明细'!I427="","",'全量明细'!I427)</x:f>
        <x:v>0.2046</x:v>
      </x:c>
      <x:c r="H6" s="14" t="n">
        <x:f>IF('全量明细'!J427="","",'全量明细'!J427)</x:f>
        <x:v>2.2199999999999998</x:v>
      </x:c>
      <x:c r="I6" s="28" t="n">
        <x:f>IF('全量明细'!E921="","",'全量明细'!E921)</x:f>
        <x:v>0.28060734</x:v>
      </x:c>
      <x:c r="J6" s="12" t="n">
        <x:f>IF('全量明细'!F921="","",'全量明细'!F921)</x:f>
        <x:v>2812</x:v>
      </x:c>
      <x:c r="K6" s="11" t="n">
        <x:f>IF('全量明细'!G921="","",'全量明细'!G921)</x:f>
        <x:v>0.6938</x:v>
      </x:c>
      <x:c r="L6" s="11" t="n">
        <x:f>IF('全量明细'!H921="","",'全量明细'!H921)</x:f>
        <x:v>0.2758</x:v>
      </x:c>
      <x:c r="M6" s="11" t="n">
        <x:f>IF('全量明细'!I921="","",'全量明细'!I921)</x:f>
        <x:v>0.2915</x:v>
      </x:c>
      <x:c r="N6" s="14" t="n">
        <x:f>IF('全量明细'!J921="","",'全量明细'!J921)</x:f>
        <x:v>-1.5699999999999992</x:v>
      </x:c>
      <x:c r="O6" s="14" t="n">
        <x:f>IF(AND(ISNUMBER(C6),ISNUMBER(I6)),(I6-C6)*100,"")</x:f>
        <x:v>6.050285999999999</x:v>
      </x:c>
      <x:c r="P6" s="17" t="str"/>
    </x:row>
    <x:row r="7" ht="25" customHeight="1">
      <x:c r="A7" s="2" t="str">
        <x:v>涅奥</x:v>
      </x:c>
      <x:c r="B7" s="2" t="str">
        <x:v>沉重石板</x:v>
      </x:c>
      <x:c r="C7" s="28" t="n">
        <x:f>IF('全量明细'!E428="","",'全量明细'!E428)</x:f>
        <x:v>0.21166317</x:v>
      </x:c>
      <x:c r="D7" s="12" t="n">
        <x:f>IF('全量明细'!F428="","",'全量明细'!F428)</x:f>
        <x:v>8943</x:v>
      </x:c>
      <x:c r="E7" s="11" t="n">
        <x:f>IF('全量明细'!G428="","",'全量明细'!G428)</x:f>
        <x:v>0.5449</x:v>
      </x:c>
      <x:c r="F7" s="11" t="n">
        <x:f>IF('全量明细'!H428="","",'全量明细'!H428)</x:f>
        <x:v>0.1449</x:v>
      </x:c>
      <x:c r="G7" s="11" t="n">
        <x:f>IF('全量明细'!I428="","",'全量明细'!I428)</x:f>
        <x:v>0.2916</x:v>
      </x:c>
      <x:c r="H7" s="14" t="n">
        <x:f>IF('全量明细'!J428="","",'全量明细'!J428)</x:f>
        <x:v>-14.670000000000002</x:v>
      </x:c>
      <x:c r="I7" s="28" t="n">
        <x:f>IF('全量明细'!E928="","",'全量明细'!E928)</x:f>
        <x:v>0.26657128</x:v>
      </x:c>
      <x:c r="J7" s="12" t="n">
        <x:f>IF('全量明细'!F928="","",'全量明细'!F928)</x:f>
        <x:v>2521</x:v>
      </x:c>
      <x:c r="K7" s="11" t="n">
        <x:f>IF('全量明细'!G928="","",'全量明细'!G928)</x:f>
        <x:v>0.4804</x:v>
      </x:c>
      <x:c r="L7" s="11" t="n">
        <x:f>IF('全量明细'!H928="","",'全量明细'!H928)</x:f>
        <x:v>0.1825</x:v>
      </x:c>
      <x:c r="M7" s="11" t="n">
        <x:f>IF('全量明细'!I928="","",'全量明细'!I928)</x:f>
        <x:v>0.3443</x:v>
      </x:c>
      <x:c r="N7" s="14" t="n">
        <x:f>IF('全量明细'!J928="","",'全量明细'!J928)</x:f>
        <x:v>-16.18</x:v>
      </x:c>
      <x:c r="O7" s="14" t="n">
        <x:f>IF(AND(ISNUMBER(C7),ISNUMBER(I7)),(I7-C7)*100,"")</x:f>
        <x:v>5.490811000000001</x:v>
      </x:c>
      <x:c r="P7" s="17" t="str"/>
    </x:row>
    <x:row r="8" ht="25" customHeight="1">
      <x:c r="A8" s="2" t="str">
        <x:v>涅奥</x:v>
      </x:c>
      <x:c r="B8" s="2" t="str">
        <x:v>橙型香盒</x:v>
      </x:c>
      <x:c r="C8" s="28" t="n">
        <x:f>IF('全量明细'!E425="","",'全量明细'!E425)</x:f>
        <x:v>0.22251038</x:v>
      </x:c>
      <x:c r="D8" s="12" t="n">
        <x:f>IF('全量明细'!F425="","",'全量明细'!F425)</x:f>
        <x:v>4602</x:v>
      </x:c>
      <x:c r="E8" s="11" t="n">
        <x:f>IF('全量明细'!G425="","",'全量明细'!G425)</x:f>
        <x:v>0.0882</x:v>
      </x:c>
      <x:c r="F8" s="11" t="n">
        <x:f>IF('全量明细'!H425="","",'全量明细'!H425)</x:f>
        <x:v>0.18230000000000002</x:v>
      </x:c>
      <x:c r="G8" s="11" t="n">
        <x:f>IF('全量明细'!I425="","",'全量明细'!I425)</x:f>
        <x:v>0.22640000000000002</x:v>
      </x:c>
      <x:c r="H8" s="14" t="n">
        <x:f>IF('全量明细'!J425="","",'全量明细'!J425)</x:f>
        <x:v>-4.41</x:v>
      </x:c>
      <x:c r="I8" s="28" t="n">
        <x:f>IF('全量明细'!E919="","",'全量明细'!E919)</x:f>
        <x:v>0.28149444</x:v>
      </x:c>
      <x:c r="J8" s="12" t="n">
        <x:f>IF('全量明细'!F919="","",'全量明细'!F919)</x:f>
        <x:v>1737</x:v>
      </x:c>
      <x:c r="K8" s="11" t="n">
        <x:f>IF('全量明细'!G919="","",'全量明细'!G919)</x:f>
        <x:v>0.1186</x:v>
      </x:c>
      <x:c r="L8" s="11" t="n">
        <x:f>IF('全量明细'!H919="","",'全量明细'!H919)</x:f>
        <x:v>0.1893</x:v>
      </x:c>
      <x:c r="M8" s="11" t="n">
        <x:f>IF('全量明细'!I919="","",'全量明细'!I919)</x:f>
        <x:v>0.2939</x:v>
      </x:c>
      <x:c r="N8" s="14" t="n">
        <x:f>IF('全量明细'!J919="","",'全量明细'!J919)</x:f>
        <x:v>-10.459999999999999</x:v>
      </x:c>
      <x:c r="O8" s="14" t="n">
        <x:f>IF(AND(ISNUMBER(C8),ISNUMBER(I8)),(I8-C8)*100,"")</x:f>
        <x:v>5.8984060000000005</x:v>
      </x:c>
      <x:c r="P8" s="17" t="str"/>
    </x:row>
    <x:row r="9" ht="25" customHeight="1">
      <x:c r="A9" s="2" t="str">
        <x:v>涅奥</x:v>
      </x:c>
      <x:c r="B9" s="2" t="str">
        <x:v>钓鱼竿</x:v>
      </x:c>
      <x:c r="C9" s="28" t="n">
        <x:f>IF('全量明细'!E426="","",'全量明细'!E426)</x:f>
        <x:v>0.222125</x:v>
      </x:c>
      <x:c r="D9" s="12" t="n">
        <x:f>IF('全量明细'!F426="","",'全量明细'!F426)</x:f>
        <x:v>9292</x:v>
      </x:c>
      <x:c r="E9" s="11" t="n">
        <x:f>IF('全量明细'!G426="","",'全量明细'!G426)</x:f>
        <x:v>0.1795</x:v>
      </x:c>
      <x:c r="F9" s="11" t="n">
        <x:f>IF('全量明细'!H426="","",'全量明细'!H426)</x:f>
        <x:v>0.18109999999999998</x:v>
      </x:c>
      <x:c r="G9" s="11" t="n">
        <x:f>IF('全量明细'!I426="","",'全量明细'!I426)</x:f>
        <x:v>0.2311</x:v>
      </x:c>
      <x:c r="H9" s="14" t="n">
        <x:f>IF('全量明细'!J426="","",'全量明细'!J426)</x:f>
        <x:v>-5.000000000000002</x:v>
      </x:c>
      <x:c r="I9" s="28" t="n">
        <x:f>IF('全量明细'!E904="","",'全量明细'!E904)</x:f>
        <x:v>0.29951927999999994</x:v>
      </x:c>
      <x:c r="J9" s="12" t="n">
        <x:f>IF('全量明细'!F904="","",'全量明细'!F904)</x:f>
        <x:v>3415</x:v>
      </x:c>
      <x:c r="K9" s="11" t="n">
        <x:f>IF('全量明细'!G904="","",'全量明细'!G904)</x:f>
        <x:v>0.1602</x:v>
      </x:c>
      <x:c r="L9" s="11" t="n">
        <x:f>IF('全量明细'!H904="","",'全量明细'!H904)</x:f>
        <x:v>0.2797</x:v>
      </x:c>
      <x:c r="M9" s="11" t="n">
        <x:f>IF('全量明细'!I904="","",'全量明细'!I904)</x:f>
        <x:v>0.30329999999999996</x:v>
      </x:c>
      <x:c r="N9" s="14" t="n">
        <x:f>IF('全量明细'!J904="","",'全量明细'!J904)</x:f>
        <x:v>-2.3599999999999954</x:v>
      </x:c>
      <x:c r="O9" s="14" t="n">
        <x:f>IF(AND(ISNUMBER(C9),ISNUMBER(I9)),(I9-C9)*100,"")</x:f>
        <x:v>7.739427999999996</x:v>
      </x:c>
      <x:c r="P9" s="17" t="str"/>
    </x:row>
    <x:row r="10" ht="25" customHeight="1">
      <x:c r="A10" s="2" t="str">
        <x:v>涅奥</x:v>
      </x:c>
      <x:c r="B10" s="2" t="str">
        <x:v>轰鸣海螺</x:v>
      </x:c>
      <x:c r="C10" s="28" t="n">
        <x:f>IF('全量明细'!E418="","",'全量明细'!E418)</x:f>
        <x:v>0.22823769999999996</x:v>
      </x:c>
      <x:c r="D10" s="12" t="n">
        <x:f>IF('全量明细'!F418="","",'全量明细'!F418)</x:f>
        <x:v>9469</x:v>
      </x:c>
      <x:c r="E10" s="11" t="n">
        <x:f>IF('全量明细'!G418="","",'全量明细'!G418)</x:f>
        <x:v>0.1521</x:v>
      </x:c>
      <x:c r="F10" s="11" t="n">
        <x:f>IF('全量明细'!H418="","",'全量明细'!H418)</x:f>
        <x:v>0.3444</x:v>
      </x:c>
      <x:c r="G10" s="11" t="n">
        <x:f>IF('全量明细'!I418="","",'全量明细'!I418)</x:f>
        <x:v>0.20739999999999997</x:v>
      </x:c>
      <x:c r="H10" s="14" t="n">
        <x:f>IF('全量明细'!J418="","",'全量明细'!J418)</x:f>
        <x:v>13.700000000000001</x:v>
      </x:c>
      <x:c r="I10" s="28" t="n">
        <x:f>IF('全量明细'!E907="","",'全量明细'!E907)</x:f>
        <x:v>0.29657004</x:v>
      </x:c>
      <x:c r="J10" s="12" t="n">
        <x:f>IF('全量明细'!F907="","",'全量明细'!F907)</x:f>
        <x:v>3308</x:v>
      </x:c>
      <x:c r="K10" s="11" t="n">
        <x:f>IF('全量明细'!G907="","",'全量明细'!G907)</x:f>
        <x:v>0.19140000000000001</x:v>
      </x:c>
      <x:c r="L10" s="11" t="n">
        <x:f>IF('全量明细'!H907="","",'全量明细'!H907)</x:f>
        <x:v>0.4329</x:v>
      </x:c>
      <x:c r="M10" s="11" t="n">
        <x:f>IF('全量明细'!I907="","",'全量明细'!I907)</x:f>
        <x:v>0.2643</x:v>
      </x:c>
      <x:c r="N10" s="14" t="n">
        <x:f>IF('全量明细'!J907="","",'全量明细'!J907)</x:f>
        <x:v>16.860000000000003</x:v>
      </x:c>
      <x:c r="O10" s="14" t="n">
        <x:f>IF(AND(ISNUMBER(C10),ISNUMBER(I10)),(I10-C10)*100,"")</x:f>
        <x:v>6.833234000000002</x:v>
      </x:c>
      <x:c r="P10" s="17" t="str"/>
    </x:row>
    <x:row r="11" ht="25" customHeight="1">
      <x:c r="A11" s="2" t="str">
        <x:v>涅奥</x:v>
      </x:c>
      <x:c r="B11" s="2" t="str">
        <x:v>华美发束</x:v>
      </x:c>
      <x:c r="C11" s="28" t="n">
        <x:f>IF('全量明细'!E403="","",'全量明细'!E403)</x:f>
        <x:v>0.23896768000000002</x:v>
      </x:c>
      <x:c r="D11" s="12" t="n">
        <x:f>IF('全量明细'!F403="","",'全量明细'!F403)</x:f>
        <x:v>9700</x:v>
      </x:c>
      <x:c r="E11" s="11" t="n">
        <x:f>IF('全量明细'!G403="","",'全量明细'!G403)</x:f>
        <x:v>0.7568</x:v>
      </x:c>
      <x:c r="F11" s="11" t="n">
        <x:f>IF('全量明细'!H403="","",'全量明细'!H403)</x:f>
        <x:v>0.2396</x:v>
      </x:c>
      <x:c r="G11" s="11" t="n">
        <x:f>IF('全量明细'!I403="","",'全量明细'!I403)</x:f>
        <x:v>0.237</x:v>
      </x:c>
      <x:c r="H11" s="14" t="n">
        <x:f>IF('全量明细'!J403="","",'全量明细'!J403)</x:f>
        <x:v>0.2600000000000019</x:v>
      </x:c>
      <x:c r="I11" s="28" t="n">
        <x:f>IF('全量明细'!E913="","",'全量明细'!E913)</x:f>
        <x:v>0.2904055</x:v>
      </x:c>
      <x:c r="J11" s="12" t="n">
        <x:f>IF('全量明细'!F913="","",'全量明细'!F913)</x:f>
        <x:v>2879</x:v>
      </x:c>
      <x:c r="K11" s="11" t="n">
        <x:f>IF('全量明细'!G913="","",'全量明细'!G913)</x:f>
        <x:v>0.7506</x:v>
      </x:c>
      <x:c r="L11" s="11" t="n">
        <x:f>IF('全量明细'!H913="","",'全量明细'!H913)</x:f>
        <x:v>0.2823</x:v>
      </x:c>
      <x:c r="M11" s="11" t="n">
        <x:f>IF('全量明细'!I913="","",'全量明细'!I913)</x:f>
        <x:v>0.3148</x:v>
      </x:c>
      <x:c r="N11" s="14" t="n">
        <x:f>IF('全量明细'!J913="","",'全量明细'!J913)</x:f>
        <x:v>-3.2500000000000027</x:v>
      </x:c>
      <x:c r="O11" s="14" t="n">
        <x:f>IF(AND(ISNUMBER(C11),ISNUMBER(I11)),(I11-C11)*100,"")</x:f>
        <x:v>5.143781999999996</x:v>
      </x:c>
      <x:c r="P11" s="17" t="str"/>
    </x:row>
    <x:row r="12" ht="25" customHeight="1">
      <x:c r="A12" s="2" t="str">
        <x:v>涅奥</x:v>
      </x:c>
      <x:c r="B12" s="2" t="str">
        <x:v>金色珍珠</x:v>
      </x:c>
      <x:c r="C12" s="28" t="n">
        <x:f>IF('全量明细'!E408="","",'全量明细'!E408)</x:f>
        <x:v>0.236174</x:v>
      </x:c>
      <x:c r="D12" s="12" t="n">
        <x:f>IF('全量明细'!F408="","",'全量明细'!F408)</x:f>
        <x:v>8650</x:v>
      </x:c>
      <x:c r="E12" s="11" t="n">
        <x:f>IF('全量明细'!G408="","",'全量明细'!G408)</x:f>
        <x:v>0.365</x:v>
      </x:c>
      <x:c r="F12" s="11" t="n">
        <x:f>IF('全量明细'!H408="","",'全量明细'!H408)</x:f>
        <x:v>0.2664</x:v>
      </x:c>
      <x:c r="G12" s="11" t="n">
        <x:f>IF('全量明细'!I408="","",'全量明细'!I408)</x:f>
        <x:v>0.2188</x:v>
      </x:c>
      <x:c r="H12" s="14" t="n">
        <x:f>IF('全量明细'!J408="","",'全量明细'!J408)</x:f>
        <x:v>4.760000000000003</x:v>
      </x:c>
      <x:c r="I12" s="28" t="n">
        <x:f>IF('全量明细'!E924="","",'全量明细'!E924)</x:f>
        <x:v>0.2796596</x:v>
      </x:c>
      <x:c r="J12" s="12" t="n">
        <x:f>IF('全量明细'!F924="","",'全量明细'!F924)</x:f>
        <x:v>3161</x:v>
      </x:c>
      <x:c r="K12" s="11" t="n">
        <x:f>IF('全量明细'!G924="","",'全量明细'!G924)</x:f>
        <x:v>0.4211</x:v>
      </x:c>
      <x:c r="L12" s="11" t="n">
        <x:f>IF('全量明细'!H924="","",'全量明细'!H924)</x:f>
        <x:v>0.3005</x:v>
      </x:c>
      <x:c r="M12" s="11" t="n">
        <x:f>IF('全量明细'!I924="","",'全量明细'!I924)</x:f>
        <x:v>0.2645</x:v>
      </x:c>
      <x:c r="N12" s="14" t="n">
        <x:f>IF('全量明细'!J924="","",'全量明细'!J924)</x:f>
        <x:v>3.599999999999998</x:v>
      </x:c>
      <x:c r="O12" s="14" t="n">
        <x:f>IF(AND(ISNUMBER(C12),ISNUMBER(I12)),(I12-C12)*100,"")</x:f>
        <x:v>4.348560000000001</x:v>
      </x:c>
      <x:c r="P12" s="17" t="str"/>
    </x:row>
    <x:row r="13" ht="25" customHeight="1">
      <x:c r="A13" s="2" t="str">
        <x:v>涅奥</x:v>
      </x:c>
      <x:c r="B13" s="2" t="str">
        <x:v>精准剪刀</x:v>
      </x:c>
      <x:c r="C13" s="28" t="n">
        <x:f>IF('全量明细'!E405="","",'全量明细'!E405)</x:f>
        <x:v>0.23778639999999998</x:v>
      </x:c>
      <x:c r="D13" s="12" t="n">
        <x:f>IF('全量明细'!F405="","",'全量明细'!F405)</x:f>
        <x:v>8149</x:v>
      </x:c>
      <x:c r="E13" s="11" t="n">
        <x:f>IF('全量明细'!G405="","",'全量明细'!G405)</x:f>
        <x:v>0.1115</x:v>
      </x:c>
      <x:c r="F13" s="11" t="n">
        <x:f>IF('全量明细'!H405="","",'全量明细'!H405)</x:f>
        <x:v>0.2321</x:v>
      </x:c>
      <x:c r="G13" s="11" t="n">
        <x:f>IF('全量明细'!I405="","",'全量明细'!I405)</x:f>
        <x:v>0.23850000000000002</x:v>
      </x:c>
      <x:c r="H13" s="14" t="n">
        <x:f>IF('全量明细'!J405="","",'全量明细'!J405)</x:f>
        <x:v>-0.6400000000000017</x:v>
      </x:c>
      <x:c r="I13" s="28" t="n">
        <x:f>IF('全量明细'!E920="","",'全量明细'!E920)</x:f>
        <x:v>0.281264</x:v>
      </x:c>
      <x:c r="J13" s="12" t="n">
        <x:f>IF('全量明细'!F920="","",'全量明细'!F920)</x:f>
        <x:v>3029</x:v>
      </x:c>
      <x:c r="K13" s="11" t="n">
        <x:f>IF('全量明细'!G920="","",'全量明细'!G920)</x:f>
        <x:v>0.1509</x:v>
      </x:c>
      <x:c r="L13" s="11" t="n">
        <x:f>IF('全量明细'!H920="","",'全量明细'!H920)</x:f>
        <x:v>0.2473</x:v>
      </x:c>
      <x:c r="M13" s="11" t="n">
        <x:f>IF('全量明细'!I920="","",'全量明细'!I920)</x:f>
        <x:v>0.2873</x:v>
      </x:c>
      <x:c r="N13" s="14" t="n">
        <x:f>IF('全量明细'!J920="","",'全量明细'!J920)</x:f>
        <x:v>-4.000000000000001</x:v>
      </x:c>
      <x:c r="O13" s="14" t="n">
        <x:f>IF(AND(ISNUMBER(C13),ISNUMBER(I13)),(I13-C13)*100,"")</x:f>
        <x:v>4.347760000000004</x:v>
      </x:c>
      <x:c r="P13" s="17" t="str"/>
    </x:row>
    <x:row r="14" ht="64" customHeight="1">
      <x:c r="A14" s="21" t="str">
        <x:v>涅奥</x:v>
      </x:c>
      <x:c r="B14" s="21" t="str">
        <x:v>巨大卷轴</x:v>
      </x:c>
      <x:c r="C14" s="28" t="n">
        <x:f>IF('全量明细'!E401="","",'全量明细'!E401)</x:f>
        <x:v>0.3125</x:v>
      </x:c>
      <x:c r="D14" s="12" t="n">
        <x:f>IF('全量明细'!F401="","",'全量明细'!F401)</x:f>
        <x:v>16</x:v>
      </x:c>
      <x:c r="E14" s="11" t="str">
        <x:f>IF('全量明细'!G401="","",'全量明细'!G401)</x:f>
      </x:c>
      <x:c r="F14" s="11" t="str">
        <x:f>IF('全量明细'!H401="","",'全量明细'!H401)</x:f>
      </x:c>
      <x:c r="G14" s="11" t="n">
        <x:f>IF('全量明细'!I401="","",'全量明细'!I401)</x:f>
        <x:v>0.3125</x:v>
      </x:c>
      <x:c r="H14" s="14" t="str">
        <x:f>IF('全量明细'!J401="","",'全量明细'!J401)</x:f>
      </x:c>
      <x:c r="I14" s="28"/>
      <x:c r="J14" s="12"/>
      <x:c r="K14" s="11"/>
      <x:c r="L14" s="11"/>
      <x:c r="M14" s="11"/>
      <x:c r="N14" s="14"/>
      <x:c r="O14" s="14" t="str">
        <x:f>IF(AND(ISNUMBER(C14),ISNUMBER(I14)),(I14-C14)*100,"")</x:f>
      </x:c>
      <x:c r="P14" s="17" t="str">
        <x:v>出现次数&lt;100；一组占比显示为零，其胜率及选跳差留空</x:v>
      </x:c>
    </x:row>
    <x:row r="15" ht="25" customHeight="1">
      <x:c r="A15" s="2" t="str">
        <x:v>涅奥</x:v>
      </x:c>
      <x:c r="B15" s="2" t="str">
        <x:v>巨大扭蛋</x:v>
      </x:c>
      <x:c r="C15" s="28" t="n">
        <x:f>IF('全量明细'!E413="","",'全量明细'!E413)</x:f>
        <x:v>0.23071792999999996</x:v>
      </x:c>
      <x:c r="D15" s="12" t="n">
        <x:f>IF('全量明细'!F413="","",'全量明细'!F413)</x:f>
        <x:v>8336</x:v>
      </x:c>
      <x:c r="E15" s="11" t="n">
        <x:f>IF('全量明细'!G413="","",'全量明细'!G413)</x:f>
        <x:v>0.2939</x:v>
      </x:c>
      <x:c r="F15" s="11" t="n">
        <x:f>IF('全量明细'!H413="","",'全量明细'!H413)</x:f>
        <x:v>0.2298</x:v>
      </x:c>
      <x:c r="G15" s="11" t="n">
        <x:f>IF('全量明细'!I413="","",'全量明细'!I413)</x:f>
        <x:v>0.2311</x:v>
      </x:c>
      <x:c r="H15" s="14" t="n">
        <x:f>IF('全量明细'!J413="","",'全量明细'!J413)</x:f>
        <x:v>-0.12999999999999956</x:v>
      </x:c>
      <x:c r="I15" s="28" t="n">
        <x:f>IF('全量明细'!E900="","",'全量明细'!E900)</x:f>
        <x:v>0.31977365</x:v>
      </x:c>
      <x:c r="J15" s="12" t="n">
        <x:f>IF('全量明细'!F900="","",'全量明细'!F900)</x:f>
        <x:v>2452</x:v>
      </x:c>
      <x:c r="K15" s="11" t="n">
        <x:f>IF('全量明细'!G900="","",'全量明细'!G900)</x:f>
        <x:v>0.2957</x:v>
      </x:c>
      <x:c r="L15" s="11" t="n">
        <x:f>IF('全量明细'!H900="","",'全量明细'!H900)</x:f>
        <x:v>0.3159</x:v>
      </x:c>
      <x:c r="M15" s="11" t="n">
        <x:f>IF('全量明细'!I900="","",'全量明细'!I900)</x:f>
        <x:v>0.3214</x:v>
      </x:c>
      <x:c r="N15" s="14" t="n">
        <x:f>IF('全量明细'!J900="","",'全量明细'!J900)</x:f>
        <x:v>-0.5500000000000005</x:v>
      </x:c>
      <x:c r="O15" s="14" t="n">
        <x:f>IF(AND(ISNUMBER(C15),ISNUMBER(I15)),(I15-C15)*100,"")</x:f>
        <x:v>8.905572000000006</x:v>
      </x:c>
      <x:c r="P15" s="17" t="str"/>
    </x:row>
    <x:row r="16" ht="25" customHeight="1">
      <x:c r="A16" s="2" t="str">
        <x:v>涅奥</x:v>
      </x:c>
      <x:c r="B16" s="2" t="str">
        <x:v>卷轴箱</x:v>
      </x:c>
      <x:c r="C16" s="28" t="n">
        <x:f>IF('全量明细'!E423="","",'全量明细'!E423)</x:f>
        <x:v>0.22322142</x:v>
      </x:c>
      <x:c r="D16" s="12" t="n">
        <x:f>IF('全量明细'!F423="","",'全量明细'!F423)</x:f>
        <x:v>9302</x:v>
      </x:c>
      <x:c r="E16" s="11" t="n">
        <x:f>IF('全量明细'!G423="","",'全量明细'!G423)</x:f>
        <x:v>0.3054</x:v>
      </x:c>
      <x:c r="F16" s="11" t="n">
        <x:f>IF('全量明细'!H423="","",'全量明细'!H423)</x:f>
        <x:v>0.2144</x:v>
      </x:c>
      <x:c r="G16" s="11" t="n">
        <x:f>IF('全量明细'!I423="","",'全量明细'!I423)</x:f>
        <x:v>0.2271</x:v>
      </x:c>
      <x:c r="H16" s="14" t="n">
        <x:f>IF('全量明细'!J423="","",'全量明细'!J423)</x:f>
        <x:v>-1.269999999999999</x:v>
      </x:c>
      <x:c r="I16" s="28" t="n">
        <x:f>IF('全量明细'!E923="","",'全量明细'!E923)</x:f>
        <x:v>0.28000695999999997</x:v>
      </x:c>
      <x:c r="J16" s="12" t="n">
        <x:f>IF('全量明细'!F923="","",'全量明细'!F923)</x:f>
        <x:v>3336</x:v>
      </x:c>
      <x:c r="K16" s="11" t="n">
        <x:f>IF('全量明细'!G923="","",'全量明细'!G923)</x:f>
        <x:v>0.3336</x:v>
      </x:c>
      <x:c r="L16" s="11" t="n">
        <x:f>IF('全量明细'!H923="","",'全量明细'!H923)</x:f>
        <x:v>0.2974</x:v>
      </x:c>
      <x:c r="M16" s="11" t="n">
        <x:f>IF('全量明细'!I923="","",'全量明细'!I923)</x:f>
        <x:v>0.2713</x:v>
      </x:c>
      <x:c r="N16" s="14" t="n">
        <x:f>IF('全量明细'!J923="","",'全量明细'!J923)</x:f>
        <x:v>2.610000000000001</x:v>
      </x:c>
      <x:c r="O16" s="14" t="n">
        <x:f>IF(AND(ISNUMBER(C16),ISNUMBER(I16)),(I16-C16)*100,"")</x:f>
        <x:v>5.6785539999999965</x:v>
      </x:c>
      <x:c r="P16" s="17" t="str"/>
    </x:row>
    <x:row r="17" ht="25" customHeight="1">
      <x:c r="A17" s="2" t="str">
        <x:v>涅奥</x:v>
      </x:c>
      <x:c r="B17" s="2" t="str">
        <x:v>涅奥的护符</x:v>
      </x:c>
      <x:c r="C17" s="28" t="n">
        <x:f>IF('全量明细'!E409="","",'全量明细'!E409)</x:f>
        <x:v>0.23314079999999998</x:v>
      </x:c>
      <x:c r="D17" s="12" t="n">
        <x:f>IF('全量明细'!F409="","",'全量明细'!F409)</x:f>
        <x:v>4623</x:v>
      </x:c>
      <x:c r="E17" s="11" t="n">
        <x:f>IF('全量明细'!G409="","",'全量明细'!G409)</x:f>
        <x:v>0.077</x:v>
      </x:c>
      <x:c r="F17" s="11" t="n">
        <x:f>IF('全量明细'!H409="","",'全量明细'!H409)</x:f>
        <x:v>0.2612</x:v>
      </x:c>
      <x:c r="G17" s="11" t="n">
        <x:f>IF('全量明细'!I409="","",'全量明细'!I409)</x:f>
        <x:v>0.23079999999999998</x:v>
      </x:c>
      <x:c r="H17" s="14" t="n">
        <x:f>IF('全量明细'!J409="","",'全量明细'!J409)</x:f>
        <x:v>3.040000000000001</x:v>
      </x:c>
      <x:c r="I17" s="28" t="n">
        <x:f>IF('全量明细'!E914="","",'全量明细'!E914)</x:f>
        <x:v>0.28963167999999995</x:v>
      </x:c>
      <x:c r="J17" s="12" t="n">
        <x:f>IF('全量明细'!F914="","",'全量明细'!F914)</x:f>
        <x:v>1692</x:v>
      </x:c>
      <x:c r="K17" s="11" t="n">
        <x:f>IF('全量明细'!G914="","",'全量明细'!G914)</x:f>
        <x:v>0.1152</x:v>
      </x:c>
      <x:c r="L17" s="11" t="n">
        <x:f>IF('全量明细'!H914="","",'全量明细'!H914)</x:f>
        <x:v>0.359</x:v>
      </x:c>
      <x:c r="M17" s="11" t="n">
        <x:f>IF('全量明细'!I914="","",'全量明细'!I914)</x:f>
        <x:v>0.28059999999999996</x:v>
      </x:c>
      <x:c r="N17" s="14" t="n">
        <x:f>IF('全量明细'!J914="","",'全量明细'!J914)</x:f>
        <x:v>7.8400000000000025</x:v>
      </x:c>
      <x:c r="O17" s="14" t="n">
        <x:f>IF(AND(ISNUMBER(C17),ISNUMBER(I17)),(I17-C17)*100,"")</x:f>
        <x:v>5.649087999999996</x:v>
      </x:c>
      <x:c r="P17" s="17" t="str"/>
    </x:row>
    <x:row r="18" ht="25" customHeight="1">
      <x:c r="A18" s="2" t="str">
        <x:v>涅奥</x:v>
      </x:c>
      <x:c r="B18" s="2" t="str">
        <x:v>涅奥的苦痛</x:v>
      </x:c>
      <x:c r="C18" s="28" t="n">
        <x:f>IF('全量明细'!E412="","",'全量明细'!E412)</x:f>
        <x:v>0.23089540000000003</x:v>
      </x:c>
      <x:c r="D18" s="12" t="n">
        <x:f>IF('全量明细'!F412="","",'全量明细'!F412)</x:f>
        <x:v>9378</x:v>
      </x:c>
      <x:c r="E18" s="11" t="n">
        <x:f>IF('全量明细'!G412="","",'全量明细'!G412)</x:f>
        <x:v>0.0858</x:v>
      </x:c>
      <x:c r="F18" s="11" t="n">
        <x:f>IF('全量明细'!H412="","",'全量明细'!H412)</x:f>
        <x:v>0.3342</x:v>
      </x:c>
      <x:c r="G18" s="11" t="n">
        <x:f>IF('全量明细'!I412="","",'全量明细'!I412)</x:f>
        <x:v>0.2212</x:v>
      </x:c>
      <x:c r="H18" s="14" t="n">
        <x:f>IF('全量明细'!J412="","",'全量明细'!J412)</x:f>
        <x:v>11.299999999999999</x:v>
      </x:c>
      <x:c r="I18" s="28" t="n">
        <x:f>IF('全量明细'!E908="","",'全量明细'!E908)</x:f>
        <x:v>0.29552274999999995</x:v>
      </x:c>
      <x:c r="J18" s="12" t="n">
        <x:f>IF('全量明细'!F908="","",'全量明细'!F908)</x:f>
        <x:v>3275</x:v>
      </x:c>
      <x:c r="K18" s="11" t="n">
        <x:f>IF('全量明细'!G908="","",'全量明细'!G908)</x:f>
        <x:v>0.1285</x:v>
      </x:c>
      <x:c r="L18" s="11" t="n">
        <x:f>IF('全量明细'!H908="","",'全量明细'!H908)</x:f>
        <x:v>0.4537</x:v>
      </x:c>
      <x:c r="M18" s="11" t="n">
        <x:f>IF('全量明细'!I908="","",'全量明细'!I908)</x:f>
        <x:v>0.2722</x:v>
      </x:c>
      <x:c r="N18" s="14" t="n">
        <x:f>IF('全量明细'!J908="","",'全量明细'!J908)</x:f>
        <x:v>18.15</x:v>
      </x:c>
      <x:c r="O18" s="14" t="n">
        <x:f>IF(AND(ISNUMBER(C18),ISNUMBER(I18)),(I18-C18)*100,"")</x:f>
        <x:v>6.4627349999999915</x:v>
      </x:c>
      <x:c r="P18" s="17" t="str"/>
    </x:row>
    <x:row r="19" ht="25" customHeight="1">
      <x:c r="A19" s="2" t="str">
        <x:v>涅奥</x:v>
      </x:c>
      <x:c r="B19" s="2" t="str">
        <x:v>涅奥的牺牲</x:v>
      </x:c>
      <x:c r="C19" s="28"/>
      <x:c r="D19" s="12"/>
      <x:c r="E19" s="11"/>
      <x:c r="F19" s="11"/>
      <x:c r="G19" s="11"/>
      <x:c r="H19" s="14"/>
      <x:c r="I19" s="28" t="n">
        <x:f>IF('全量明细'!E905="","",'全量明细'!E905)</x:f>
        <x:v>0.29787208</x:v>
      </x:c>
      <x:c r="J19" s="12" t="n">
        <x:f>IF('全量明细'!F905="","",'全量明细'!F905)</x:f>
        <x:v>2343</x:v>
      </x:c>
      <x:c r="K19" s="11" t="n">
        <x:f>IF('全量明细'!G905="","",'全量明细'!G905)</x:f>
        <x:v>0.1592</x:v>
      </x:c>
      <x:c r="L19" s="11" t="n">
        <x:f>IF('全量明细'!H905="","",'全量明细'!H905)</x:f>
        <x:v>0.4155</x:v>
      </x:c>
      <x:c r="M19" s="11" t="n">
        <x:f>IF('全量明细'!I905="","",'全量明细'!I905)</x:f>
        <x:v>0.2756</x:v>
      </x:c>
      <x:c r="N19" s="14" t="n">
        <x:f>IF('全量明细'!J905="","",'全量明细'!J905)</x:f>
        <x:v>13.989999999999997</x:v>
      </x:c>
      <x:c r="O19" s="14" t="str">
        <x:f>IF(AND(ISNUMBER(C19),ISNUMBER(I19)),(I19-C19)*100,"")</x:f>
      </x:c>
      <x:c r="P19" s="17" t="str"/>
    </x:row>
    <x:row r="20" ht="25" customHeight="1">
      <x:c r="A20" s="2" t="str">
        <x:v>涅奥</x:v>
      </x:c>
      <x:c r="B20" s="2" t="str">
        <x:v>涅奥骨骰</x:v>
      </x:c>
      <x:c r="C20" s="28" t="n">
        <x:f>IF('全量明细'!E421="","",'全量明细'!E421)</x:f>
        <x:v>0.22519200000000003</x:v>
      </x:c>
      <x:c r="D20" s="12" t="n">
        <x:f>IF('全量明细'!F421="","",'全量明细'!F421)</x:f>
        <x:v>8594</x:v>
      </x:c>
      <x:c r="E20" s="11" t="n">
        <x:f>IF('全量明细'!G421="","",'全量明细'!G421)</x:f>
        <x:v>0.49</x:v>
      </x:c>
      <x:c r="F20" s="11" t="n">
        <x:f>IF('全量明细'!H421="","",'全量明细'!H421)</x:f>
        <x:v>0.195</x:v>
      </x:c>
      <x:c r="G20" s="11" t="n">
        <x:f>IF('全量明细'!I421="","",'全量明细'!I421)</x:f>
        <x:v>0.25420000000000004</x:v>
      </x:c>
      <x:c r="H20" s="14" t="n">
        <x:f>IF('全量明细'!J421="","",'全量明细'!J421)</x:f>
        <x:v>-5.9200000000000035</x:v>
      </x:c>
      <x:c r="I20" s="28" t="n">
        <x:f>IF('全量明细'!E927="","",'全量明细'!E927)</x:f>
        <x:v>0.2708534</x:v>
      </x:c>
      <x:c r="J20" s="12" t="n">
        <x:f>IF('全量明细'!F927="","",'全量明细'!F927)</x:f>
        <x:v>2577</x:v>
      </x:c>
      <x:c r="K20" s="11" t="n">
        <x:f>IF('全量明细'!G927="","",'全量明细'!G927)</x:f>
        <x:v>0.48200000000000004</x:v>
      </x:c>
      <x:c r="L20" s="11" t="n">
        <x:f>IF('全量明细'!H927="","",'全量明细'!H927)</x:f>
        <x:v>0.2391</x:v>
      </x:c>
      <x:c r="M20" s="11" t="n">
        <x:f>IF('全量明细'!I927="","",'全量明细'!I927)</x:f>
        <x:v>0.3004</x:v>
      </x:c>
      <x:c r="N20" s="14" t="n">
        <x:f>IF('全量明细'!J927="","",'全量明细'!J927)</x:f>
        <x:v>-6.129999999999999</x:v>
      </x:c>
      <x:c r="O20" s="14" t="n">
        <x:f>IF(AND(ISNUMBER(C20),ISNUMBER(I20)),(I20-C20)*100,"")</x:f>
        <x:v>4.566139999999999</x:v>
      </x:c>
      <x:c r="P20" s="17" t="str"/>
    </x:row>
    <x:row r="21" ht="25" customHeight="1">
      <x:c r="A21" s="2" t="str">
        <x:v>涅奥</x:v>
      </x:c>
      <x:c r="B21" s="2" t="str">
        <x:v>铅制镇纸</x:v>
      </x:c>
      <x:c r="C21" s="28" t="n">
        <x:f>IF('全量明细'!E415="","",'全量明细'!E415)</x:f>
        <x:v>0.22956532999999998</x:v>
      </x:c>
      <x:c r="D21" s="12" t="n">
        <x:f>IF('全量明细'!F415="","",'全量明细'!F415)</x:f>
        <x:v>9365</x:v>
      </x:c>
      <x:c r="E21" s="11" t="n">
        <x:f>IF('全量明细'!G415="","",'全量明细'!G415)</x:f>
        <x:v>0.3193</x:v>
      </x:c>
      <x:c r="F21" s="11" t="n">
        <x:f>IF('全量明细'!H415="","",'全量明细'!H415)</x:f>
        <x:v>0.2555</x:v>
      </x:c>
      <x:c r="G21" s="11" t="n">
        <x:f>IF('全量明细'!I415="","",'全量明细'!I415)</x:f>
        <x:v>0.21739999999999998</x:v>
      </x:c>
      <x:c r="H21" s="14" t="n">
        <x:f>IF('全量明细'!J415="","",'全量明细'!J415)</x:f>
        <x:v>3.8100000000000023</x:v>
      </x:c>
      <x:c r="I21" s="28" t="n">
        <x:f>IF('全量明细'!E922="","",'全量明细'!E922)</x:f>
        <x:v>0.28015506</x:v>
      </x:c>
      <x:c r="J21" s="12" t="n">
        <x:f>IF('全量明细'!F922="","",'全量明细'!F922)</x:f>
        <x:v>3452</x:v>
      </x:c>
      <x:c r="K21" s="11" t="n">
        <x:f>IF('全量明细'!G922="","",'全量明细'!G922)</x:f>
        <x:v>0.3271</x:v>
      </x:c>
      <x:c r="L21" s="11" t="n">
        <x:f>IF('全量明细'!H922="","",'全量明细'!H922)</x:f>
        <x:v>0.2994</x:v>
      </x:c>
      <x:c r="M21" s="11" t="n">
        <x:f>IF('全量明细'!I922="","",'全量明细'!I922)</x:f>
        <x:v>0.2708</x:v>
      </x:c>
      <x:c r="N21" s="14" t="n">
        <x:f>IF('全量明细'!J922="","",'全量明细'!J922)</x:f>
        <x:v>2.860000000000001</x:v>
      </x:c>
      <x:c r="O21" s="14" t="n">
        <x:f>IF(AND(ISNUMBER(C21),ISNUMBER(I21)),(I21-C21)*100,"")</x:f>
        <x:v>5.058973000000003</x:v>
      </x:c>
      <x:c r="P21" s="17" t="str"/>
    </x:row>
    <x:row r="22" ht="25" customHeight="1">
      <x:c r="A22" s="2" t="str">
        <x:v>涅奥</x:v>
      </x:c>
      <x:c r="B22" s="2" t="str">
        <x:v>熔岩石</x:v>
      </x:c>
      <x:c r="C22" s="28" t="n">
        <x:f>IF('全量明细'!E411="","",'全量明细'!E411)</x:f>
        <x:v>0.23124674999999997</x:v>
      </x:c>
      <x:c r="D22" s="12" t="n">
        <x:f>IF('全量明细'!F411="","",'全量明细'!F411)</x:f>
        <x:v>4147</x:v>
      </x:c>
      <x:c r="E22" s="11" t="n">
        <x:f>IF('全量明细'!G411="","",'全量明细'!G411)</x:f>
        <x:v>0.1025</x:v>
      </x:c>
      <x:c r="F22" s="11" t="n">
        <x:f>IF('全量明细'!H411="","",'全量明细'!H411)</x:f>
        <x:v>0.2588</x:v>
      </x:c>
      <x:c r="G22" s="11" t="n">
        <x:f>IF('全量明细'!I411="","",'全量明细'!I411)</x:f>
        <x:v>0.2281</x:v>
      </x:c>
      <x:c r="H22" s="14" t="n">
        <x:f>IF('全量明细'!J411="","",'全量明细'!J411)</x:f>
        <x:v>3.0699999999999976</x:v>
      </x:c>
      <x:c r="I22" s="28" t="n">
        <x:f>IF('全量明细'!E925="","",'全量明细'!E925)</x:f>
        <x:v>0.27878928</x:v>
      </x:c>
      <x:c r="J22" s="12" t="n">
        <x:f>IF('全量明细'!F925="","",'全量明细'!F925)</x:f>
        <x:v>1582</x:v>
      </x:c>
      <x:c r="K22" s="11" t="n">
        <x:f>IF('全量明细'!G925="","",'全量明细'!G925)</x:f>
        <x:v>0.1308</x:v>
      </x:c>
      <x:c r="L22" s="11" t="n">
        <x:f>IF('全量明细'!H925="","",'全量明细'!H925)</x:f>
        <x:v>0.3671</x:v>
      </x:c>
      <x:c r="M22" s="11" t="n">
        <x:f>IF('全量明细'!I925="","",'全量明细'!I925)</x:f>
        <x:v>0.2655</x:v>
      </x:c>
      <x:c r="N22" s="14" t="n">
        <x:f>IF('全量明细'!J925="","",'全量明细'!J925)</x:f>
        <x:v>10.159999999999997</x:v>
      </x:c>
      <x:c r="O22" s="14" t="n">
        <x:f>IF(AND(ISNUMBER(C22),ISNUMBER(I22)),(I22-C22)*100,"")</x:f>
        <x:v>4.754253</x:v>
      </x:c>
      <x:c r="P22" s="17" t="str"/>
    </x:row>
    <x:row r="23" ht="25" customHeight="1">
      <x:c r="A23" s="2" t="str">
        <x:v>涅奥</x:v>
      </x:c>
      <x:c r="B23" s="2" t="str">
        <x:v>失物盒</x:v>
      </x:c>
      <x:c r="C23" s="28" t="n">
        <x:f>IF('全量明细'!E424="","",'全量明细'!E424)</x:f>
        <x:v>0.22316927999999997</x:v>
      </x:c>
      <x:c r="D23" s="12" t="n">
        <x:f>IF('全量明细'!F424="","",'全量明细'!F424)</x:f>
        <x:v>9382</x:v>
      </x:c>
      <x:c r="E23" s="11" t="n">
        <x:f>IF('全量明细'!G424="","",'全量明细'!G424)</x:f>
        <x:v>0.2126</x:v>
      </x:c>
      <x:c r="F23" s="11" t="n">
        <x:f>IF('全量明细'!H424="","",'全量明细'!H424)</x:f>
        <x:v>0.2175</x:v>
      </x:c>
      <x:c r="G23" s="11" t="n">
        <x:f>IF('全量明细'!I424="","",'全量明细'!I424)</x:f>
        <x:v>0.22469999999999998</x:v>
      </x:c>
      <x:c r="H23" s="14" t="n">
        <x:f>IF('全量明细'!J424="","",'全量明细'!J424)</x:f>
        <x:v>-0.7199999999999984</x:v>
      </x:c>
      <x:c r="I23" s="28" t="n">
        <x:f>IF('全量明细'!E926="","",'全量明细'!E926)</x:f>
        <x:v>0.27706951999999996</x:v>
      </x:c>
      <x:c r="J23" s="12" t="n">
        <x:f>IF('全量明细'!F926="","",'全量明细'!F926)</x:f>
        <x:v>3035</x:v>
      </x:c>
      <x:c r="K23" s="11" t="n">
        <x:f>IF('全量明细'!G926="","",'全量明细'!G926)</x:f>
        <x:v>0.2257</x:v>
      </x:c>
      <x:c r="L23" s="11" t="n">
        <x:f>IF('全量明细'!H926="","",'全量明细'!H926)</x:f>
        <x:v>0.2876</x:v>
      </x:c>
      <x:c r="M23" s="11" t="n">
        <x:f>IF('全量明细'!I926="","",'全量明细'!I926)</x:f>
        <x:v>0.27399999999999997</x:v>
      </x:c>
      <x:c r="N23" s="14" t="n">
        <x:f>IF('全量明细'!J926="","",'全量明细'!J926)</x:f>
        <x:v>1.3600000000000056</x:v>
      </x:c>
      <x:c r="O23" s="14" t="n">
        <x:f>IF(AND(ISNUMBER(C23),ISNUMBER(I23)),(I23-C23)*100,"")</x:f>
        <x:v>5.390023999999999</x:v>
      </x:c>
      <x:c r="P23" s="17" t="str"/>
    </x:row>
    <x:row r="24" ht="25" customHeight="1">
      <x:c r="A24" s="2" t="str">
        <x:v>涅奥</x:v>
      </x:c>
      <x:c r="B24" s="2" t="str">
        <x:v>石炉加湿器</x:v>
      </x:c>
      <x:c r="C24" s="28" t="n">
        <x:f>IF('全量明细'!E407="","",'全量明细'!E407)</x:f>
        <x:v>0.2375117</x:v>
      </x:c>
      <x:c r="D24" s="12" t="n">
        <x:f>IF('全量明细'!F407="","",'全量明细'!F407)</x:f>
        <x:v>4757</x:v>
      </x:c>
      <x:c r="E24" s="11" t="n">
        <x:f>IF('全量明细'!G407="","",'全量明细'!G407)</x:f>
        <x:v>0.1326</x:v>
      </x:c>
      <x:c r="F24" s="11" t="n">
        <x:f>IF('全量明细'!H407="","",'全量明细'!H407)</x:f>
        <x:v>0.2631</x:v>
      </x:c>
      <x:c r="G24" s="11" t="n">
        <x:f>IF('全量明细'!I407="","",'全量明细'!I407)</x:f>
        <x:v>0.2336</x:v>
      </x:c>
      <x:c r="H24" s="14" t="n">
        <x:f>IF('全量明细'!J407="","",'全量明细'!J407)</x:f>
        <x:v>2.9499999999999997</x:v>
      </x:c>
      <x:c r="I24" s="28" t="n">
        <x:f>IF('全量明细'!E916="","",'全量明细'!E916)</x:f>
        <x:v>0.28810330000000006</x:v>
      </x:c>
      <x:c r="J24" s="12" t="n">
        <x:f>IF('全量明细'!F916="","",'全量明细'!F916)</x:f>
        <x:v>1645</x:v>
      </x:c>
      <x:c r="K24" s="11" t="n">
        <x:f>IF('全量明细'!G916="","",'全量明细'!G916)</x:f>
        <x:v>0.1094</x:v>
      </x:c>
      <x:c r="L24" s="11" t="n">
        <x:f>IF('全量明细'!H916="","",'全量明细'!H916)</x:f>
        <x:v>0.35</x:v>
      </x:c>
      <x:c r="M24" s="11" t="n">
        <x:f>IF('全量明细'!I916="","",'全量明细'!I916)</x:f>
        <x:v>0.2805</x:v>
      </x:c>
      <x:c r="N24" s="14" t="n">
        <x:f>IF('全量明细'!J916="","",'全量明细'!J916)</x:f>
        <x:v>6.949999999999995</x:v>
      </x:c>
      <x:c r="O24" s="14" t="n">
        <x:f>IF(AND(ISNUMBER(C24),ISNUMBER(I24)),(I24-C24)*100,"")</x:f>
        <x:v>5.059160000000007</x:v>
      </x:c>
      <x:c r="P24" s="17" t="str"/>
    </x:row>
    <x:row r="25" ht="25" customHeight="1">
      <x:c r="A25" s="2" t="str">
        <x:v>涅奥</x:v>
      </x:c>
      <x:c r="B25" s="2" t="str">
        <x:v>树叶药膏</x:v>
      </x:c>
      <x:c r="C25" s="28" t="n">
        <x:f>IF('全量明细'!E402="","",'全量明细'!E402)</x:f>
        <x:v>0.24214800000000003</x:v>
      </x:c>
      <x:c r="D25" s="12" t="n">
        <x:f>IF('全量明细'!F402="","",'全量明细'!F402)</x:f>
        <x:v>8958</x:v>
      </x:c>
      <x:c r="E25" s="11" t="n">
        <x:f>IF('全量明细'!G402="","",'全量明细'!G402)</x:f>
        <x:v>0.6096</x:v>
      </x:c>
      <x:c r="F25" s="11" t="n">
        <x:f>IF('全量明细'!H402="","",'全量明细'!H402)</x:f>
        <x:v>0.2441</x:v>
      </x:c>
      <x:c r="G25" s="11" t="n">
        <x:f>IF('全量明细'!I402="","",'全量明细'!I402)</x:f>
        <x:v>0.2391</x:v>
      </x:c>
      <x:c r="H25" s="14" t="n">
        <x:f>IF('全量明细'!J402="","",'全量明细'!J402)</x:f>
        <x:v>0.5000000000000004</x:v>
      </x:c>
      <x:c r="I25" s="28" t="n">
        <x:f>IF('全量明细'!E917="","",'全量明细'!E917)</x:f>
        <x:v>0.28597686</x:v>
      </x:c>
      <x:c r="J25" s="12" t="n">
        <x:f>IF('全量明细'!F917="","",'全量明细'!F917)</x:f>
        <x:v>2511</x:v>
      </x:c>
      <x:c r="K25" s="11" t="n">
        <x:f>IF('全量明细'!G917="","",'全量明细'!G917)</x:f>
        <x:v>0.5938</x:v>
      </x:c>
      <x:c r="L25" s="11" t="n">
        <x:f>IF('全量明细'!H917="","",'全量明细'!H917)</x:f>
        <x:v>0.2757</x:v>
      </x:c>
      <x:c r="M25" s="11" t="n">
        <x:f>IF('全量明细'!I917="","",'全量明细'!I917)</x:f>
        <x:v>0.301</x:v>
      </x:c>
      <x:c r="N25" s="14" t="n">
        <x:f>IF('全量明细'!J917="","",'全量明细'!J917)</x:f>
        <x:v>-2.529999999999999</x:v>
      </x:c>
      <x:c r="O25" s="14" t="n">
        <x:f>IF(AND(ISNUMBER(C25),ISNUMBER(I25)),(I25-C25)*100,"")</x:f>
        <x:v>4.382885999999997</x:v>
      </x:c>
      <x:c r="P25" s="17" t="str"/>
    </x:row>
    <x:row r="26" ht="25" customHeight="1">
      <x:c r="A26" s="2" t="str">
        <x:v>涅奥</x:v>
      </x:c>
      <x:c r="B26" s="2" t="str">
        <x:v>松动羊毛剪</x:v>
      </x:c>
      <x:c r="C26" s="28" t="n">
        <x:f>IF('全量明细'!E404="","",'全量明细'!E404)</x:f>
        <x:v>0.2381952</x:v>
      </x:c>
      <x:c r="D26" s="12" t="n">
        <x:f>IF('全量明细'!F404="","",'全量明细'!F404)</x:f>
        <x:v>8836</x:v>
      </x:c>
      <x:c r="E26" s="11" t="n">
        <x:f>IF('全量明细'!G404="","",'全量明细'!G404)</x:f>
        <x:v>0.30079999999999996</x:v>
      </x:c>
      <x:c r="F26" s="11" t="n">
        <x:f>IF('全量明细'!H404="","",'全量明细'!H404)</x:f>
        <x:v>0.23399999999999999</x:v>
      </x:c>
      <x:c r="G26" s="11" t="n">
        <x:f>IF('全量明细'!I404="","",'全量明细'!I404)</x:f>
        <x:v>0.24</x:v>
      </x:c>
      <x:c r="H26" s="14" t="n">
        <x:f>IF('全量明细'!J404="","",'全量明细'!J404)</x:f>
        <x:v>-0.6000000000000005</x:v>
      </x:c>
      <x:c r="I26" s="28" t="n">
        <x:f>IF('全量明细'!E903="","",'全量明细'!E903)</x:f>
        <x:v>0.29981631</x:v>
      </x:c>
      <x:c r="J26" s="12" t="n">
        <x:f>IF('全量明细'!F903="","",'全量明细'!F903)</x:f>
        <x:v>2495</x:v>
      </x:c>
      <x:c r="K26" s="11" t="n">
        <x:f>IF('全量明细'!G903="","",'全量明细'!G903)</x:f>
        <x:v>0.3567</x:v>
      </x:c>
      <x:c r="L26" s="11" t="n">
        <x:f>IF('全量明细'!H903="","",'全量明细'!H903)</x:f>
        <x:v>0.2865</x:v>
      </x:c>
      <x:c r="M26" s="11" t="n">
        <x:f>IF('全量明细'!I903="","",'全量明细'!I903)</x:f>
        <x:v>0.3072</x:v>
      </x:c>
      <x:c r="N26" s="14" t="n">
        <x:f>IF('全量明细'!J903="","",'全量明细'!J903)</x:f>
        <x:v>-2.0699999999999994</x:v>
      </x:c>
      <x:c r="O26" s="14" t="n">
        <x:f>IF(AND(ISNUMBER(C26),ISNUMBER(I26)),(I26-C26)*100,"")</x:f>
        <x:v>6.162110999999998</x:v>
      </x:c>
      <x:c r="P26" s="17" t="str"/>
    </x:row>
    <x:row r="27" ht="25" customHeight="1">
      <x:c r="A27" s="2" t="str">
        <x:v>涅奥</x:v>
      </x:c>
      <x:c r="B27" s="2" t="str">
        <x:v>万花筒</x:v>
      </x:c>
      <x:c r="C27" s="28" t="n">
        <x:f>IF('全量明细'!E420="","",'全量明细'!E420)</x:f>
        <x:v>0.22686616</x:v>
      </x:c>
      <x:c r="D27" s="12" t="n">
        <x:f>IF('全量明细'!F420="","",'全量明细'!F420)</x:f>
        <x:v>8887</x:v>
      </x:c>
      <x:c r="E27" s="11" t="n">
        <x:f>IF('全量明细'!G420="","",'全量明细'!G420)</x:f>
        <x:v>0.3066</x:v>
      </x:c>
      <x:c r="F27" s="11" t="n">
        <x:f>IF('全量明细'!H420="","",'全量明细'!H420)</x:f>
        <x:v>0.20440000000000003</x:v>
      </x:c>
      <x:c r="G27" s="11" t="n">
        <x:f>IF('全量明细'!I420="","",'全量明细'!I420)</x:f>
        <x:v>0.2368</x:v>
      </x:c>
      <x:c r="H27" s="14" t="n">
        <x:f>IF('全量明细'!J420="","",'全量明细'!J420)</x:f>
        <x:v>-3.2399999999999984</x:v>
      </x:c>
      <x:c r="I27" s="28" t="n">
        <x:f>IF('全量明细'!E909="","",'全量明细'!E909)</x:f>
        <x:v>0.29389508999999997</x:v>
      </x:c>
      <x:c r="J27" s="12" t="n">
        <x:f>IF('全量明细'!F909="","",'全量明细'!F909)</x:f>
        <x:v>3284</x:v>
      </x:c>
      <x:c r="K27" s="11" t="n">
        <x:f>IF('全量明细'!G909="","",'全量明细'!G909)</x:f>
        <x:v>0.3139</x:v>
      </x:c>
      <x:c r="L27" s="11" t="n">
        <x:f>IF('全量明细'!H909="","",'全量明细'!H909)</x:f>
        <x:v>0.2823</x:v>
      </x:c>
      <x:c r="M27" s="11" t="n">
        <x:f>IF('全量明细'!I909="","",'全量明细'!I909)</x:f>
        <x:v>0.2992</x:v>
      </x:c>
      <x:c r="N27" s="14" t="n">
        <x:f>IF('全量明细'!J909="","",'全量明细'!J909)</x:f>
        <x:v>-1.6900000000000026</x:v>
      </x:c>
      <x:c r="O27" s="14" t="n">
        <x:f>IF(AND(ISNUMBER(C27),ISNUMBER(I27)),(I27-C27)*100,"")</x:f>
        <x:v>6.702892999999996</x:v>
      </x:c>
      <x:c r="P27" s="17" t="str"/>
    </x:row>
    <x:row r="28" ht="25" customHeight="1">
      <x:c r="A28" s="2" t="str">
        <x:v>涅奥</x:v>
      </x:c>
      <x:c r="B28" s="2" t="str">
        <x:v>小型扭蛋</x:v>
      </x:c>
      <x:c r="C28" s="28" t="n">
        <x:f>IF('全量明细'!E422="","",'全量明细'!E422)</x:f>
        <x:v>0.22356088000000002</x:v>
      </x:c>
      <x:c r="D28" s="12" t="n">
        <x:f>IF('全量明细'!F422="","",'全量明细'!F422)</x:f>
        <x:v>4304</x:v>
      </x:c>
      <x:c r="E28" s="11" t="n">
        <x:f>IF('全量明细'!G422="","",'全量明细'!G422)</x:f>
        <x:v>0.24559999999999998</x:v>
      </x:c>
      <x:c r="F28" s="11" t="n">
        <x:f>IF('全量明细'!H422="","",'全量明细'!H422)</x:f>
        <x:v>0.25170000000000003</x:v>
      </x:c>
      <x:c r="G28" s="11" t="n">
        <x:f>IF('全量明细'!I422="","",'全量明细'!I422)</x:f>
        <x:v>0.2144</x:v>
      </x:c>
      <x:c r="H28" s="14" t="n">
        <x:f>IF('全量明细'!J422="","",'全量明细'!J422)</x:f>
        <x:v>3.7300000000000026</x:v>
      </x:c>
      <x:c r="I28" s="28" t="n">
        <x:f>IF('全量明细'!E901="","",'全量明细'!E901)</x:f>
        <x:v>0.30723988</x:v>
      </x:c>
      <x:c r="J28" s="12" t="n">
        <x:f>IF('全量明细'!F901="","",'全量明细'!F901)</x:f>
        <x:v>1611</x:v>
      </x:c>
      <x:c r="K28" s="11" t="n">
        <x:f>IF('全量明细'!G901="","",'全量明细'!G901)</x:f>
        <x:v>0.2849</x:v>
      </x:c>
      <x:c r="L28" s="11" t="n">
        <x:f>IF('全量明细'!H901="","",'全量明细'!H901)</x:f>
        <x:v>0.3224</x:v>
      </x:c>
      <x:c r="M28" s="11" t="n">
        <x:f>IF('全量明细'!I901="","",'全量明细'!I901)</x:f>
        <x:v>0.3012</x:v>
      </x:c>
      <x:c r="N28" s="14" t="n">
        <x:f>IF('全量明细'!J901="","",'全量明细'!J901)</x:f>
        <x:v>2.1199999999999997</x:v>
      </x:c>
      <x:c r="O28" s="14" t="n">
        <x:f>IF(AND(ISNUMBER(C28),ISNUMBER(I28)),(I28-C28)*100,"")</x:f>
        <x:v>8.3679</x:v>
      </x:c>
      <x:c r="P28" s="17" t="str"/>
    </x:row>
    <x:row r="29" ht="25" customHeight="1">
      <x:c r="A29" s="2" t="str">
        <x:v>涅奥</x:v>
      </x:c>
      <x:c r="B29" s="2" t="str">
        <x:v>新叶</x:v>
      </x:c>
      <x:c r="C29" s="28" t="n">
        <x:f>IF('全量明细'!E406="","",'全量明细'!E406)</x:f>
        <x:v>0.23759958</x:v>
      </x:c>
      <x:c r="D29" s="12" t="n">
        <x:f>IF('全量明细'!F406="","",'全量明细'!F406)</x:f>
        <x:v>8305</x:v>
      </x:c>
      <x:c r="E29" s="11" t="n">
        <x:f>IF('全量明细'!G406="","",'全量明细'!G406)</x:f>
        <x:v>0.37810000000000005</x:v>
      </x:c>
      <x:c r="F29" s="11" t="n">
        <x:f>IF('全量明细'!H406="","",'全量明细'!H406)</x:f>
        <x:v>0.2325</x:v>
      </x:c>
      <x:c r="G29" s="11" t="n">
        <x:f>IF('全量明细'!I406="","",'全量明细'!I406)</x:f>
        <x:v>0.2407</x:v>
      </x:c>
      <x:c r="H29" s="14" t="n">
        <x:f>IF('全量明细'!J406="","",'全量明细'!J406)</x:f>
        <x:v>-0.8199999999999985</x:v>
      </x:c>
      <x:c r="I29" s="28" t="n">
        <x:f>IF('全量明细'!E906="","",'全量明细'!E906)</x:f>
        <x:v>0.29746676</x:v>
      </x:c>
      <x:c r="J29" s="12" t="n">
        <x:f>IF('全量明细'!F906="","",'全量明细'!F906)</x:f>
        <x:v>3076</x:v>
      </x:c>
      <x:c r="K29" s="11" t="n">
        <x:f>IF('全量明细'!G906="","",'全量明细'!G906)</x:f>
        <x:v>0.4174</x:v>
      </x:c>
      <x:c r="L29" s="11" t="n">
        <x:f>IF('全量明细'!H906="","",'全量明细'!H906)</x:f>
        <x:v>0.2843</x:v>
      </x:c>
      <x:c r="M29" s="11" t="n">
        <x:f>IF('全量明细'!I906="","",'全量明细'!I906)</x:f>
        <x:v>0.3069</x:v>
      </x:c>
      <x:c r="N29" s="14" t="n">
        <x:f>IF('全量明细'!J906="","",'全量明细'!J906)</x:f>
        <x:v>-2.2600000000000007</x:v>
      </x:c>
      <x:c r="O29" s="14" t="n">
        <x:f>IF(AND(ISNUMBER(C29),ISNUMBER(I29)),(I29-C29)*100,"")</x:f>
        <x:v>5.986717999999999</x:v>
      </x:c>
      <x:c r="P29" s="17" t="str"/>
    </x:row>
    <x:row r="30" ht="25" customHeight="1">
      <x:c r="A30" s="2" t="str">
        <x:v>涅奥</x:v>
      </x:c>
      <x:c r="B30" s="2" t="str">
        <x:v>寻龙尺</x:v>
      </x:c>
      <x:c r="C30" s="28"/>
      <x:c r="D30" s="12"/>
      <x:c r="E30" s="11"/>
      <x:c r="F30" s="11"/>
      <x:c r="G30" s="11"/>
      <x:c r="H30" s="14"/>
      <x:c r="I30" s="28" t="n">
        <x:f>IF('全量明细'!E910="","",'全量明细'!E910)</x:f>
        <x:v>0.29268326</x:v>
      </x:c>
      <x:c r="J30" s="12" t="n">
        <x:f>IF('全量明细'!F910="","",'全量明细'!F910)</x:f>
        <x:v>2682</x:v>
      </x:c>
      <x:c r="K30" s="11" t="n">
        <x:f>IF('全量明细'!G910="","",'全量明细'!G910)</x:f>
        <x:v>0.44179999999999997</x:v>
      </x:c>
      <x:c r="L30" s="11" t="n">
        <x:f>IF('全量明细'!H910="","",'全量明细'!H910)</x:f>
        <x:v>0.254</x:v>
      </x:c>
      <x:c r="M30" s="11" t="n">
        <x:f>IF('全量明细'!I910="","",'全量明细'!I910)</x:f>
        <x:v>0.3233</x:v>
      </x:c>
      <x:c r="N30" s="14" t="n">
        <x:f>IF('全量明细'!J910="","",'全量明细'!J910)</x:f>
        <x:v>-6.929999999999997</x:v>
      </x:c>
      <x:c r="O30" s="14" t="str">
        <x:f>IF(AND(ISNUMBER(C30),ISNUMBER(I30)),(I30-C30)*100,"")</x:f>
      </x:c>
      <x:c r="P30" s="17" t="str"/>
    </x:row>
    <x:row r="31" ht="25" customHeight="1">
      <x:c r="A31" s="2" t="str">
        <x:v>涅奥</x:v>
      </x:c>
      <x:c r="B31" s="2" t="str">
        <x:v>药瓶皮套</x:v>
      </x:c>
      <x:c r="C31" s="28" t="n">
        <x:f>IF('全量明细'!E419="","",'全量明细'!E419)</x:f>
        <x:v>0.22800855999999997</x:v>
      </x:c>
      <x:c r="D31" s="12" t="n">
        <x:f>IF('全量明细'!F419="","",'全量明细'!F419)</x:f>
        <x:v>9369</x:v>
      </x:c>
      <x:c r="E31" s="11" t="n">
        <x:f>IF('全量明细'!G419="","",'全量明细'!G419)</x:f>
        <x:v>0.20559999999999998</x:v>
      </x:c>
      <x:c r="F31" s="11" t="n">
        <x:f>IF('全量明细'!H419="","",'全量明细'!H419)</x:f>
        <x:v>0.3115</x:v>
      </x:c>
      <x:c r="G31" s="11" t="n">
        <x:f>IF('全量明细'!I419="","",'全量明细'!I419)</x:f>
        <x:v>0.2064</x:v>
      </x:c>
      <x:c r="H31" s="14" t="n">
        <x:f>IF('全量明细'!J419="","",'全量明细'!J419)</x:f>
        <x:v>10.51</x:v>
      </x:c>
      <x:c r="I31" s="28" t="n">
        <x:f>IF('全量明细'!E918="","",'全量明细'!E918)</x:f>
        <x:v>0.28585559</x:v>
      </x:c>
      <x:c r="J31" s="12" t="n">
        <x:f>IF('全量明细'!F918="","",'全量明细'!F918)</x:f>
        <x:v>3033</x:v>
      </x:c>
      <x:c r="K31" s="11" t="n">
        <x:f>IF('全量明细'!G918="","",'全量明细'!G918)</x:f>
        <x:v>0.2371</x:v>
      </x:c>
      <x:c r="L31" s="11" t="n">
        <x:f>IF('全量明细'!H918="","",'全量明细'!H918)</x:f>
        <x:v>0.34909999999999997</x:v>
      </x:c>
      <x:c r="M31" s="11" t="n">
        <x:f>IF('全量明细'!I918="","",'全量明细'!I918)</x:f>
        <x:v>0.2662</x:v>
      </x:c>
      <x:c r="N31" s="14" t="n">
        <x:f>IF('全量明细'!J918="","",'全量明细'!J918)</x:f>
        <x:v>8.289999999999997</x:v>
      </x:c>
      <x:c r="O31" s="14" t="n">
        <x:f>IF(AND(ISNUMBER(C31),ISNUMBER(I31)),(I31-C31)*100,"")</x:f>
        <x:v>5.784703000000002</x:v>
      </x:c>
      <x:c r="P31" s="17" t="str"/>
    </x:row>
    <x:row r="32" ht="25" customHeight="1">
      <x:c r="A32" s="2" t="str">
        <x:v>涅奥</x:v>
      </x:c>
      <x:c r="B32" s="2" t="str">
        <x:v>营养牡蛎</x:v>
      </x:c>
      <x:c r="C32" s="28" t="n">
        <x:f>IF('全量明细'!E414="","",'全量明细'!E414)</x:f>
        <x:v>0.23001536</x:v>
      </x:c>
      <x:c r="D32" s="12" t="n">
        <x:f>IF('全量明细'!F414="","",'全量明细'!F414)</x:f>
        <x:v>4757</x:v>
      </x:c>
      <x:c r="E32" s="11" t="n">
        <x:f>IF('全量明细'!G414="","",'全量明细'!G414)</x:f>
        <x:v>0.0736</x:v>
      </x:c>
      <x:c r="F32" s="11" t="n">
        <x:f>IF('全量明细'!H414="","",'全量明细'!H414)</x:f>
        <x:v>0.2</x:v>
      </x:c>
      <x:c r="G32" s="11" t="n">
        <x:f>IF('全量明细'!I414="","",'全量明细'!I414)</x:f>
        <x:v>0.2324</x:v>
      </x:c>
      <x:c r="H32" s="14" t="n">
        <x:f>IF('全量明细'!J414="","",'全量明细'!J414)</x:f>
        <x:v>-3.2399999999999984</x:v>
      </x:c>
      <x:c r="I32" s="28" t="n">
        <x:f>IF('全量明细'!E902="","",'全量明细'!E902)</x:f>
        <x:v>0.30436379999999996</x:v>
      </x:c>
      <x:c r="J32" s="12" t="n">
        <x:f>IF('全量明细'!F902="","",'全量明细'!F902)</x:f>
        <x:v>1682</x:v>
      </x:c>
      <x:c r="K32" s="11" t="n">
        <x:f>IF('全量明细'!G902="","",'全量明细'!G902)</x:f>
        <x:v>0.0874</x:v>
      </x:c>
      <x:c r="L32" s="11" t="n">
        <x:f>IF('全量明细'!H902="","",'全量明细'!H902)</x:f>
        <x:v>0.2925</x:v>
      </x:c>
      <x:c r="M32" s="11" t="n">
        <x:f>IF('全量明细'!I902="","",'全量明细'!I902)</x:f>
        <x:v>0.3055</x:v>
      </x:c>
      <x:c r="N32" s="14" t="n">
        <x:f>IF('全量明细'!J902="","",'全量明细'!J902)</x:f>
        <x:v>-1.3000000000000012</x:v>
      </x:c>
      <x:c r="O32" s="14" t="n">
        <x:f>IF(AND(ISNUMBER(C32),ISNUMBER(I32)),(I32-C32)*100,"")</x:f>
        <x:v>7.4348439999999965</x:v>
      </x:c>
      <x:c r="P32" s="17" t="str"/>
    </x:row>
    <x:row r="33" ht="25" customHeight="1">
      <x:c r="A33" s="2" t="str">
        <x:v>涅奥</x:v>
      </x:c>
      <x:c r="B33" s="2" t="str">
        <x:v>羽翼之靴</x:v>
      </x:c>
      <x:c r="C33" s="28" t="n">
        <x:f>IF('全量明细'!E416="","",'全量明细'!E416)</x:f>
        <x:v>0.22910955</x:v>
      </x:c>
      <x:c r="D33" s="12" t="n">
        <x:f>IF('全量明细'!F416="","",'全量明细'!F416)</x:f>
        <x:v>9494</x:v>
      </x:c>
      <x:c r="E33" s="11" t="n">
        <x:f>IF('全量明细'!G416="","",'全量明细'!G416)</x:f>
        <x:v>0.2505</x:v>
      </x:c>
      <x:c r="F33" s="11" t="n">
        <x:f>IF('全量明细'!H416="","",'全量明细'!H416)</x:f>
        <x:v>0.2809</x:v>
      </x:c>
      <x:c r="G33" s="11" t="n">
        <x:f>IF('全量明细'!I416="","",'全量明细'!I416)</x:f>
        <x:v>0.2118</x:v>
      </x:c>
      <x:c r="H33" s="14" t="n">
        <x:f>IF('全量明细'!J416="","",'全量明细'!J416)</x:f>
        <x:v>6.909999999999999</x:v>
      </x:c>
      <x:c r="I33" s="28" t="n">
        <x:f>IF('全量明细'!E912="","",'全量明细'!E912)</x:f>
        <x:v>0.29111606</x:v>
      </x:c>
      <x:c r="J33" s="12" t="n">
        <x:f>IF('全量明细'!F912="","",'全量明细'!F912)</x:f>
        <x:v>3356</x:v>
      </x:c>
      <x:c r="K33" s="11" t="n">
        <x:f>IF('全量明细'!G912="","",'全量明细'!G912)</x:f>
        <x:v>0.2726</x:v>
      </x:c>
      <x:c r="L33" s="11" t="n">
        <x:f>IF('全量明细'!H912="","",'全量明细'!H912)</x:f>
        <x:v>0.3552</x:v>
      </x:c>
      <x:c r="M33" s="11" t="n">
        <x:f>IF('全量明细'!I912="","",'全量明细'!I912)</x:f>
        <x:v>0.2671</x:v>
      </x:c>
      <x:c r="N33" s="14" t="n">
        <x:f>IF('全量明细'!J912="","",'全量明细'!J912)</x:f>
        <x:v>8.81</x:v>
      </x:c>
      <x:c r="O33" s="14" t="n">
        <x:f>IF(AND(ISNUMBER(C33),ISNUMBER(I33)),(I33-C33)*100,"")</x:f>
        <x:v>6.2006510000000015</x:v>
      </x:c>
      <x:c r="P33" s="17" t="str"/>
    </x:row>
    <x:row r="34" ht="25" customHeight="1">
      <x:c r="A34" s="2" t="str">
        <x:v>涅奥</x:v>
      </x:c>
      <x:c r="B34" s="2" t="str">
        <x:v>诅咒珍珠</x:v>
      </x:c>
      <x:c r="C34" s="28" t="n">
        <x:f>IF('全量明细'!E417="","",'全量明细'!E417)</x:f>
        <x:v>0.22909505000000002</x:v>
      </x:c>
      <x:c r="D34" s="12" t="n">
        <x:f>IF('全量明细'!F417="","",'全量明细'!F417)</x:f>
        <x:v>9049</x:v>
      </x:c>
      <x:c r="E34" s="11" t="n">
        <x:f>IF('全量明细'!G417="","",'全量明细'!G417)</x:f>
        <x:v>0.5085000000000001</x:v>
      </x:c>
      <x:c r="F34" s="11" t="n">
        <x:f>IF('全量明细'!H417="","",'全量明细'!H417)</x:f>
        <x:v>0.23170000000000002</x:v>
      </x:c>
      <x:c r="G34" s="11" t="n">
        <x:f>IF('全量明细'!I417="","",'全量明细'!I417)</x:f>
        <x:v>0.22640000000000002</x:v>
      </x:c>
      <x:c r="H34" s="14" t="n">
        <x:f>IF('全量明细'!J417="","",'全量明细'!J417)</x:f>
        <x:v>0.5299999999999999</x:v>
      </x:c>
      <x:c r="I34" s="28" t="n">
        <x:f>IF('全量明细'!E915="","",'全量明细'!E915)</x:f>
        <x:v>0.2895559999999999</x:v>
      </x:c>
      <x:c r="J34" s="12" t="n">
        <x:f>IF('全量明细'!F915="","",'全量明细'!F915)</x:f>
        <x:v>2642</x:v>
      </x:c>
      <x:c r="K34" s="11" t="n">
        <x:f>IF('全量明细'!G915="","",'全量明细'!G915)</x:f>
        <x:v>0.522</x:v>
      </x:c>
      <x:c r="L34" s="11" t="n">
        <x:f>IF('全量明细'!H915="","",'全量明细'!H915)</x:f>
        <x:v>0.28859999999999997</x:v>
      </x:c>
      <x:c r="M34" s="11" t="n">
        <x:f>IF('全量明细'!I915="","",'全量明细'!I915)</x:f>
        <x:v>0.29059999999999997</x:v>
      </x:c>
      <x:c r="N34" s="14" t="n">
        <x:f>IF('全量明细'!J915="","",'全量明细'!J915)</x:f>
        <x:v>-0.20000000000000018</x:v>
      </x:c>
      <x:c r="O34" s="14" t="n">
        <x:f>IF(AND(ISNUMBER(C34),ISNUMBER(I34)),(I34-C34)*100,"")</x:f>
        <x:v>6.0460949999999904</x:v>
      </x:c>
      <x:c r="P34" s="17" t="str"/>
    </x:row>
    <x:row r="35" ht="25" customHeight="1">
      <x:c r="A35" s="20" t="str">
        <x:v>欧洛巴斯</x:v>
      </x:c>
      <x:c r="B35" s="20" t="str">
        <x:v>玻璃眼珠</x:v>
      </x:c>
      <x:c r="C35" s="27" t="n">
        <x:f>IF('全量明细'!E435="","",'全量明细'!E435)</x:f>
        <x:v>0.31370570000000003</x:v>
      </x:c>
      <x:c r="D35" s="23" t="n">
        <x:f>IF('全量明细'!F435="","",'全量明细'!F435)</x:f>
        <x:v>3672</x:v>
      </x:c>
      <x:c r="E35" s="22" t="n">
        <x:f>IF('全量明细'!G435="","",'全量明细'!G435)</x:f>
        <x:v>0.40549999999999997</x:v>
      </x:c>
      <x:c r="F35" s="22" t="n">
        <x:f>IF('全量明细'!H435="","",'全量明细'!H435)</x:f>
        <x:v>0.2646</x:v>
      </x:c>
      <x:c r="G35" s="22" t="n">
        <x:f>IF('全量明细'!I435="","",'全量明细'!I435)</x:f>
        <x:v>0.3472</x:v>
      </x:c>
      <x:c r="H35" s="24" t="n">
        <x:f>IF('全量明细'!J435="","",'全量明细'!J435)</x:f>
        <x:v>-8.260000000000002</x:v>
      </x:c>
      <x:c r="I35" s="27" t="n">
        <x:f>IF('全量明细'!E937="","",'全量明细'!E937)</x:f>
        <x:v>0.3747372</x:v>
      </x:c>
      <x:c r="J35" s="23" t="n">
        <x:f>IF('全量明细'!F937="","",'全量明细'!F937)</x:f>
        <x:v>1876</x:v>
      </x:c>
      <x:c r="K35" s="22" t="n">
        <x:f>IF('全量明细'!G937="","",'全量明细'!G937)</x:f>
        <x:v>0.3833</x:v>
      </x:c>
      <x:c r="L35" s="22" t="n">
        <x:f>IF('全量明细'!H937="","",'全量明细'!H937)</x:f>
        <x:v>0.3032</x:v>
      </x:c>
      <x:c r="M35" s="22" t="n">
        <x:f>IF('全量明细'!I937="","",'全量明细'!I937)</x:f>
        <x:v>0.4192</x:v>
      </x:c>
      <x:c r="N35" s="24" t="n">
        <x:f>IF('全量明细'!J937="","",'全量明细'!J937)</x:f>
        <x:v>-11.6</x:v>
      </x:c>
      <x:c r="O35" s="24" t="n">
        <x:f>IF(AND(ISNUMBER(C35),ISNUMBER(I35)),(I35-C35)*100,"")</x:f>
        <x:v>6.103149999999996</x:v>
      </x:c>
      <x:c r="P35" s="31" t="str"/>
    </x:row>
    <x:row r="36" ht="25" customHeight="1">
      <x:c r="A36" s="2" t="str">
        <x:v>欧洛巴斯</x:v>
      </x:c>
      <x:c r="B36" s="2" t="str">
        <x:v>发光珍珠</x:v>
      </x:c>
      <x:c r="C36" s="28" t="n">
        <x:f>IF('全量明细'!E430="","",'全量明细'!E430)</x:f>
        <x:v>0.34165688</x:v>
      </x:c>
      <x:c r="D36" s="12" t="n">
        <x:f>IF('全量明细'!F430="","",'全量明细'!F430)</x:f>
        <x:v>4177</x:v>
      </x:c>
      <x:c r="E36" s="11" t="n">
        <x:f>IF('全量明细'!G430="","",'全量明细'!G430)</x:f>
        <x:v>0.2552</x:v>
      </x:c>
      <x:c r="F36" s="11" t="n">
        <x:f>IF('全量明细'!H430="","",'全量明细'!H430)</x:f>
        <x:v>0.425</x:v>
      </x:c>
      <x:c r="G36" s="11" t="n">
        <x:f>IF('全量明细'!I430="","",'全量明细'!I430)</x:f>
        <x:v>0.3131</x:v>
      </x:c>
      <x:c r="H36" s="14" t="n">
        <x:f>IF('全量明细'!J430="","",'全量明细'!J430)</x:f>
        <x:v>11.19</x:v>
      </x:c>
      <x:c r="I36" s="28" t="n">
        <x:f>IF('全量明细'!E931="","",'全量明细'!E931)</x:f>
        <x:v>0.41964358</x:v>
      </x:c>
      <x:c r="J36" s="12" t="n">
        <x:f>IF('全量明细'!F931="","",'全量明细'!F931)</x:f>
        <x:v>1027</x:v>
      </x:c>
      <x:c r="K36" s="11" t="n">
        <x:f>IF('全量明细'!G931="","",'全量明细'!G931)</x:f>
        <x:v>0.2483</x:v>
      </x:c>
      <x:c r="L36" s="11" t="n">
        <x:f>IF('全量明细'!H931="","",'全量明细'!H931)</x:f>
        <x:v>0.4667</x:v>
      </x:c>
      <x:c r="M36" s="11" t="n">
        <x:f>IF('全量明细'!I931="","",'全量明细'!I931)</x:f>
        <x:v>0.40409999999999996</x:v>
      </x:c>
      <x:c r="N36" s="14" t="n">
        <x:f>IF('全量明细'!J931="","",'全量明细'!J931)</x:f>
        <x:v>6.260000000000004</x:v>
      </x:c>
      <x:c r="O36" s="14" t="n">
        <x:f>IF(AND(ISNUMBER(C36),ISNUMBER(I36)),(I36-C36)*100,"")</x:f>
        <x:v>7.798670000000002</x:v>
      </x:c>
      <x:c r="P36" s="17" t="str"/>
    </x:row>
    <x:row r="37" ht="25" customHeight="1">
      <x:c r="A37" s="2" t="str">
        <x:v>欧洛巴斯</x:v>
      </x:c>
      <x:c r="B37" s="2" t="str">
        <x:v>放电异虾</x:v>
      </x:c>
      <x:c r="C37" s="28" t="n">
        <x:f>IF('全量明细'!E429="","",'全量明细'!E429)</x:f>
        <x:v>0.34460765</x:v>
      </x:c>
      <x:c r="D37" s="12" t="n">
        <x:f>IF('全量明细'!F429="","",'全量明细'!F429)</x:f>
        <x:v>3787</x:v>
      </x:c>
      <x:c r="E37" s="11" t="n">
        <x:f>IF('全量明细'!G429="","",'全量明细'!G429)</x:f>
        <x:v>0.3589</x:v>
      </x:c>
      <x:c r="F37" s="11" t="n">
        <x:f>IF('全量明细'!H429="","",'全量明细'!H429)</x:f>
        <x:v>0.4334</x:v>
      </x:c>
      <x:c r="G37" s="11" t="n">
        <x:f>IF('全量明细'!I429="","",'全量明细'!I429)</x:f>
        <x:v>0.2949</x:v>
      </x:c>
      <x:c r="H37" s="14" t="n">
        <x:f>IF('全量明细'!J429="","",'全量明细'!J429)</x:f>
        <x:v>13.850000000000001</x:v>
      </x:c>
      <x:c r="I37" s="28" t="n">
        <x:f>IF('全量明细'!E930="","",'全量明细'!E930)</x:f>
        <x:v>0.4298832</x:v>
      </x:c>
      <x:c r="J37" s="12" t="n">
        <x:f>IF('全量明细'!F930="","",'全量明细'!F930)</x:f>
        <x:v>1775</x:v>
      </x:c>
      <x:c r="K37" s="11" t="n">
        <x:f>IF('全量明细'!G930="","",'全量明细'!G930)</x:f>
        <x:v>0.42200000000000004</x:v>
      </x:c>
      <x:c r="L37" s="11" t="n">
        <x:f>IF('全量明细'!H930="","",'全量明细'!H930)</x:f>
        <x:v>0.49670000000000003</x:v>
      </x:c>
      <x:c r="M37" s="11" t="n">
        <x:f>IF('全量明细'!I930="","",'全量明细'!I930)</x:f>
        <x:v>0.3811</x:v>
      </x:c>
      <x:c r="N37" s="14" t="n">
        <x:f>IF('全量明细'!J930="","",'全量明细'!J930)</x:f>
        <x:v>11.560000000000004</x:v>
      </x:c>
      <x:c r="O37" s="14" t="n">
        <x:f>IF(AND(ISNUMBER(C37),ISNUMBER(I37)),(I37-C37)*100,"")</x:f>
        <x:v>8.527555000000003</x:v>
      </x:c>
      <x:c r="P37" s="17" t="str"/>
    </x:row>
    <x:row r="38" ht="25" customHeight="1">
      <x:c r="A38" s="2" t="str">
        <x:v>欧洛巴斯</x:v>
      </x:c>
      <x:c r="B38" s="2" t="str">
        <x:v>浮木</x:v>
      </x:c>
      <x:c r="C38" s="28" t="n">
        <x:f>IF('全量明细'!E437="","",'全量明细'!E437)</x:f>
        <x:v>0.3004955</x:v>
      </x:c>
      <x:c r="D38" s="12" t="n">
        <x:f>IF('全量明细'!F437="","",'全量明细'!F437)</x:f>
        <x:v>4110</x:v>
      </x:c>
      <x:c r="E38" s="11" t="n">
        <x:f>IF('全量明细'!G437="","",'全量明细'!G437)</x:f>
        <x:v>0.20190000000000002</x:v>
      </x:c>
      <x:c r="F38" s="11" t="n">
        <x:f>IF('全量明细'!H437="","",'全量明细'!H437)</x:f>
        <x:v>0.2566</x:v>
      </x:c>
      <x:c r="G38" s="11" t="n">
        <x:f>IF('全量明细'!I437="","",'全量明细'!I437)</x:f>
        <x:v>0.3116</x:v>
      </x:c>
      <x:c r="H38" s="14" t="n">
        <x:f>IF('全量明细'!J437="","",'全量明细'!J437)</x:f>
        <x:v>-5.499999999999999</x:v>
      </x:c>
      <x:c r="I38" s="28" t="n">
        <x:f>IF('全量明细'!E936="","",'全量明细'!E936)</x:f>
        <x:v>0.38724447999999995</x:v>
      </x:c>
      <x:c r="J38" s="12" t="n">
        <x:f>IF('全量明细'!F936="","",'全量明细'!F936)</x:f>
        <x:v>1126</x:v>
      </x:c>
      <x:c r="K38" s="11" t="n">
        <x:f>IF('全量明细'!G936="","",'全量明细'!G936)</x:f>
        <x:v>0.1288</x:v>
      </x:c>
      <x:c r="L38" s="11" t="n">
        <x:f>IF('全量明细'!H936="","",'全量明细'!H936)</x:f>
        <x:v>0.3172</x:v>
      </x:c>
      <x:c r="M38" s="11" t="n">
        <x:f>IF('全量明细'!I936="","",'全量明细'!I936)</x:f>
        <x:v>0.39759999999999995</x:v>
      </x:c>
      <x:c r="N38" s="14" t="n">
        <x:f>IF('全量明细'!J936="","",'全量明细'!J936)</x:f>
        <x:v>-8.039999999999997</x:v>
      </x:c>
      <x:c r="O38" s="14" t="n">
        <x:f>IF(AND(ISNUMBER(C38),ISNUMBER(I38)),(I38-C38)*100,"")</x:f>
        <x:v>8.674897999999992</x:v>
      </x:c>
      <x:c r="P38" s="17" t="str"/>
    </x:row>
    <x:row r="39" ht="25" customHeight="1">
      <x:c r="A39" s="2" t="str">
        <x:v>欧洛巴斯</x:v>
      </x:c>
      <x:c r="B39" s="2" t="str">
        <x:v>古老牙齿</x:v>
      </x:c>
      <x:c r="C39" s="28" t="n">
        <x:f>IF('全量明细'!E432="","",'全量明细'!E432)</x:f>
        <x:v>0.32722231</x:v>
      </x:c>
      <x:c r="D39" s="12" t="n">
        <x:f>IF('全量明细'!F432="","",'全量明细'!F432)</x:f>
        <x:v>6360</x:v>
      </x:c>
      <x:c r="E39" s="11" t="n">
        <x:f>IF('全量明细'!G432="","",'全量明细'!G432)</x:f>
        <x:v>0.6053000000000001</x:v>
      </x:c>
      <x:c r="F39" s="11" t="n">
        <x:f>IF('全量明细'!H432="","",'全量明细'!H432)</x:f>
        <x:v>0.3125</x:v>
      </x:c>
      <x:c r="G39" s="11" t="n">
        <x:f>IF('全量明细'!I432="","",'全量明细'!I432)</x:f>
        <x:v>0.34979999999999994</x:v>
      </x:c>
      <x:c r="H39" s="14" t="n">
        <x:f>IF('全量明细'!J432="","",'全量明细'!J432)</x:f>
        <x:v>-3.729999999999994</x:v>
      </x:c>
      <x:c r="I39" s="28" t="n">
        <x:f>IF('全量明细'!E933="","",'全量明细'!E933)</x:f>
        <x:v>0.41478194999999995</x:v>
      </x:c>
      <x:c r="J39" s="12" t="n">
        <x:f>IF('全量明细'!F933="","",'全量明细'!F933)</x:f>
        <x:v>2172</x:v>
      </x:c>
      <x:c r="K39" s="11" t="n">
        <x:f>IF('全量明细'!G933="","",'全量明细'!G933)</x:f>
        <x:v>0.5599000000000001</x:v>
      </x:c>
      <x:c r="L39" s="11" t="n">
        <x:f>IF('全量明细'!H933="","",'全量明细'!H933)</x:f>
        <x:v>0.40619999999999995</x:v>
      </x:c>
      <x:c r="M39" s="11" t="n">
        <x:f>IF('全量明细'!I933="","",'全量明细'!I933)</x:f>
        <x:v>0.4257</x:v>
      </x:c>
      <x:c r="N39" s="14" t="n">
        <x:f>IF('全量明细'!J933="","",'全量明细'!J933)</x:f>
        <x:v>-1.9500000000000073</x:v>
      </x:c>
      <x:c r="O39" s="14" t="n">
        <x:f>IF(AND(ISNUMBER(C39),ISNUMBER(I39)),(I39-C39)*100,"")</x:f>
        <x:v>8.755963999999993</x:v>
      </x:c>
      <x:c r="P39" s="17" t="str"/>
    </x:row>
    <x:row r="40" ht="25" customHeight="1">
      <x:c r="A40" s="2" t="str">
        <x:v>欧洛巴斯</x:v>
      </x:c>
      <x:c r="B40" s="2" t="str">
        <x:v>棱彩宝石</x:v>
      </x:c>
      <x:c r="C40" s="28" t="n">
        <x:f>IF('全量明细'!E431="","",'全量明细'!E431)</x:f>
        <x:v>0.33359808</x:v>
      </x:c>
      <x:c r="D40" s="12" t="n">
        <x:f>IF('全量明细'!F431="","",'全量明细'!F431)</x:f>
        <x:v>1214</x:v>
      </x:c>
      <x:c r="E40" s="11" t="n">
        <x:f>IF('全量明细'!G431="","",'全量明细'!G431)</x:f>
        <x:v>0.4226</x:v>
      </x:c>
      <x:c r="F40" s="11" t="n">
        <x:f>IF('全量明细'!H431="","",'全量明细'!H431)</x:f>
        <x:v>0.3918</x:v>
      </x:c>
      <x:c r="G40" s="11" t="n">
        <x:f>IF('全量明细'!I431="","",'全量明细'!I431)</x:f>
        <x:v>0.29100000000000004</x:v>
      </x:c>
      <x:c r="H40" s="14" t="n">
        <x:f>IF('全量明细'!J431="","",'全量明细'!J431)</x:f>
        <x:v>10.079999999999995</x:v>
      </x:c>
      <x:c r="I40" s="28" t="n">
        <x:f>IF('全量明细'!E929="","",'全量明细'!E929)</x:f>
        <x:v>0.44201438000000004</x:v>
      </x:c>
      <x:c r="J40" s="12" t="n">
        <x:f>IF('全量明细'!F929="","",'全量明细'!F929)</x:f>
        <x:v>638</x:v>
      </x:c>
      <x:c r="K40" s="11" t="n">
        <x:f>IF('全量明细'!G929="","",'全量明细'!G929)</x:f>
        <x:v>0.3934</x:v>
      </x:c>
      <x:c r="L40" s="11" t="n">
        <x:f>IF('全量明细'!H929="","",'全量明细'!H929)</x:f>
        <x:v>0.494</x:v>
      </x:c>
      <x:c r="M40" s="11" t="n">
        <x:f>IF('全量明细'!I929="","",'全量明细'!I929)</x:f>
        <x:v>0.4083</x:v>
      </x:c>
      <x:c r="N40" s="14" t="n">
        <x:f>IF('全量明细'!J929="","",'全量明细'!J929)</x:f>
        <x:v>8.57</x:v>
      </x:c>
      <x:c r="O40" s="14" t="n">
        <x:f>IF(AND(ISNUMBER(C40),ISNUMBER(I40)),(I40-C40)*100,"")</x:f>
        <x:v>10.841630000000002</x:v>
      </x:c>
      <x:c r="P40" s="17" t="str"/>
    </x:row>
    <x:row r="41" ht="25" customHeight="1">
      <x:c r="A41" s="2" t="str">
        <x:v>欧洛巴斯</x:v>
      </x:c>
      <x:c r="B41" s="2" t="str">
        <x:v>炼金箱</x:v>
      </x:c>
      <x:c r="C41" s="28" t="n">
        <x:f>IF('全量明细'!E433="","",'全量明细'!E433)</x:f>
        <x:v>0.32390858999999994</x:v>
      </x:c>
      <x:c r="D41" s="12" t="n">
        <x:f>IF('全量明细'!F433="","",'全量明细'!F433)</x:f>
        <x:v>4118</x:v>
      </x:c>
      <x:c r="E41" s="11" t="n">
        <x:f>IF('全量明细'!G433="","",'全量明细'!G433)</x:f>
        <x:v>0.22510000000000002</x:v>
      </x:c>
      <x:c r="F41" s="11" t="n">
        <x:f>IF('全量明细'!H433="","",'全量明细'!H433)</x:f>
        <x:v>0.3711</x:v>
      </x:c>
      <x:c r="G41" s="11" t="n">
        <x:f>IF('全量明细'!I433="","",'全量明细'!I433)</x:f>
        <x:v>0.3102</x:v>
      </x:c>
      <x:c r="H41" s="14" t="n">
        <x:f>IF('全量明细'!J433="","",'全量明细'!J433)</x:f>
        <x:v>6.090000000000001</x:v>
      </x:c>
      <x:c r="I41" s="28" t="n">
        <x:f>IF('全量明细'!E932="","",'全量明细'!E932)</x:f>
        <x:v>0.41823112</x:v>
      </x:c>
      <x:c r="J41" s="12" t="n">
        <x:f>IF('全量明细'!F932="","",'全量明细'!F932)</x:f>
        <x:v>1052</x:v>
      </x:c>
      <x:c r="K41" s="11" t="n">
        <x:f>IF('全量明细'!G932="","",'全量明细'!G932)</x:f>
        <x:v>0.16440000000000002</x:v>
      </x:c>
      <x:c r="L41" s="11" t="n">
        <x:f>IF('全量明细'!H932="","",'全量明细'!H932)</x:f>
        <x:v>0.4682</x:v>
      </x:c>
      <x:c r="M41" s="11" t="n">
        <x:f>IF('全量明细'!I932="","",'全量明细'!I932)</x:f>
        <x:v>0.40840000000000004</x:v>
      </x:c>
      <x:c r="N41" s="14" t="n">
        <x:f>IF('全量明细'!J932="","",'全量明细'!J932)</x:f>
        <x:v>5.979999999999997</x:v>
      </x:c>
      <x:c r="O41" s="14" t="n">
        <x:f>IF(AND(ISNUMBER(C41),ISNUMBER(I41)),(I41-C41)*100,"")</x:f>
        <x:v>9.432253000000006</x:v>
      </x:c>
      <x:c r="P41" s="17" t="str"/>
    </x:row>
    <x:row r="42" ht="25" customHeight="1">
      <x:c r="A42" s="2" t="str">
        <x:v>欧洛巴斯</x:v>
      </x:c>
      <x:c r="B42" s="2" t="str">
        <x:v>欧洛巴斯之触</x:v>
      </x:c>
      <x:c r="C42" s="28" t="n">
        <x:f>IF('全量明细'!E434="","",'全量明细'!E434)</x:f>
        <x:v>0.31693152999999996</x:v>
      </x:c>
      <x:c r="D42" s="12" t="n">
        <x:f>IF('全量明细'!F434="","",'全量明细'!F434)</x:f>
        <x:v>6049</x:v>
      </x:c>
      <x:c r="E42" s="11" t="n">
        <x:f>IF('全量明细'!G434="","",'全量明细'!G434)</x:f>
        <x:v>0.23989999999999997</x:v>
      </x:c>
      <x:c r="F42" s="11" t="n">
        <x:f>IF('全量明细'!H434="","",'全量明细'!H434)</x:f>
        <x:v>0.2901</x:v>
      </x:c>
      <x:c r="G42" s="11" t="n">
        <x:f>IF('全量明细'!I434="","",'全量明细'!I434)</x:f>
        <x:v>0.32539999999999997</x:v>
      </x:c>
      <x:c r="H42" s="14" t="n">
        <x:f>IF('全量明细'!J434="","",'全量明细'!J434)</x:f>
        <x:v>-3.529999999999994</x:v>
      </x:c>
      <x:c r="I42" s="28" t="n">
        <x:f>IF('全量明细'!E935="","",'全量明细'!E935)</x:f>
        <x:v>0.39895846999999995</x:v>
      </x:c>
      <x:c r="J42" s="12" t="n">
        <x:f>IF('全量明细'!F935="","",'全量明细'!F935)</x:f>
        <x:v>2118</x:v>
      </x:c>
      <x:c r="K42" s="11" t="n">
        <x:f>IF('全量明细'!G935="","",'全量明细'!G935)</x:f>
        <x:v>0.29510000000000003</x:v>
      </x:c>
      <x:c r="L42" s="11" t="n">
        <x:f>IF('全量明细'!H935="","",'全量明细'!H935)</x:f>
        <x:v>0.3776</x:v>
      </x:c>
      <x:c r="M42" s="11" t="n">
        <x:f>IF('全量明细'!I935="","",'全量明细'!I935)</x:f>
        <x:v>0.4079</x:v>
      </x:c>
      <x:c r="N42" s="14" t="n">
        <x:f>IF('全量明细'!J935="","",'全量明细'!J935)</x:f>
        <x:v>-3.0299999999999994</x:v>
      </x:c>
      <x:c r="O42" s="14" t="n">
        <x:f>IF(AND(ISNUMBER(C42),ISNUMBER(I42)),(I42-C42)*100,"")</x:f>
        <x:v>8.202694</x:v>
      </x:c>
      <x:c r="P42" s="17" t="str"/>
    </x:row>
    <x:row r="43" ht="25" customHeight="1">
      <x:c r="A43" s="2" t="str">
        <x:v>欧洛巴斯</x:v>
      </x:c>
      <x:c r="B43" s="2" t="str">
        <x:v>沙堡</x:v>
      </x:c>
      <x:c r="C43" s="28" t="n">
        <x:f>IF('全量明细'!E436="","",'全量明细'!E436)</x:f>
        <x:v>0.3045166000000001</x:v>
      </x:c>
      <x:c r="D43" s="12" t="n">
        <x:f>IF('全量明细'!F436="","",'全量明细'!F436)</x:f>
        <x:v>3737</x:v>
      </x:c>
      <x:c r="E43" s="11" t="n">
        <x:f>IF('全量明细'!G436="","",'全量明细'!G436)</x:f>
        <x:v>0.2465</x:v>
      </x:c>
      <x:c r="F43" s="11" t="n">
        <x:f>IF('全量明细'!H436="","",'全量明细'!H436)</x:f>
        <x:v>0.19329999999999997</x:v>
      </x:c>
      <x:c r="G43" s="11" t="n">
        <x:f>IF('全量明细'!I436="","",'全量明细'!I436)</x:f>
        <x:v>0.34090000000000004</x:v>
      </x:c>
      <x:c r="H43" s="14" t="n">
        <x:f>IF('全量明细'!J436="","",'全量明细'!J436)</x:f>
        <x:v>-14.760000000000007</x:v>
      </x:c>
      <x:c r="I43" s="28" t="n">
        <x:f>IF('全量明细'!E934="","",'全量明细'!E934)</x:f>
        <x:v>0.40405794</x:v>
      </x:c>
      <x:c r="J43" s="12" t="n">
        <x:f>IF('全量明细'!F934="","",'全量明细'!F934)</x:f>
        <x:v>1089</x:v>
      </x:c>
      <x:c r="K43" s="11" t="n">
        <x:f>IF('全量明细'!G934="","",'全量明细'!G934)</x:f>
        <x:v>0.1451</x:v>
      </x:c>
      <x:c r="L43" s="11" t="n">
        <x:f>IF('全量明细'!H934="","",'全量明细'!H934)</x:f>
        <x:v>0.3608</x:v>
      </x:c>
      <x:c r="M43" s="11" t="n">
        <x:f>IF('全量明细'!I934="","",'全量明细'!I934)</x:f>
        <x:v>0.4114</x:v>
      </x:c>
      <x:c r="N43" s="14" t="n">
        <x:f>IF('全量明细'!J934="","",'全量明细'!J934)</x:f>
        <x:v>-5.059999999999998</x:v>
      </x:c>
      <x:c r="O43" s="14" t="n">
        <x:f>IF(AND(ISNUMBER(C43),ISNUMBER(I43)),(I43-C43)*100,"")</x:f>
        <x:v>9.954133999999993</x:v>
      </x:c>
      <x:c r="P43" s="17" t="str"/>
    </x:row>
    <x:row r="44" ht="25" customHeight="1">
      <x:c r="A44" s="20" t="str">
        <x:v>佩尔</x:v>
      </x:c>
      <x:c r="B44" s="20" t="str">
        <x:v>佩尔的士兵</x:v>
      </x:c>
      <x:c r="C44" s="27" t="n">
        <x:f>IF('全量明细'!E439="","",'全量明细'!E439)</x:f>
        <x:v>0.3540544</x:v>
      </x:c>
      <x:c r="D44" s="23" t="n">
        <x:f>IF('全量明细'!F439="","",'全量明细'!F439)</x:f>
        <x:v>4991</x:v>
      </x:c>
      <x:c r="E44" s="22" t="n">
        <x:f>IF('全量明细'!G439="","",'全量明细'!G439)</x:f>
        <x:v>0.4987</x:v>
      </x:c>
      <x:c r="F44" s="22" t="n">
        <x:f>IF('全量明细'!H439="","",'全量明细'!H439)</x:f>
        <x:v>0.4102</x:v>
      </x:c>
      <x:c r="G44" s="22" t="n">
        <x:f>IF('全量明细'!I439="","",'全量明细'!I439)</x:f>
        <x:v>0.2982</x:v>
      </x:c>
      <x:c r="H44" s="24" t="n">
        <x:f>IF('全量明细'!J439="","",'全量明细'!J439)</x:f>
        <x:v>11.2</x:v>
      </x:c>
      <x:c r="I44" s="27" t="n">
        <x:f>IF('全量明细'!E942="","",'全量明细'!E942)</x:f>
        <x:v>0.43698278</x:v>
      </x:c>
      <x:c r="J44" s="23" t="n">
        <x:f>IF('全量明细'!F942="","",'全量明细'!F942)</x:f>
        <x:v>1849</x:v>
      </x:c>
      <x:c r="K44" s="22" t="n">
        <x:f>IF('全量明细'!G942="","",'全量明细'!G942)</x:f>
        <x:v>0.5019</x:v>
      </x:c>
      <x:c r="L44" s="22" t="n">
        <x:f>IF('全量明细'!H942="","",'全量明细'!H942)</x:f>
        <x:v>0.4849</x:v>
      </x:c>
      <x:c r="M44" s="22" t="n">
        <x:f>IF('全量明细'!I942="","",'全量明细'!I942)</x:f>
        <x:v>0.3887</x:v>
      </x:c>
      <x:c r="N44" s="24" t="n">
        <x:f>IF('全量明细'!J942="","",'全量明细'!J942)</x:f>
        <x:v>9.620000000000001</x:v>
      </x:c>
      <x:c r="O44" s="24" t="n">
        <x:f>IF(AND(ISNUMBER(C44),ISNUMBER(I44)),(I44-C44)*100,"")</x:f>
        <x:v>8.292838000000003</x:v>
      </x:c>
      <x:c r="P44" s="31" t="str"/>
    </x:row>
    <x:row r="45" ht="25" customHeight="1">
      <x:c r="A45" s="2" t="str">
        <x:v>佩尔</x:v>
      </x:c>
      <x:c r="B45" s="2" t="str">
        <x:v>佩尔的增生组织</x:v>
      </x:c>
      <x:c r="C45" s="28" t="n">
        <x:f>IF('全量明细'!E441="","",'全量明细'!E441)</x:f>
        <x:v>0.34338378</x:v>
      </x:c>
      <x:c r="D45" s="12" t="n">
        <x:f>IF('全量明细'!F441="","",'全量明细'!F441)</x:f>
        <x:v>2196</x:v>
      </x:c>
      <x:c r="E45" s="11" t="n">
        <x:f>IF('全量明细'!G441="","",'全量明细'!G441)</x:f>
        <x:v>0.2746</x:v>
      </x:c>
      <x:c r="F45" s="11" t="n">
        <x:f>IF('全量明细'!H441="","",'全量明细'!H441)</x:f>
        <x:v>0.3864</x:v>
      </x:c>
      <x:c r="G45" s="11" t="n">
        <x:f>IF('全量明细'!I441="","",'全量明细'!I441)</x:f>
        <x:v>0.3271</x:v>
      </x:c>
      <x:c r="H45" s="14" t="n">
        <x:f>IF('全量明细'!J441="","",'全量明细'!J441)</x:f>
        <x:v>5.9300000000000015</x:v>
      </x:c>
      <x:c r="I45" s="28" t="n">
        <x:f>IF('全量明细'!E939="","",'全量明细'!E939)</x:f>
        <x:v>0.44716114999999995</x:v>
      </x:c>
      <x:c r="J45" s="12" t="n">
        <x:f>IF('全量明细'!F939="","",'全量明细'!F939)</x:f>
        <x:v>729</x:v>
      </x:c>
      <x:c r="K45" s="11" t="n">
        <x:f>IF('全量明细'!G939="","",'全量明细'!G939)</x:f>
        <x:v>0.2757</x:v>
      </x:c>
      <x:c r="L45" s="11" t="n">
        <x:f>IF('全量明细'!H939="","",'全量明细'!H939)</x:f>
        <x:v>0.4975</x:v>
      </x:c>
      <x:c r="M45" s="11" t="n">
        <x:f>IF('全量明细'!I939="","",'全量明细'!I939)</x:f>
        <x:v>0.428</x:v>
      </x:c>
      <x:c r="N45" s="14" t="n">
        <x:f>IF('全量明细'!J939="","",'全量明细'!J939)</x:f>
        <x:v>6.950000000000001</x:v>
      </x:c>
      <x:c r="O45" s="14" t="n">
        <x:f>IF(AND(ISNUMBER(C45),ISNUMBER(I45)),(I45-C45)*100,"")</x:f>
        <x:v>10.377736999999993</x:v>
      </x:c>
      <x:c r="P45" s="17" t="str"/>
    </x:row>
    <x:row r="46" ht="25" customHeight="1">
      <x:c r="A46" s="2" t="str">
        <x:v>佩尔</x:v>
      </x:c>
      <x:c r="B46" s="2" t="str">
        <x:v>佩尔之角</x:v>
      </x:c>
      <x:c r="C46" s="28" t="n">
        <x:f>IF('全量明细'!E444="","",'全量明细'!E444)</x:f>
        <x:v>0.33255472</x:v>
      </x:c>
      <x:c r="D46" s="12" t="n">
        <x:f>IF('全量明细'!F444="","",'全量明细'!F444)</x:f>
        <x:v>4973</x:v>
      </x:c>
      <x:c r="E46" s="11" t="n">
        <x:f>IF('全量明细'!G444="","",'全量明细'!G444)</x:f>
        <x:v>0.11259999999999999</x:v>
      </x:c>
      <x:c r="F46" s="11" t="n">
        <x:f>IF('全量明细'!H444="","",'全量明细'!H444)</x:f>
        <x:v>0.2857</x:v>
      </x:c>
      <x:c r="G46" s="11" t="n">
        <x:f>IF('全量明细'!I444="","",'全量明细'!I444)</x:f>
        <x:v>0.3385</x:v>
      </x:c>
      <x:c r="H46" s="14" t="n">
        <x:f>IF('全量明细'!J444="","",'全量明细'!J444)</x:f>
        <x:v>-5.280000000000001</x:v>
      </x:c>
      <x:c r="I46" s="28" t="n">
        <x:f>IF('全量明细'!E945="","",'全量明细'!E945)</x:f>
        <x:v>0.41028718000000003</x:v>
      </x:c>
      <x:c r="J46" s="12" t="n">
        <x:f>IF('全量明细'!F945="","",'全量明细'!F945)</x:f>
        <x:v>1867</x:v>
      </x:c>
      <x:c r="K46" s="11" t="n">
        <x:f>IF('全量明细'!G945="","",'全量明细'!G945)</x:f>
        <x:v>0.2073</x:v>
      </x:c>
      <x:c r="L46" s="11" t="n">
        <x:f>IF('全量明细'!H945="","",'全量明细'!H945)</x:f>
        <x:v>0.4393</x:v>
      </x:c>
      <x:c r="M46" s="11" t="n">
        <x:f>IF('全量明细'!I945="","",'全量明细'!I945)</x:f>
        <x:v>0.40270000000000006</x:v>
      </x:c>
      <x:c r="N46" s="14" t="n">
        <x:f>IF('全量明细'!J945="","",'全量明细'!J945)</x:f>
        <x:v>3.6599999999999966</x:v>
      </x:c>
      <x:c r="O46" s="14" t="n">
        <x:f>IF(AND(ISNUMBER(C46),ISNUMBER(I46)),(I46-C46)*100,"")</x:f>
        <x:v>7.773246</x:v>
      </x:c>
      <x:c r="P46" s="17" t="str"/>
    </x:row>
    <x:row r="47" ht="25" customHeight="1">
      <x:c r="A47" s="2" t="str">
        <x:v>佩尔</x:v>
      </x:c>
      <x:c r="B47" s="2" t="str">
        <x:v>佩尔之泪</x:v>
      </x:c>
      <x:c r="C47" s="28" t="n">
        <x:f>IF('全量明细'!E442="","",'全量明细'!E442)</x:f>
        <x:v>0.3387</x:v>
      </x:c>
      <x:c r="D47" s="12" t="n">
        <x:f>IF('全量明细'!F442="","",'全量明细'!F442)</x:f>
        <x:v>5081</x:v>
      </x:c>
      <x:c r="E47" s="11" t="n">
        <x:f>IF('全量明细'!G442="","",'全量明细'!G442)</x:f>
        <x:v>0.4416</x:v>
      </x:c>
      <x:c r="F47" s="11" t="n">
        <x:f>IF('全量明细'!H442="","",'全量明细'!H442)</x:f>
        <x:v>0.3387</x:v>
      </x:c>
      <x:c r="G47" s="11" t="n">
        <x:f>IF('全量明细'!I442="","",'全量明细'!I442)</x:f>
        <x:v>0.3387</x:v>
      </x:c>
      <x:c r="H47" s="14" t="str">
        <x:f>IF('全量明细'!J442="","",'全量明细'!J442)</x:f>
      </x:c>
      <x:c r="I47" s="28" t="n">
        <x:f>IF('全量明细'!E943="","",'全量明细'!E943)</x:f>
        <x:v>0.42989448</x:v>
      </x:c>
      <x:c r="J47" s="12" t="n">
        <x:f>IF('全量明细'!F943="","",'全量明细'!F943)</x:f>
        <x:v>1826</x:v>
      </x:c>
      <x:c r="K47" s="11" t="n">
        <x:f>IF('全量明细'!G943="","",'全量明细'!G943)</x:f>
        <x:v>0.4644</x:v>
      </x:c>
      <x:c r="L47" s="11" t="n">
        <x:f>IF('全量明细'!H943="","",'全量明细'!H943)</x:f>
        <x:v>0.4375</x:v>
      </x:c>
      <x:c r="M47" s="11" t="n">
        <x:f>IF('全量明细'!I943="","",'全量明细'!I943)</x:f>
        <x:v>0.4233</x:v>
      </x:c>
      <x:c r="N47" s="14" t="n">
        <x:f>IF('全量明细'!J943="","",'全量明细'!J943)</x:f>
        <x:v>1.419999999999999</x:v>
      </x:c>
      <x:c r="O47" s="14" t="n">
        <x:f>IF(AND(ISNUMBER(C47),ISNUMBER(I47)),(I47-C47)*100,"")</x:f>
        <x:v>9.119448000000002</x:v>
      </x:c>
      <x:c r="P47" s="17" t="str"/>
    </x:row>
    <x:row r="48" ht="25" customHeight="1">
      <x:c r="A48" s="2" t="str">
        <x:v>佩尔</x:v>
      </x:c>
      <x:c r="B48" s="2" t="str">
        <x:v>佩尔之肉</x:v>
      </x:c>
      <x:c r="C48" s="28" t="n">
        <x:f>IF('全量明细'!E445="","",'全量明细'!E445)</x:f>
        <x:v>0.33099494000000007</x:v>
      </x:c>
      <x:c r="D48" s="12" t="n">
        <x:f>IF('全量明细'!F445="","",'全量明细'!F445)</x:f>
        <x:v>5009</x:v>
      </x:c>
      <x:c r="E48" s="11" t="n">
        <x:f>IF('全量明细'!G445="","",'全量明细'!G445)</x:f>
        <x:v>0.4458</x:v>
      </x:c>
      <x:c r="F48" s="11" t="n">
        <x:f>IF('全量明细'!H445="","",'全量明细'!H445)</x:f>
        <x:v>0.28350000000000003</x:v>
      </x:c>
      <x:c r="G48" s="11" t="n">
        <x:f>IF('全量明细'!I445="","",'全量明细'!I445)</x:f>
        <x:v>0.36920000000000003</x:v>
      </x:c>
      <x:c r="H48" s="14" t="n">
        <x:f>IF('全量明细'!J445="","",'全量明细'!J445)</x:f>
        <x:v>-8.57</x:v>
      </x:c>
      <x:c r="I48" s="28" t="n">
        <x:f>IF('全量明细'!E941="","",'全量明细'!E941)</x:f>
        <x:v>0.44297492</x:v>
      </x:c>
      <x:c r="J48" s="12" t="n">
        <x:f>IF('全量明细'!F941="","",'全量明细'!F941)</x:f>
        <x:v>1815</x:v>
      </x:c>
      <x:c r="K48" s="11" t="n">
        <x:f>IF('全量明细'!G941="","",'全量明细'!G941)</x:f>
        <x:v>0.4551</x:v>
      </x:c>
      <x:c r="L48" s="11" t="n">
        <x:f>IF('全量明细'!H941="","",'全量明细'!H941)</x:f>
        <x:v>0.3826</x:v>
      </x:c>
      <x:c r="M48" s="11" t="n">
        <x:f>IF('全量明细'!I941="","",'全量明细'!I941)</x:f>
        <x:v>0.49340000000000006</x:v>
      </x:c>
      <x:c r="N48" s="14" t="n">
        <x:f>IF('全量明细'!J941="","",'全量明细'!J941)</x:f>
        <x:v>-11.080000000000007</x:v>
      </x:c>
      <x:c r="O48" s="14" t="n">
        <x:f>IF(AND(ISNUMBER(C48),ISNUMBER(I48)),(I48-C48)*100,"")</x:f>
        <x:v>11.197997999999993</x:v>
      </x:c>
      <x:c r="P48" s="17" t="str"/>
    </x:row>
    <x:row r="49" ht="25" customHeight="1">
      <x:c r="A49" s="2" t="str">
        <x:v>佩尔</x:v>
      </x:c>
      <x:c r="B49" s="2" t="str">
        <x:v>佩尔之血</x:v>
      </x:c>
      <x:c r="C49" s="28" t="n">
        <x:f>IF('全量明细'!E438="","",'全量明细'!E438)</x:f>
        <x:v>0.36082052</x:v>
      </x:c>
      <x:c r="D49" s="12" t="n">
        <x:f>IF('全量明细'!F438="","",'全量明细'!F438)</x:f>
        <x:v>5052</x:v>
      </x:c>
      <x:c r="E49" s="11" t="n">
        <x:f>IF('全量明细'!G438="","",'全量明细'!G438)</x:f>
        <x:v>0.5267000000000001</x:v>
      </x:c>
      <x:c r="F49" s="11" t="n">
        <x:f>IF('全量明细'!H438="","",'全量明细'!H438)</x:f>
        <x:v>0.425</x:v>
      </x:c>
      <x:c r="G49" s="11" t="n">
        <x:f>IF('全量明细'!I438="","",'全量明细'!I438)</x:f>
        <x:v>0.2894</x:v>
      </x:c>
      <x:c r="H49" s="14" t="n">
        <x:f>IF('全量明细'!J438="","",'全量明细'!J438)</x:f>
        <x:v>13.56</x:v>
      </x:c>
      <x:c r="I49" s="28" t="n">
        <x:f>IF('全量明细'!E940="","",'全量明细'!E940)</x:f>
        <x:v>0.4447152</x:v>
      </x:c>
      <x:c r="J49" s="12" t="n">
        <x:f>IF('全量明细'!F940="","",'全量明细'!F940)</x:f>
        <x:v>1772</x:v>
      </x:c>
      <x:c r="K49" s="11" t="n">
        <x:f>IF('全量明细'!G940="","",'全量明细'!G940)</x:f>
        <x:v>0.5604</x:v>
      </x:c>
      <x:c r="L49" s="11" t="n">
        <x:f>IF('全量明细'!H940="","",'全量明细'!H940)</x:f>
        <x:v>0.48340000000000005</x:v>
      </x:c>
      <x:c r="M49" s="11" t="n">
        <x:f>IF('全量明细'!I940="","",'全量明细'!I940)</x:f>
        <x:v>0.3954</x:v>
      </x:c>
      <x:c r="N49" s="14" t="n">
        <x:f>IF('全量明细'!J940="","",'全量明细'!J940)</x:f>
        <x:v>8.800000000000008</x:v>
      </x:c>
      <x:c r="O49" s="14" t="n">
        <x:f>IF(AND(ISNUMBER(C49),ISNUMBER(I49)),(I49-C49)*100,"")</x:f>
        <x:v>8.389468</x:v>
      </x:c>
      <x:c r="P49" s="17" t="str"/>
    </x:row>
    <x:row r="50" ht="25" customHeight="1">
      <x:c r="A50" s="2" t="str">
        <x:v>佩尔</x:v>
      </x:c>
      <x:c r="B50" s="2" t="str">
        <x:v>佩尔之牙</x:v>
      </x:c>
      <x:c r="C50" s="28" t="n">
        <x:f>IF('全量明细'!E443="","",'全量明细'!E443)</x:f>
        <x:v>0.3351207</x:v>
      </x:c>
      <x:c r="D50" s="12" t="n">
        <x:f>IF('全量明细'!F443="","",'全量明细'!F443)</x:f>
        <x:v>4395</x:v>
      </x:c>
      <x:c r="E50" s="11" t="n">
        <x:f>IF('全量明细'!G443="","",'全量明细'!G443)</x:f>
        <x:v>0.1322</x:v>
      </x:c>
      <x:c r="F50" s="11" t="n">
        <x:f>IF('全量明细'!H443="","",'全量明细'!H443)</x:f>
        <x:v>0.2427</x:v>
      </x:c>
      <x:c r="G50" s="11" t="n">
        <x:f>IF('全量明细'!I443="","",'全量明细'!I443)</x:f>
        <x:v>0.3492</x:v>
      </x:c>
      <x:c r="H50" s="14" t="n">
        <x:f>IF('全量明细'!J443="","",'全量明细'!J443)</x:f>
        <x:v>-10.65</x:v>
      </x:c>
      <x:c r="I50" s="28" t="n">
        <x:f>IF('全量明细'!E938="","",'全量明细'!E938)</x:f>
        <x:v>0.44826794000000003</x:v>
      </x:c>
      <x:c r="J50" s="12" t="n">
        <x:f>IF('全量明细'!F938="","",'全量明细'!F938)</x:f>
        <x:v>1642</x:v>
      </x:c>
      <x:c r="K50" s="11" t="n">
        <x:f>IF('全量明细'!G938="","",'全量明细'!G938)</x:f>
        <x:v>0.0987</x:v>
      </x:c>
      <x:c r="L50" s="11" t="n">
        <x:f>IF('全量明细'!H938="","",'全量明细'!H938)</x:f>
        <x:v>0.3457</x:v>
      </x:c>
      <x:c r="M50" s="11" t="n">
        <x:f>IF('全量明细'!I938="","",'全量明细'!I938)</x:f>
        <x:v>0.4595</x:v>
      </x:c>
      <x:c r="N50" s="14" t="n">
        <x:f>IF('全量明细'!J938="","",'全量明细'!J938)</x:f>
        <x:v>-11.38</x:v>
      </x:c>
      <x:c r="O50" s="14" t="n">
        <x:f>IF(AND(ISNUMBER(C50),ISNUMBER(I50)),(I50-C50)*100,"")</x:f>
        <x:v>11.314724000000004</x:v>
      </x:c>
      <x:c r="P50" s="17" t="str"/>
    </x:row>
    <x:row r="51" ht="25" customHeight="1">
      <x:c r="A51" s="2" t="str">
        <x:v>佩尔</x:v>
      </x:c>
      <x:c r="B51" s="2" t="str">
        <x:v>佩尔之眼</x:v>
      </x:c>
      <x:c r="C51" s="28" t="n">
        <x:f>IF('全量明细'!E447="","",'全量明细'!E447)</x:f>
        <x:v>0.28786708</x:v>
      </x:c>
      <x:c r="D51" s="12" t="n">
        <x:f>IF('全量明细'!F447="","",'全量明细'!F447)</x:f>
        <x:v>5027</x:v>
      </x:c>
      <x:c r="E51" s="11" t="n">
        <x:f>IF('全量明细'!G447="","",'全量明细'!G447)</x:f>
        <x:v>0.2339</x:v>
      </x:c>
      <x:c r="F51" s="11" t="n">
        <x:f>IF('全量明细'!H447="","",'全量明细'!H447)</x:f>
        <x:v>0.2704</x:v>
      </x:c>
      <x:c r="G51" s="11" t="n">
        <x:f>IF('全量明细'!I447="","",'全量明细'!I447)</x:f>
        <x:v>0.2932</x:v>
      </x:c>
      <x:c r="H51" s="14" t="n">
        <x:f>IF('全量明细'!J447="","",'全量明细'!J447)</x:f>
        <x:v>-2.2800000000000042</x:v>
      </x:c>
      <x:c r="I51" s="28" t="n">
        <x:f>IF('全量明细'!E946="","",'全量明细'!E946)</x:f>
        <x:v>0.40224706</x:v>
      </x:c>
      <x:c r="J51" s="12" t="n">
        <x:f>IF('全量明细'!F946="","",'全量明细'!F946)</x:f>
        <x:v>1887</x:v>
      </x:c>
      <x:c r="K51" s="11" t="n">
        <x:f>IF('全量明细'!G946="","",'全量明细'!G946)</x:f>
        <x:v>0.1998</x:v>
      </x:c>
      <x:c r="L51" s="11" t="n">
        <x:f>IF('全量明细'!H946="","",'全量明细'!H946)</x:f>
        <x:v>0.374</x:v>
      </x:c>
      <x:c r="M51" s="11" t="n">
        <x:f>IF('全量明细'!I946="","",'全量明细'!I946)</x:f>
        <x:v>0.4093</x:v>
      </x:c>
      <x:c r="N51" s="14" t="n">
        <x:f>IF('全量明细'!J946="","",'全量明细'!J946)</x:f>
        <x:v>-3.53</x:v>
      </x:c>
      <x:c r="O51" s="14" t="n">
        <x:f>IF(AND(ISNUMBER(C51),ISNUMBER(I51)),(I51-C51)*100,"")</x:f>
        <x:v>11.437997999999999</x:v>
      </x:c>
      <x:c r="P51" s="17" t="str"/>
    </x:row>
    <x:row r="52" ht="25" customHeight="1">
      <x:c r="A52" s="2" t="str">
        <x:v>佩尔</x:v>
      </x:c>
      <x:c r="B52" s="2" t="str">
        <x:v>佩尔之翼</x:v>
      </x:c>
      <x:c r="C52" s="28" t="n">
        <x:f>IF('全量明细'!E446="","",'全量明细'!E446)</x:f>
        <x:v>0.31897640000000005</x:v>
      </x:c>
      <x:c r="D52" s="12" t="n">
        <x:f>IF('全量明细'!F446="","",'全量明细'!F446)</x:f>
        <x:v>4380</x:v>
      </x:c>
      <x:c r="E52" s="11" t="n">
        <x:f>IF('全量明细'!G446="","",'全量明细'!G446)</x:f>
        <x:v>0.358</x:v>
      </x:c>
      <x:c r="F52" s="11" t="n">
        <x:f>IF('全量明细'!H446="","",'全量明细'!H446)</x:f>
        <x:v>0.22640000000000002</x:v>
      </x:c>
      <x:c r="G52" s="11" t="n">
        <x:f>IF('全量明细'!I446="","",'全量明细'!I446)</x:f>
        <x:v>0.37060000000000004</x:v>
      </x:c>
      <x:c r="H52" s="14" t="n">
        <x:f>IF('全量明细'!J446="","",'全量明细'!J446)</x:f>
        <x:v>-14.420000000000002</x:v>
      </x:c>
      <x:c r="I52" s="28" t="n">
        <x:f>IF('全量明细'!E947="","",'全量明细'!E947)</x:f>
        <x:v>0.40080399999999994</x:v>
      </x:c>
      <x:c r="J52" s="12" t="n">
        <x:f>IF('全量明细'!F947="","",'全量明细'!F947)</x:f>
        <x:v>1644</x:v>
      </x:c>
      <x:c r="K52" s="11" t="n">
        <x:f>IF('全量明细'!G947="","",'全量明细'!G947)</x:f>
        <x:v>0.292</x:v>
      </x:c>
      <x:c r="L52" s="11" t="n">
        <x:f>IF('全量明细'!H947="","",'全量明细'!H947)</x:f>
        <x:v>0.3208</x:v>
      </x:c>
      <x:c r="M52" s="11" t="n">
        <x:f>IF('全量明细'!I947="","",'全量明细'!I947)</x:f>
        <x:v>0.4338</x:v>
      </x:c>
      <x:c r="N52" s="14" t="n">
        <x:f>IF('全量明细'!J947="","",'全量明细'!J947)</x:f>
        <x:v>-11.300000000000004</x:v>
      </x:c>
      <x:c r="O52" s="14" t="n">
        <x:f>IF(AND(ISNUMBER(C52),ISNUMBER(I52)),(I52-C52)*100,"")</x:f>
        <x:v>8.18275999999999</x:v>
      </x:c>
      <x:c r="P52" s="17" t="str"/>
    </x:row>
    <x:row r="53" ht="25" customHeight="1">
      <x:c r="A53" s="2" t="str">
        <x:v>佩尔</x:v>
      </x:c>
      <x:c r="B53" s="2" t="str">
        <x:v>佩尔之爪</x:v>
      </x:c>
      <x:c r="C53" s="28" t="n">
        <x:f>IF('全量明细'!E440="","",'全量明细'!E440)</x:f>
        <x:v>0.34516102</x:v>
      </x:c>
      <x:c r="D53" s="12" t="n">
        <x:f>IF('全量明细'!F440="","",'全量明细'!F440)</x:f>
        <x:v>4123</x:v>
      </x:c>
      <x:c r="E53" s="11" t="n">
        <x:f>IF('全量明细'!G440="","",'全量明细'!G440)</x:f>
        <x:v>0.2214</x:v>
      </x:c>
      <x:c r="F53" s="11" t="n">
        <x:f>IF('全量明细'!H440="","",'全量明细'!H440)</x:f>
        <x:v>0.2979</x:v>
      </x:c>
      <x:c r="G53" s="11" t="n">
        <x:f>IF('全量明细'!I440="","",'全量明细'!I440)</x:f>
        <x:v>0.3586</x:v>
      </x:c>
      <x:c r="H53" s="14" t="n">
        <x:f>IF('全量明细'!J440="","",'全量明细'!J440)</x:f>
        <x:v>-6.069999999999998</x:v>
      </x:c>
      <x:c r="I53" s="28" t="n">
        <x:f>IF('全量明细'!E944="","",'全量明细'!E944)</x:f>
        <x:v>0.42476980000000003</x:v>
      </x:c>
      <x:c r="J53" s="12" t="n">
        <x:f>IF('全量明细'!F944="","",'全量明细'!F944)</x:f>
        <x:v>1495</x:v>
      </x:c>
      <x:c r="K53" s="11" t="n">
        <x:f>IF('全量明细'!G944="","",'全量明细'!G944)</x:f>
        <x:v>0.20199999999999999</x:v>
      </x:c>
      <x:c r="L53" s="11" t="n">
        <x:f>IF('全量明细'!H944="","",'全量明细'!H944)</x:f>
        <x:v>0.38079999999999997</x:v>
      </x:c>
      <x:c r="M53" s="11" t="n">
        <x:f>IF('全量明细'!I944="","",'全量明细'!I944)</x:f>
        <x:v>0.4359</x:v>
      </x:c>
      <x:c r="N53" s="14" t="n">
        <x:f>IF('全量明细'!J944="","",'全量明细'!J944)</x:f>
        <x:v>-5.510000000000003</x:v>
      </x:c>
      <x:c r="O53" s="14" t="n">
        <x:f>IF(AND(ISNUMBER(C53),ISNUMBER(I53)),(I53-C53)*100,"")</x:f>
        <x:v>7.960878000000005</x:v>
      </x:c>
      <x:c r="P53" s="17" t="str"/>
    </x:row>
    <x:row r="54" ht="25" customHeight="1">
      <x:c r="A54" s="20" t="str">
        <x:v>特兹卡塔拉</x:v>
      </x:c>
      <x:c r="B54" s="20" t="str">
        <x:v>大～抱抱</x:v>
      </x:c>
      <x:c r="C54" s="27" t="n">
        <x:f>IF('全量明细'!E456="","",'全量明细'!E456)</x:f>
        <x:v>0.31967928</x:v>
      </x:c>
      <x:c r="D54" s="23" t="n">
        <x:f>IF('全量明细'!F456="","",'全量明细'!F456)</x:f>
        <x:v>5252</x:v>
      </x:c>
      <x:c r="E54" s="22" t="n">
        <x:f>IF('全量明细'!G456="","",'全量明细'!G456)</x:f>
        <x:v>0.2907</x:v>
      </x:c>
      <x:c r="F54" s="22" t="n">
        <x:f>IF('全量明细'!H456="","",'全量明细'!H456)</x:f>
        <x:v>0.38380000000000003</x:v>
      </x:c>
      <x:c r="G54" s="22" t="n">
        <x:f>IF('全量明细'!I456="","",'全量明细'!I456)</x:f>
        <x:v>0.2934</x:v>
      </x:c>
      <x:c r="H54" s="24" t="n">
        <x:f>IF('全量明细'!J456="","",'全量明细'!J456)</x:f>
        <x:v>9.040000000000003</x:v>
      </x:c>
      <x:c r="I54" s="27" t="n">
        <x:f>IF('全量明细'!E953="","",'全量明细'!E953)</x:f>
        <x:v>0.42445951000000004</x:v>
      </x:c>
      <x:c r="J54" s="23" t="n">
        <x:f>IF('全量明细'!F953="","",'全量明细'!F953)</x:f>
        <x:v>1800</x:v>
      </x:c>
      <x:c r="K54" s="22" t="n">
        <x:f>IF('全量明细'!G953="","",'全量明细'!G953)</x:f>
        <x:v>0.30670000000000003</x:v>
      </x:c>
      <x:c r="L54" s="22" t="n">
        <x:f>IF('全量明细'!H953="","",'全量明细'!H953)</x:f>
        <x:v>0.442</x:v>
      </x:c>
      <x:c r="M54" s="22" t="n">
        <x:f>IF('全量明细'!I953="","",'全量明细'!I953)</x:f>
        <x:v>0.4167</x:v>
      </x:c>
      <x:c r="N54" s="24" t="n">
        <x:f>IF('全量明细'!J953="","",'全量明细'!J953)</x:f>
        <x:v>2.529999999999999</x:v>
      </x:c>
      <x:c r="O54" s="24" t="n">
        <x:f>IF(AND(ISNUMBER(C54),ISNUMBER(I54)),(I54-C54)*100,"")</x:f>
        <x:v>10.478023000000004</x:v>
      </x:c>
      <x:c r="P54" s="31" t="str"/>
    </x:row>
    <x:row r="55" ht="25" customHeight="1">
      <x:c r="A55" s="2" t="str">
        <x:v>特兹卡塔拉</x:v>
      </x:c>
      <x:c r="B55" s="2" t="str">
        <x:v>故事书</x:v>
      </x:c>
      <x:c r="C55" s="28" t="n">
        <x:f>IF('全量明细'!E448="","",'全量明细'!E448)</x:f>
        <x:v>0.36578974</x:v>
      </x:c>
      <x:c r="D55" s="12" t="n">
        <x:f>IF('全量明细'!F448="","",'全量明细'!F448)</x:f>
        <x:v>5060</x:v>
      </x:c>
      <x:c r="E55" s="11" t="n">
        <x:f>IF('全量明细'!G448="","",'全量明细'!G448)</x:f>
        <x:v>0.7021999999999999</x:v>
      </x:c>
      <x:c r="F55" s="11" t="n">
        <x:f>IF('全量明细'!H448="","",'全量明细'!H448)</x:f>
        <x:v>0.4199</x:v>
      </x:c>
      <x:c r="G55" s="11" t="n">
        <x:f>IF('全量明细'!I448="","",'全量明细'!I448)</x:f>
        <x:v>0.2382</x:v>
      </x:c>
      <x:c r="H55" s="14" t="n">
        <x:f>IF('全量明细'!J448="","",'全量明细'!J448)</x:f>
        <x:v>18.17</x:v>
      </x:c>
      <x:c r="I55" s="28" t="n">
        <x:f>IF('全量明细'!E950="","",'全量明细'!E950)</x:f>
        <x:v>0.42854559999999997</x:v>
      </x:c>
      <x:c r="J55" s="12" t="n">
        <x:f>IF('全量明细'!F950="","",'全量明细'!F950)</x:f>
        <x:v>1862</x:v>
      </x:c>
      <x:c r="K55" s="11" t="n">
        <x:f>IF('全量明细'!G950="","",'全量明细'!G950)</x:f>
        <x:v>0.2965</x:v>
      </x:c>
      <x:c r="L55" s="11" t="n">
        <x:f>IF('全量明细'!H950="","",'全量明细'!H950)</x:f>
        <x:v>0.48369999999999996</x:v>
      </x:c>
      <x:c r="M55" s="11" t="n">
        <x:f>IF('全量明细'!I950="","",'全量明细'!I950)</x:f>
        <x:v>0.4053</x:v>
      </x:c>
      <x:c r="N55" s="14" t="n">
        <x:f>IF('全量明细'!J950="","",'全量明细'!J950)</x:f>
        <x:v>7.839999999999997</x:v>
      </x:c>
      <x:c r="O55" s="14" t="n">
        <x:f>IF(AND(ISNUMBER(C55),ISNUMBER(I55)),(I55-C55)*100,"")</x:f>
        <x:v>6.275586</x:v>
      </x:c>
      <x:c r="P55" s="17" t="str"/>
    </x:row>
    <x:row r="56" ht="25" customHeight="1">
      <x:c r="A56" s="2" t="str">
        <x:v>特兹卡塔拉</x:v>
      </x:c>
      <x:c r="B56" s="2" t="str">
        <x:v>烘焙手套</x:v>
      </x:c>
      <x:c r="C56" s="28" t="n">
        <x:f>IF('全量明细'!E454="","",'全量明细'!E454)</x:f>
        <x:v>0.32531604999999997</x:v>
      </x:c>
      <x:c r="D56" s="12" t="n">
        <x:f>IF('全量明细'!F454="","",'全量明细'!F454)</x:f>
        <x:v>5241</x:v>
      </x:c>
      <x:c r="E56" s="11" t="n">
        <x:f>IF('全量明细'!G454="","",'全量明细'!G454)</x:f>
        <x:v>0.0311</x:v>
      </x:c>
      <x:c r="F56" s="11" t="n">
        <x:f>IF('全量明细'!H454="","",'全量明细'!H454)</x:f>
        <x:v>0.2822</x:v>
      </x:c>
      <x:c r="G56" s="11" t="n">
        <x:f>IF('全量明细'!I454="","",'全量明细'!I454)</x:f>
        <x:v>0.3267</x:v>
      </x:c>
      <x:c r="H56" s="14" t="n">
        <x:f>IF('全量明细'!J454="","",'全量明细'!J454)</x:f>
        <x:v>-4.449999999999998</x:v>
      </x:c>
      <x:c r="I56" s="28" t="n">
        <x:f>IF('全量明细'!E955="","",'全量明细'!E955)</x:f>
        <x:v>0.40647335</x:v>
      </x:c>
      <x:c r="J56" s="12" t="n">
        <x:f>IF('全量明细'!F955="","",'全量明细'!F955)</x:f>
        <x:v>1877</x:v>
      </x:c>
      <x:c r="K56" s="11" t="n">
        <x:f>IF('全量明细'!G955="","",'全量明细'!G955)</x:f>
        <x:v>0.3799</x:v>
      </x:c>
      <x:c r="L56" s="11" t="n">
        <x:f>IF('全量明细'!H955="","",'全量明细'!H955)</x:f>
        <x:v>0.3857</x:v>
      </x:c>
      <x:c r="M56" s="11" t="n">
        <x:f>IF('全量明细'!I955="","",'全量明细'!I955)</x:f>
        <x:v>0.4192</x:v>
      </x:c>
      <x:c r="N56" s="14" t="n">
        <x:f>IF('全量明细'!J955="","",'全量明细'!J955)</x:f>
        <x:v>-3.350000000000003</x:v>
      </x:c>
      <x:c r="O56" s="14" t="n">
        <x:f>IF(AND(ISNUMBER(C56),ISNUMBER(I56)),(I56-C56)*100,"")</x:f>
        <x:v>8.115730000000005</x:v>
      </x:c>
      <x:c r="P56" s="17" t="str"/>
    </x:row>
    <x:row r="57" ht="25" customHeight="1">
      <x:c r="A57" s="2" t="str">
        <x:v>特兹卡塔拉</x:v>
      </x:c>
      <x:c r="B57" s="2" t="str">
        <x:v>黄金罗盘</x:v>
      </x:c>
      <x:c r="C57" s="28" t="n">
        <x:f>IF('全量明细'!E449="","",'全量明细'!E449)</x:f>
        <x:v>0.35847724000000003</x:v>
      </x:c>
      <x:c r="D57" s="12" t="n">
        <x:f>IF('全量明细'!F449="","",'全量明细'!F449)</x:f>
        <x:v>4101</x:v>
      </x:c>
      <x:c r="E57" s="11" t="n">
        <x:f>IF('全量明细'!G449="","",'全量明细'!G449)</x:f>
        <x:v>0.29719999999999996</x:v>
      </x:c>
      <x:c r="F57" s="11" t="n">
        <x:f>IF('全量明细'!H449="","",'全量明细'!H449)</x:f>
        <x:v>0.3667</x:v>
      </x:c>
      <x:c r="G57" s="11" t="n">
        <x:f>IF('全量明细'!I449="","",'全量明细'!I449)</x:f>
        <x:v>0.355</x:v>
      </x:c>
      <x:c r="H57" s="14" t="n">
        <x:f>IF('全量明细'!J449="","",'全量明细'!J449)</x:f>
        <x:v>1.1700000000000044</x:v>
      </x:c>
      <x:c r="I57" s="28" t="n">
        <x:f>IF('全量明细'!E957="","",'全量明细'!E957)</x:f>
        <x:v>0.39645752</x:v>
      </x:c>
      <x:c r="J57" s="12" t="n">
        <x:f>IF('全量明细'!F957="","",'全量明细'!F957)</x:f>
        <x:v>1367</x:v>
      </x:c>
      <x:c r="K57" s="11" t="n">
        <x:f>IF('全量明细'!G957="","",'全量明细'!G957)</x:f>
        <x:v>0.2619</x:v>
      </x:c>
      <x:c r="L57" s="11" t="n">
        <x:f>IF('全量明细'!H957="","",'全量明细'!H957)</x:f>
        <x:v>0.33799999999999997</x:v>
      </x:c>
      <x:c r="M57" s="11" t="n">
        <x:f>IF('全量明细'!I957="","",'全量明细'!I957)</x:f>
        <x:v>0.4172</x:v>
      </x:c>
      <x:c r="N57" s="14" t="n">
        <x:f>IF('全量明细'!J957="","",'全量明细'!J957)</x:f>
        <x:v>-7.920000000000005</x:v>
      </x:c>
      <x:c r="O57" s="14" t="n">
        <x:f>IF(AND(ISNUMBER(C57),ISNUMBER(I57)),(I57-C57)*100,"")</x:f>
        <x:v>3.7980279999999977</x:v>
      </x:c>
      <x:c r="P57" s="17" t="str"/>
    </x:row>
    <x:row r="58" ht="25" customHeight="1">
      <x:c r="A58" s="2" t="str">
        <x:v>特兹卡塔拉</x:v>
      </x:c>
      <x:c r="B58" s="2" t="str">
        <x:v>黄金印</x:v>
      </x:c>
      <x:c r="C58" s="28" t="n">
        <x:f>IF('全量明细'!E451="","",'全量明细'!E451)</x:f>
        <x:v>0.34046816</x:v>
      </x:c>
      <x:c r="D58" s="12" t="n">
        <x:f>IF('全量明细'!F451="","",'全量明细'!F451)</x:f>
        <x:v>3751</x:v>
      </x:c>
      <x:c r="E58" s="11" t="n">
        <x:f>IF('全量明细'!G451="","",'全量明细'!G451)</x:f>
        <x:v>0.18719999999999998</x:v>
      </x:c>
      <x:c r="F58" s="11" t="n">
        <x:f>IF('全量明细'!H451="","",'全量明细'!H451)</x:f>
        <x:v>0.359</x:v>
      </x:c>
      <x:c r="G58" s="11" t="n">
        <x:f>IF('全量明细'!I451="","",'全量明细'!I451)</x:f>
        <x:v>0.3362</x:v>
      </x:c>
      <x:c r="H58" s="14" t="n">
        <x:f>IF('全量明细'!J451="","",'全量明细'!J451)</x:f>
        <x:v>2.2799999999999985</x:v>
      </x:c>
      <x:c r="I58" s="28" t="n">
        <x:f>IF('全量明细'!E951="","",'全量明细'!E951)</x:f>
        <x:v>0.42734835</x:v>
      </x:c>
      <x:c r="J58" s="12" t="n">
        <x:f>IF('全量明细'!F951="","",'全量明细'!F951)</x:f>
        <x:v>1418</x:v>
      </x:c>
      <x:c r="K58" s="11" t="n">
        <x:f>IF('全量明细'!G951="","",'全量明细'!G951)</x:f>
        <x:v>0.38789999999999997</x:v>
      </x:c>
      <x:c r="L58" s="11" t="n">
        <x:f>IF('全量明细'!H951="","",'全量明细'!H951)</x:f>
        <x:v>0.5109</x:v>
      </x:c>
      <x:c r="M58" s="11" t="n">
        <x:f>IF('全量明细'!I951="","",'全量明细'!I951)</x:f>
        <x:v>0.37439999999999996</x:v>
      </x:c>
      <x:c r="N58" s="14" t="n">
        <x:f>IF('全量明细'!J951="","",'全量明细'!J951)</x:f>
        <x:v>13.650000000000006</x:v>
      </x:c>
      <x:c r="O58" s="14" t="n">
        <x:f>IF(AND(ISNUMBER(C58),ISNUMBER(I58)),(I58-C58)*100,"")</x:f>
        <x:v>8.688018999999997</x:v>
      </x:c>
      <x:c r="P58" s="17" t="str"/>
    </x:row>
    <x:row r="59" ht="25" customHeight="1">
      <x:c r="A59" s="2" t="str">
        <x:v>特兹卡塔拉</x:v>
      </x:c>
      <x:c r="B59" s="2" t="str">
        <x:v>美味饼干</x:v>
      </x:c>
      <x:c r="C59" s="28" t="n">
        <x:f>IF('全量明细'!E455="","",'全量明细'!E455)</x:f>
        <x:v>0.32504866000000004</x:v>
      </x:c>
      <x:c r="D59" s="12" t="n">
        <x:f>IF('全量明细'!F455="","",'全量明细'!F455)</x:f>
        <x:v>5279</x:v>
      </x:c>
      <x:c r="E59" s="11" t="n">
        <x:f>IF('全量明细'!G455="","",'全量明细'!G455)</x:f>
        <x:v>0.4681</x:v>
      </x:c>
      <x:c r="F59" s="11" t="n">
        <x:f>IF('全量明细'!H455="","",'全量明细'!H455)</x:f>
        <x:v>0.23920000000000002</x:v>
      </x:c>
      <x:c r="G59" s="11" t="n">
        <x:f>IF('全量明细'!I455="","",'全量明细'!I455)</x:f>
        <x:v>0.4006</x:v>
      </x:c>
      <x:c r="H59" s="14" t="n">
        <x:f>IF('全量明细'!J455="","",'全量明细'!J455)</x:f>
        <x:v>-16.14</x:v>
      </x:c>
      <x:c r="I59" s="28" t="n">
        <x:f>IF('全量明细'!E952="","",'全量明细'!E952)</x:f>
        <x:v>0.42516248</x:v>
      </x:c>
      <x:c r="J59" s="12" t="n">
        <x:f>IF('全量明细'!F952="","",'全量明细'!F952)</x:f>
        <x:v>1825</x:v>
      </x:c>
      <x:c r="K59" s="11" t="n">
        <x:f>IF('全量明细'!G952="","",'全量明细'!G952)</x:f>
        <x:v>0.38520000000000004</x:v>
      </x:c>
      <x:c r="L59" s="11" t="n">
        <x:f>IF('全量明细'!H952="","",'全量明细'!H952)</x:f>
        <x:v>0.3129</x:v>
      </x:c>
      <x:c r="M59" s="11" t="n">
        <x:f>IF('全量明细'!I952="","",'全量明细'!I952)</x:f>
        <x:v>0.4955</x:v>
      </x:c>
      <x:c r="N59" s="14" t="n">
        <x:f>IF('全量明细'!J952="","",'全量明细'!J952)</x:f>
        <x:v>-18.259999999999998</x:v>
      </x:c>
      <x:c r="O59" s="14" t="n">
        <x:f>IF(AND(ISNUMBER(C59),ISNUMBER(I59)),(I59-C59)*100,"")</x:f>
        <x:v>10.011381999999996</x:v>
      </x:c>
      <x:c r="P59" s="17" t="str"/>
    </x:row>
    <x:row r="60" ht="25" customHeight="1">
      <x:c r="A60" s="2" t="str">
        <x:v>特兹卡塔拉</x:v>
      </x:c>
      <x:c r="B60" s="2" t="str">
        <x:v>南瓜蜡烛</x:v>
      </x:c>
      <x:c r="C60" s="28" t="n">
        <x:f>IF('全量明细'!E453="","",'全量明细'!E453)</x:f>
        <x:v>0.32757932</x:v>
      </x:c>
      <x:c r="D60" s="12" t="n">
        <x:f>IF('全量明细'!F453="","",'全量明细'!F453)</x:f>
        <x:v>3877</x:v>
      </x:c>
      <x:c r="E60" s="11" t="n">
        <x:f>IF('全量明细'!G453="","",'全量明细'!G453)</x:f>
        <x:v>0.3804</x:v>
      </x:c>
      <x:c r="F60" s="11" t="n">
        <x:f>IF('全量明细'!H453="","",'全量明细'!H453)</x:f>
        <x:v>0.3668</x:v>
      </x:c>
      <x:c r="G60" s="11" t="n">
        <x:f>IF('全量明细'!I453="","",'全量明细'!I453)</x:f>
        <x:v>0.3035</x:v>
      </x:c>
      <x:c r="H60" s="14" t="n">
        <x:f>IF('全量明细'!J453="","",'全量明细'!J453)</x:f>
        <x:v>6.330000000000002</x:v>
      </x:c>
      <x:c r="I60" s="28" t="n">
        <x:f>IF('全量明细'!E948="","",'全量明细'!E948)</x:f>
        <x:v>0.43573898</x:v>
      </x:c>
      <x:c r="J60" s="12" t="n">
        <x:f>IF('全量明细'!F948="","",'全量明细'!F948)</x:f>
        <x:v>1354</x:v>
      </x:c>
      <x:c r="K60" s="11" t="n">
        <x:f>IF('全量明细'!G948="","",'全量明细'!G948)</x:f>
        <x:v>0.4719</x:v>
      </x:c>
      <x:c r="L60" s="11" t="n">
        <x:f>IF('全量明细'!H948="","",'全量明细'!H948)</x:f>
        <x:v>0.45380000000000004</x:v>
      </x:c>
      <x:c r="M60" s="11" t="n">
        <x:f>IF('全量明细'!I948="","",'全量明细'!I948)</x:f>
        <x:v>0.41960000000000003</x:v>
      </x:c>
      <x:c r="N60" s="14" t="n">
        <x:f>IF('全量明细'!J948="","",'全量明细'!J948)</x:f>
        <x:v>3.420000000000001</x:v>
      </x:c>
      <x:c r="O60" s="14" t="n">
        <x:f>IF(AND(ISNUMBER(C60),ISNUMBER(I60)),(I60-C60)*100,"")</x:f>
        <x:v>10.815966</x:v>
      </x:c>
      <x:c r="P60" s="17" t="str"/>
    </x:row>
    <x:row r="61" ht="25" customHeight="1">
      <x:c r="A61" s="2" t="str">
        <x:v>特兹卡塔拉</x:v>
      </x:c>
      <x:c r="B61" s="2" t="str">
        <x:v>烫嘴可可</x:v>
      </x:c>
      <x:c r="C61" s="28" t="n">
        <x:f>IF('全量明细'!E450="","",'全量明细'!E450)</x:f>
        <x:v>0.34708888</x:v>
      </x:c>
      <x:c r="D61" s="12" t="n">
        <x:f>IF('全量明细'!F450="","",'全量明细'!F450)</x:f>
        <x:v>5189</x:v>
      </x:c>
      <x:c r="E61" s="11" t="n">
        <x:f>IF('全量明细'!G450="","",'全量明细'!G450)</x:f>
        <x:v>0.4548</x:v>
      </x:c>
      <x:c r="F61" s="11" t="n">
        <x:f>IF('全量明细'!H450="","",'全量明细'!H450)</x:f>
        <x:v>0.3038</x:v>
      </x:c>
      <x:c r="G61" s="11" t="n">
        <x:f>IF('全量明细'!I450="","",'全量明细'!I450)</x:f>
        <x:v>0.3832</x:v>
      </x:c>
      <x:c r="H61" s="14" t="n">
        <x:f>IF('全量明细'!J450="","",'全量明细'!J450)</x:f>
        <x:v>-7.939999999999997</x:v>
      </x:c>
      <x:c r="I61" s="28" t="n">
        <x:f>IF('全量明细'!E949="","",'全量明细'!E949)</x:f>
        <x:v>0.43080562</x:v>
      </x:c>
      <x:c r="J61" s="12" t="n">
        <x:f>IF('全量明细'!F949="","",'全量明细'!F949)</x:f>
        <x:v>1815</x:v>
      </x:c>
      <x:c r="K61" s="11" t="n">
        <x:f>IF('全量明细'!G949="","",'全量明细'!G949)</x:f>
        <x:v>0.3554</x:v>
      </x:c>
      <x:c r="L61" s="11" t="n">
        <x:f>IF('全量明细'!H949="","",'全量明细'!H949)</x:f>
        <x:v>0.38909999999999995</x:v>
      </x:c>
      <x:c r="M61" s="11" t="n">
        <x:f>IF('全量明细'!I949="","",'全量明细'!I949)</x:f>
        <x:v>0.45380000000000004</x:v>
      </x:c>
      <x:c r="N61" s="14" t="n">
        <x:f>IF('全量明细'!J949="","",'全量明细'!J949)</x:f>
        <x:v>-6.4700000000000095</x:v>
      </x:c>
      <x:c r="O61" s="14" t="n">
        <x:f>IF(AND(ISNUMBER(C61),ISNUMBER(I61)),(I61-C61)*100,"")</x:f>
        <x:v>8.371674</x:v>
      </x:c>
      <x:c r="P61" s="17" t="str"/>
    </x:row>
    <x:row r="62" ht="25" customHeight="1">
      <x:c r="A62" s="2" t="str">
        <x:v>特兹卡塔拉</x:v>
      </x:c>
      <x:c r="B62" s="2" t="str">
        <x:v>玩具盒</x:v>
      </x:c>
      <x:c r="C62" s="28" t="n">
        <x:f>IF('全量明细'!E457="","",'全量明细'!E457)</x:f>
        <x:v>0.31877803</x:v>
      </x:c>
      <x:c r="D62" s="12" t="n">
        <x:f>IF('全量明细'!F457="","",'全量明细'!F457)</x:f>
        <x:v>3840</x:v>
      </x:c>
      <x:c r="E62" s="11" t="n">
        <x:f>IF('全量明细'!G457="","",'全量明细'!G457)</x:f>
        <x:v>0.2557</x:v>
      </x:c>
      <x:c r="F62" s="11" t="n">
        <x:f>IF('全量明细'!H457="","",'全量明细'!H457)</x:f>
        <x:v>0.28</x:v>
      </x:c>
      <x:c r="G62" s="11" t="n">
        <x:f>IF('全量明细'!I457="","",'全量明细'!I457)</x:f>
        <x:v>0.3321</x:v>
      </x:c>
      <x:c r="H62" s="14" t="n">
        <x:f>IF('全量明细'!J457="","",'全量明细'!J457)</x:f>
        <x:v>-5.209999999999998</x:v>
      </x:c>
      <x:c r="I62" s="28" t="n">
        <x:f>IF('全量明细'!E954="","",'全量明细'!E954)</x:f>
        <x:v>0.41910154</x:v>
      </x:c>
      <x:c r="J62" s="12" t="n">
        <x:f>IF('全量明细'!F954="","",'全量明细'!F954)</x:f>
        <x:v>1403</x:v>
      </x:c>
      <x:c r="K62" s="11" t="n">
        <x:f>IF('全量明细'!G954="","",'全量明细'!G954)</x:f>
        <x:v>0.3763</x:v>
      </x:c>
      <x:c r="L62" s="11" t="n">
        <x:f>IF('全量明细'!H954="","",'全量明细'!H954)</x:f>
        <x:v>0.5038</x:v>
      </x:c>
      <x:c r="M62" s="11" t="n">
        <x:f>IF('全量明细'!I954="","",'全量明细'!I954)</x:f>
        <x:v>0.368</x:v>
      </x:c>
      <x:c r="N62" s="14" t="n">
        <x:f>IF('全量明细'!J954="","",'全量明细'!J954)</x:f>
        <x:v>13.580000000000004</x:v>
      </x:c>
      <x:c r="O62" s="14" t="n">
        <x:f>IF(AND(ISNUMBER(C62),ISNUMBER(I62)),(I62-C62)*100,"")</x:f>
        <x:v>10.032351</x:v>
      </x:c>
      <x:c r="P62" s="17" t="str"/>
    </x:row>
    <x:row r="63" ht="25" customHeight="1">
      <x:c r="A63" s="2" t="str">
        <x:v>特兹卡塔拉</x:v>
      </x:c>
      <x:c r="B63" s="2" t="str">
        <x:v>营养汤</x:v>
      </x:c>
      <x:c r="C63" s="28" t="n">
        <x:f>IF('全量明细'!E452="","",'全量明细'!E452)</x:f>
        <x:v>0.33781108000000004</x:v>
      </x:c>
      <x:c r="D63" s="12" t="n">
        <x:f>IF('全量明细'!F452="","",'全量明细'!F452)</x:f>
        <x:v>5091</x:v>
      </x:c>
      <x:c r="E63" s="11" t="n">
        <x:f>IF('全量明细'!G452="","",'全量明细'!G452)</x:f>
        <x:v>0.2114</x:v>
      </x:c>
      <x:c r="F63" s="11" t="n">
        <x:f>IF('全量明细'!H452="","",'全量明细'!H452)</x:f>
        <x:v>0.2528</x:v>
      </x:c>
      <x:c r="G63" s="11" t="n">
        <x:f>IF('全量明细'!I452="","",'全量明细'!I452)</x:f>
        <x:v>0.36060000000000003</x:v>
      </x:c>
      <x:c r="H63" s="14" t="n">
        <x:f>IF('全量明细'!J452="","",'全量明细'!J452)</x:f>
        <x:v>-10.780000000000001</x:v>
      </x:c>
      <x:c r="I63" s="28" t="n">
        <x:f>IF('全量明细'!E956="","",'全量明细'!E956)</x:f>
        <x:v>0.40386568999999994</x:v>
      </x:c>
      <x:c r="J63" s="12" t="n">
        <x:f>IF('全量明细'!F956="","",'全量明细'!F956)</x:f>
        <x:v>1899</x:v>
      </x:c>
      <x:c r="K63" s="11" t="n">
        <x:f>IF('全量明细'!G956="","",'全量明细'!G956)</x:f>
        <x:v>0.1543</x:v>
      </x:c>
      <x:c r="L63" s="11" t="n">
        <x:f>IF('全量明细'!H956="","",'全量明细'!H956)</x:f>
        <x:v>0.3686</x:v>
      </x:c>
      <x:c r="M63" s="11" t="n">
        <x:f>IF('全量明细'!I956="","",'全量明细'!I956)</x:f>
        <x:v>0.4103</x:v>
      </x:c>
      <x:c r="N63" s="14" t="n">
        <x:f>IF('全量明细'!J956="","",'全量明细'!J956)</x:f>
        <x:v>-4.170000000000002</x:v>
      </x:c>
      <x:c r="O63" s="14" t="n">
        <x:f>IF(AND(ISNUMBER(C63),ISNUMBER(I63)),(I63-C63)*100,"")</x:f>
        <x:v>6.60546099999999</x:v>
      </x:c>
      <x:c r="P63" s="17" t="str"/>
    </x:row>
    <x:row r="64" ht="25" customHeight="1">
      <x:c r="A64" s="20" t="str">
        <x:v>诺奴佩普</x:v>
      </x:c>
      <x:c r="B64" s="20" t="str">
        <x:v>布质果实</x:v>
      </x:c>
      <x:c r="C64" s="27" t="n">
        <x:f>IF('全量明细'!E463="","",'全量明细'!E463)</x:f>
        <x:v>0.55304208</x:v>
      </x:c>
      <x:c r="D64" s="23" t="n">
        <x:f>IF('全量明细'!F463="","",'全量明细'!F463)</x:f>
        <x:v>2884</x:v>
      </x:c>
      <x:c r="E64" s="22" t="n">
        <x:f>IF('全量明细'!G463="","",'全量明细'!G463)</x:f>
        <x:v>0.2112</x:v>
      </x:c>
      <x:c r="F64" s="22" t="n">
        <x:f>IF('全量明细'!H463="","",'全量明细'!H463)</x:f>
        <x:v>0.5222</x:v>
      </x:c>
      <x:c r="G64" s="22" t="n">
        <x:f>IF('全量明细'!I463="","",'全量明细'!I463)</x:f>
        <x:v>0.5613</x:v>
      </x:c>
      <x:c r="H64" s="24" t="n">
        <x:f>IF('全量明细'!J463="","",'全量明细'!J463)</x:f>
        <x:v>-3.9100000000000024</x:v>
      </x:c>
      <x:c r="I64" s="27" t="n">
        <x:f>IF('全量明细'!E965="","",'全量明细'!E965)</x:f>
        <x:v>0.64014892</x:v>
      </x:c>
      <x:c r="J64" s="23" t="n">
        <x:f>IF('全量明细'!F965="","",'全量明细'!F965)</x:f>
        <x:v>1131</x:v>
      </x:c>
      <x:c r="K64" s="22" t="n">
        <x:f>IF('全量明细'!G965="","",'全量明细'!G965)</x:f>
        <x:v>0.1813</x:v>
      </x:c>
      <x:c r="L64" s="22" t="n">
        <x:f>IF('全量明细'!H965="","",'全量明细'!H965)</x:f>
        <x:v>0.6634</x:v>
      </x:c>
      <x:c r="M64" s="22" t="n">
        <x:f>IF('全量明细'!I965="","",'全量明细'!I965)</x:f>
        <x:v>0.635</x:v>
      </x:c>
      <x:c r="N64" s="24" t="n">
        <x:f>IF('全量明细'!J965="","",'全量明细'!J965)</x:f>
        <x:v>2.839999999999998</x:v>
      </x:c>
      <x:c r="O64" s="24" t="n">
        <x:f>IF(AND(ISNUMBER(C64),ISNUMBER(I64)),(I64-C64)*100,"")</x:f>
        <x:v>8.710684000000002</x:v>
      </x:c>
      <x:c r="P64" s="31" t="str"/>
    </x:row>
    <x:row r="65" ht="25" customHeight="1">
      <x:c r="A65" s="2" t="str">
        <x:v>诺奴佩普</x:v>
      </x:c>
      <x:c r="B65" s="2" t="str">
        <x:v>赐福鹿角</x:v>
      </x:c>
      <x:c r="C65" s="28" t="n">
        <x:f>IF('全量明细'!E465="","",'全量明细'!E465)</x:f>
        <x:v>0.53655988</x:v>
      </x:c>
      <x:c r="D65" s="12" t="n">
        <x:f>IF('全量明细'!F465="","",'全量明细'!F465)</x:f>
        <x:v>2874</x:v>
      </x:c>
      <x:c r="E65" s="11" t="n">
        <x:f>IF('全量明细'!G465="","",'全量明细'!G465)</x:f>
        <x:v>0.2933</x:v>
      </x:c>
      <x:c r="F65" s="11" t="n">
        <x:f>IF('全量明细'!H465="","",'全量明细'!H465)</x:f>
        <x:v>0.4543</x:v>
      </x:c>
      <x:c r="G65" s="11" t="n">
        <x:f>IF('全量明细'!I465="","",'全量明细'!I465)</x:f>
        <x:v>0.5707</x:v>
      </x:c>
      <x:c r="H65" s="14" t="n">
        <x:f>IF('全量明细'!J465="","",'全量明细'!J465)</x:f>
        <x:v>-11.64</x:v>
      </x:c>
      <x:c r="I65" s="28" t="n">
        <x:f>IF('全量明细'!E967="","",'全量明细'!E967)</x:f>
        <x:v>0.61826798</x:v>
      </x:c>
      <x:c r="J65" s="12" t="n">
        <x:f>IF('全量明细'!F967="","",'全量明细'!F967)</x:f>
        <x:v>1116</x:v>
      </x:c>
      <x:c r="K65" s="11" t="n">
        <x:f>IF('全量明细'!G967="","",'全量明细'!G967)</x:f>
        <x:v>0.25989999999999996</x:v>
      </x:c>
      <x:c r="L65" s="11" t="n">
        <x:f>IF('全量明细'!H967="","",'全量明细'!H967)</x:f>
        <x:v>0.5</x:v>
      </x:c>
      <x:c r="M65" s="11" t="n">
        <x:f>IF('全量明细'!I967="","",'全量明细'!I967)</x:f>
        <x:v>0.6598</x:v>
      </x:c>
      <x:c r="N65" s="14" t="n">
        <x:f>IF('全量明细'!J967="","",'全量明细'!J967)</x:f>
        <x:v>-15.980000000000006</x:v>
      </x:c>
      <x:c r="O65" s="14" t="n">
        <x:f>IF(AND(ISNUMBER(C65),ISNUMBER(I65)),(I65-C65)*100,"")</x:f>
        <x:v>8.170810000000007</x:v>
      </x:c>
      <x:c r="P65" s="17" t="str"/>
    </x:row>
    <x:row r="66" ht="25" customHeight="1">
      <x:c r="A66" s="2" t="str">
        <x:v>诺奴佩普</x:v>
      </x:c>
      <x:c r="B66" s="2" t="str">
        <x:v>华美手镯</x:v>
      </x:c>
      <x:c r="C66" s="28" t="n">
        <x:f>IF('全量明细'!E461="","",'全量明细'!E461)</x:f>
        <x:v>0.55541315</x:v>
      </x:c>
      <x:c r="D66" s="12" t="n">
        <x:f>IF('全量明细'!F461="","",'全量明细'!F461)</x:f>
        <x:v>2861</x:v>
      </x:c>
      <x:c r="E66" s="11" t="n">
        <x:f>IF('全量明细'!G461="","",'全量明细'!G461)</x:f>
        <x:v>0.33549999999999996</x:v>
      </x:c>
      <x:c r="F66" s="11" t="n">
        <x:f>IF('全量明细'!H461="","",'全量明细'!H461)</x:f>
        <x:v>0.6718999999999999</x:v>
      </x:c>
      <x:c r="G66" s="11" t="n">
        <x:f>IF('全量明细'!I461="","",'全量明细'!I461)</x:f>
        <x:v>0.4966</x:v>
      </x:c>
      <x:c r="H66" s="14" t="n">
        <x:f>IF('全量明细'!J461="","",'全量明细'!J461)</x:f>
        <x:v>17.529999999999994</x:v>
      </x:c>
      <x:c r="I66" s="28" t="n">
        <x:f>IF('全量明细'!E964="","",'全量明细'!E964)</x:f>
        <x:v>0.65316</x:v>
      </x:c>
      <x:c r="J66" s="12" t="n">
        <x:f>IF('全量明细'!F964="","",'全量明细'!F964)</x:f>
        <x:v>1110</x:v>
      </x:c>
      <x:c r="K66" s="11" t="n">
        <x:f>IF('全量明细'!G964="","",'全量明细'!G964)</x:f>
        <x:v>0.2486</x:v>
      </x:c>
      <x:c r="L66" s="11" t="n">
        <x:f>IF('全量明细'!H964="","",'全量明细'!H964)</x:f>
        <x:v>0.7283</x:v>
      </x:c>
      <x:c r="M66" s="11" t="n">
        <x:f>IF('全量明细'!I964="","",'全量明细'!I964)</x:f>
        <x:v>0.6283</x:v>
      </x:c>
      <x:c r="N66" s="14" t="n">
        <x:f>IF('全量明细'!J964="","",'全量明细'!J964)</x:f>
        <x:v>9.999999999999998</x:v>
      </x:c>
      <x:c r="O66" s="14" t="n">
        <x:f>IF(AND(ISNUMBER(C66),ISNUMBER(I66)),(I66-C66)*100,"")</x:f>
        <x:v>9.774684999999995</x:v>
      </x:c>
      <x:c r="P66" s="17" t="str"/>
    </x:row>
    <x:row r="67" ht="25" customHeight="1">
      <x:c r="A67" s="2" t="str">
        <x:v>诺奴佩普</x:v>
      </x:c>
      <x:c r="B67" s="2" t="str">
        <x:v>娇嫩蕨草</x:v>
      </x:c>
      <x:c r="C67" s="28" t="n">
        <x:f>IF('全量明细'!E459="","",'全量明细'!E459)</x:f>
        <x:v>0.56866859</x:v>
      </x:c>
      <x:c r="D67" s="12" t="n">
        <x:f>IF('全量明细'!F459="","",'全量明细'!F459)</x:f>
        <x:v>2870</x:v>
      </x:c>
      <x:c r="E67" s="11" t="n">
        <x:f>IF('全量明细'!G459="","",'全量明细'!G459)</x:f>
        <x:v>0.1679</x:v>
      </x:c>
      <x:c r="F67" s="11" t="n">
        <x:f>IF('全量明细'!H459="","",'全量明细'!H459)</x:f>
        <x:v>0.6037</x:v>
      </x:c>
      <x:c r="G67" s="11" t="n">
        <x:f>IF('全量明细'!I459="","",'全量明细'!I459)</x:f>
        <x:v>0.5616</x:v>
      </x:c>
      <x:c r="H67" s="14" t="n">
        <x:f>IF('全量明细'!J459="","",'全量明细'!J459)</x:f>
        <x:v>4.210000000000003</x:v>
      </x:c>
      <x:c r="I67" s="28" t="n">
        <x:f>IF('全量明细'!E962="","",'全量明细'!E962)</x:f>
        <x:v>0.65858887</x:v>
      </x:c>
      <x:c r="J67" s="12" t="n">
        <x:f>IF('全量明细'!F962="","",'全量明细'!F962)</x:f>
        <x:v>1113</x:v>
      </x:c>
      <x:c r="K67" s="11" t="n">
        <x:f>IF('全量明细'!G962="","",'全量明细'!G962)</x:f>
        <x:v>0.18510000000000001</x:v>
      </x:c>
      <x:c r="L67" s="11" t="n">
        <x:f>IF('全量明细'!H962="","",'全量明细'!H962)</x:f>
        <x:v>0.6942</x:v>
      </x:c>
      <x:c r="M67" s="11" t="n">
        <x:f>IF('全量明细'!I962="","",'全量明细'!I962)</x:f>
        <x:v>0.6505</x:v>
      </x:c>
      <x:c r="N67" s="14" t="n">
        <x:f>IF('全量明细'!J962="","",'全量明细'!J962)</x:f>
        <x:v>4.370000000000007</x:v>
      </x:c>
      <x:c r="O67" s="14" t="n">
        <x:f>IF(AND(ISNUMBER(C67),ISNUMBER(I67)),(I67-C67)*100,"")</x:f>
        <x:v>8.992027999999996</x:v>
      </x:c>
      <x:c r="P67" s="17" t="str"/>
    </x:row>
    <x:row r="68" ht="25" customHeight="1">
      <x:c r="A68" s="2" t="str">
        <x:v>诺奴佩普</x:v>
      </x:c>
      <x:c r="B68" s="2" t="str">
        <x:v>亮片</x:v>
      </x:c>
      <x:c r="C68" s="28" t="n">
        <x:f>IF('全量明细'!E462="","",'全量明细'!E462)</x:f>
        <x:v>0.55346875</x:v>
      </x:c>
      <x:c r="D68" s="12" t="n">
        <x:f>IF('全量明细'!F462="","",'全量明细'!F462)</x:f>
        <x:v>2871</x:v>
      </x:c>
      <x:c r="E68" s="11" t="n">
        <x:f>IF('全量明细'!G462="","",'全量明细'!G462)</x:f>
        <x:v>0.4375</x:v>
      </x:c>
      <x:c r="F68" s="11" t="n">
        <x:f>IF('全量明细'!H462="","",'全量明细'!H462)</x:f>
        <x:v>0.5398</x:v>
      </x:c>
      <x:c r="G68" s="11" t="n">
        <x:f>IF('全量明细'!I462="","",'全量明细'!I462)</x:f>
        <x:v>0.5640999999999999</x:v>
      </x:c>
      <x:c r="H68" s="14" t="n">
        <x:f>IF('全量明细'!J462="","",'全量明细'!J462)</x:f>
        <x:v>-2.429999999999999</x:v>
      </x:c>
      <x:c r="I68" s="28" t="n">
        <x:f>IF('全量明细'!E961="","",'全量明细'!E961)</x:f>
        <x:v>0.6597222</x:v>
      </x:c>
      <x:c r="J68" s="12" t="n">
        <x:f>IF('全量明细'!F961="","",'全量明细'!F961)</x:f>
        <x:v>1102</x:v>
      </x:c>
      <x:c r="K68" s="11" t="n">
        <x:f>IF('全量明细'!G961="","",'全量明细'!G961)</x:f>
        <x:v>0.40740000000000004</x:v>
      </x:c>
      <x:c r="L68" s="11" t="n">
        <x:f>IF('全量明细'!H961="","",'全量明细'!H961)</x:f>
        <x:v>0.6615000000000001</x:v>
      </x:c>
      <x:c r="M68" s="11" t="n">
        <x:f>IF('全量明细'!I961="","",'全量明细'!I961)</x:f>
        <x:v>0.6585</x:v>
      </x:c>
      <x:c r="N68" s="14" t="n">
        <x:f>IF('全量明细'!J961="","",'全量明细'!J961)</x:f>
        <x:v>0.30000000000001137</x:v>
      </x:c>
      <x:c r="O68" s="14" t="n">
        <x:f>IF(AND(ISNUMBER(C68),ISNUMBER(I68)),(I68-C68)*100,"")</x:f>
        <x:v>10.625345000000008</x:v>
      </x:c>
      <x:c r="P68" s="17" t="str"/>
    </x:row>
    <x:row r="69" ht="25" customHeight="1">
      <x:c r="A69" s="2" t="str">
        <x:v>诺奴佩普</x:v>
      </x:c>
      <x:c r="B69" s="2" t="str">
        <x:v>皮草大衣</x:v>
      </x:c>
      <x:c r="C69" s="28" t="n">
        <x:f>IF('全量明细'!E467="","",'全量明细'!E467)</x:f>
        <x:v>0.5252438100000001</x:v>
      </x:c>
      <x:c r="D69" s="12" t="n">
        <x:f>IF('全量明细'!F467="","",'全量明细'!F467)</x:f>
        <x:v>2854</x:v>
      </x:c>
      <x:c r="E69" s="11" t="n">
        <x:f>IF('全量明细'!G467="","",'全量明细'!G467)</x:f>
        <x:v>0.3111</x:v>
      </x:c>
      <x:c r="F69" s="11" t="n">
        <x:f>IF('全量明细'!H467="","",'全量明细'!H467)</x:f>
        <x:v>0.4268</x:v>
      </x:c>
      <x:c r="G69" s="11" t="n">
        <x:f>IF('全量明细'!I467="","",'全量明细'!I467)</x:f>
        <x:v>0.5697</x:v>
      </x:c>
      <x:c r="H69" s="14" t="n">
        <x:f>IF('全量明细'!J467="","",'全量明细'!J467)</x:f>
        <x:v>-14.289999999999997</x:v>
      </x:c>
      <x:c r="I69" s="28" t="n">
        <x:f>IF('全量明细'!E966="","",'全量明细'!E966)</x:f>
        <x:v>0.6298765000000001</x:v>
      </x:c>
      <x:c r="J69" s="12" t="n">
        <x:f>IF('全量明细'!F966="","",'全量明细'!F966)</x:f>
        <x:v>1097</x:v>
      </x:c>
      <x:c r="K69" s="11" t="n">
        <x:f>IF('全量明细'!G966="","",'全量明细'!G966)</x:f>
        <x:v>0.289</x:v>
      </x:c>
      <x:c r="L69" s="11" t="n">
        <x:f>IF('全量明细'!H966="","",'全量明细'!H966)</x:f>
        <x:v>0.47950000000000004</x:v>
      </x:c>
      <x:c r="M69" s="11" t="n">
        <x:f>IF('全量明细'!I966="","",'全量明细'!I966)</x:f>
        <x:v>0.691</x:v>
      </x:c>
      <x:c r="N69" s="14" t="n">
        <x:f>IF('全量明细'!J966="","",'全量明细'!J966)</x:f>
        <x:v>-21.14999999999999</x:v>
      </x:c>
      <x:c r="O69" s="14" t="n">
        <x:f>IF(AND(ISNUMBER(C69),ISNUMBER(I69)),(I69-C69)*100,"")</x:f>
        <x:v>10.463268999999997</x:v>
      </x:c>
      <x:c r="P69" s="17" t="str"/>
    </x:row>
    <x:row r="70" ht="25" customHeight="1">
      <x:c r="A70" s="2" t="str">
        <x:v>诺奴佩普</x:v>
      </x:c>
      <x:c r="B70" s="2" t="str">
        <x:v>图章戒指</x:v>
      </x:c>
      <x:c r="C70" s="28" t="n">
        <x:f>IF('全量明细'!E460="","",'全量明细'!E460)</x:f>
        <x:v>0.5682528</x:v>
      </x:c>
      <x:c r="D70" s="12" t="n">
        <x:f>IF('全量明细'!F460="","",'全量明细'!F460)</x:f>
        <x:v>2953</x:v>
      </x:c>
      <x:c r="E70" s="11" t="n">
        <x:f>IF('全量明细'!G460="","",'全量明细'!G460)</x:f>
        <x:v>0.488</x:v>
      </x:c>
      <x:c r="F70" s="11" t="n">
        <x:f>IF('全量明细'!H460="","",'全量明细'!H460)</x:f>
        <x:v>0.5788</x:v>
      </x:c>
      <x:c r="G70" s="11" t="n">
        <x:f>IF('全量明细'!I460="","",'全量明细'!I460)</x:f>
        <x:v>0.5582</x:v>
      </x:c>
      <x:c r="H70" s="14" t="n">
        <x:f>IF('全量明细'!J460="","",'全量明细'!J460)</x:f>
        <x:v>2.059999999999995</x:v>
      </x:c>
      <x:c r="I70" s="28" t="n">
        <x:f>IF('全量明细'!E960="","",'全量明细'!E960)</x:f>
        <x:v>0.66110965</x:v>
      </x:c>
      <x:c r="J70" s="12" t="n">
        <x:f>IF('全量明细'!F960="","",'全量明细'!F960)</x:f>
        <x:v>1133</x:v>
      </x:c>
      <x:c r="K70" s="11" t="n">
        <x:f>IF('全量明细'!G960="","",'全量明细'!G960)</x:f>
        <x:v>0.4545</x:v>
      </x:c>
      <x:c r="L70" s="11" t="n">
        <x:f>IF('全量明细'!H960="","",'全量明细'!H960)</x:f>
        <x:v>0.6544</x:v>
      </x:c>
      <x:c r="M70" s="11" t="n">
        <x:f>IF('全量明细'!I960="","",'全量明细'!I960)</x:f>
        <x:v>0.6667000000000001</x:v>
      </x:c>
      <x:c r="N70" s="14" t="n">
        <x:f>IF('全量明细'!J960="","",'全量明细'!J960)</x:f>
        <x:v>-1.2300000000000089</x:v>
      </x:c>
      <x:c r="O70" s="14" t="n">
        <x:f>IF(AND(ISNUMBER(C70),ISNUMBER(I70)),(I70-C70)*100,"")</x:f>
        <x:v>9.285684999999999</x:v>
      </x:c>
      <x:c r="P70" s="17" t="str"/>
    </x:row>
    <x:row r="71" ht="25" customHeight="1">
      <x:c r="A71" s="2" t="str">
        <x:v>诺奴佩普</x:v>
      </x:c>
      <x:c r="B71" s="2" t="str">
        <x:v>艳丽围巾</x:v>
      </x:c>
      <x:c r="C71" s="28" t="n">
        <x:f>IF('全量明细'!E458="","",'全量明细'!E458)</x:f>
        <x:v>0.5826534400000001</x:v>
      </x:c>
      <x:c r="D71" s="12" t="n">
        <x:f>IF('全量明细'!F458="","",'全量明细'!F458)</x:f>
        <x:v>2856</x:v>
      </x:c>
      <x:c r="E71" s="11" t="n">
        <x:f>IF('全量明细'!G458="","",'全量明细'!G458)</x:f>
        <x:v>0.49439999999999995</x:v>
      </x:c>
      <x:c r="F71" s="11" t="n">
        <x:f>IF('全量明细'!H458="","",'全量明细'!H458)</x:f>
        <x:v>0.6636</x:v>
      </x:c>
      <x:c r="G71" s="11" t="n">
        <x:f>IF('全量明细'!I458="","",'全量明细'!I458)</x:f>
        <x:v>0.5035000000000001</x:v>
      </x:c>
      <x:c r="H71" s="14" t="n">
        <x:f>IF('全量明细'!J458="","",'全量明细'!J458)</x:f>
        <x:v>16.00999999999999</x:v>
      </x:c>
      <x:c r="I71" s="28" t="n">
        <x:f>IF('全量明细'!E958="","",'全量明细'!E958)</x:f>
        <x:v>0.6870560000000001</x:v>
      </x:c>
      <x:c r="J71" s="12" t="n">
        <x:f>IF('全量明细'!F958="","",'全量明细'!F958)</x:f>
        <x:v>1128</x:v>
      </x:c>
      <x:c r="K71" s="11" t="n">
        <x:f>IF('全量明细'!G958="","",'全量明细'!G958)</x:f>
        <x:v>0.5540999999999999</x:v>
      </x:c>
      <x:c r="L71" s="11" t="n">
        <x:f>IF('全量明细'!H958="","",'全量明细'!H958)</x:f>
        <x:v>0.7584000000000001</x:v>
      </x:c>
      <x:c r="M71" s="11" t="n">
        <x:f>IF('全量明细'!I958="","",'全量明细'!I958)</x:f>
        <x:v>0.5984</x:v>
      </x:c>
      <x:c r="N71" s="14" t="n">
        <x:f>IF('全量明细'!J958="","",'全量明细'!J958)</x:f>
        <x:v>16.000000000000004</x:v>
      </x:c>
      <x:c r="O71" s="14" t="n">
        <x:f>IF(AND(ISNUMBER(C71),ISNUMBER(I71)),(I71-C71)*100,"")</x:f>
        <x:v>10.440256000000003</x:v>
      </x:c>
      <x:c r="P71" s="17" t="str"/>
    </x:row>
    <x:row r="72" ht="25" customHeight="1">
      <x:c r="A72" s="2" t="str">
        <x:v>诺奴佩普</x:v>
      </x:c>
      <x:c r="B72" s="2" t="str">
        <x:v>珠宝盒</x:v>
      </x:c>
      <x:c r="C72" s="28" t="n">
        <x:f>IF('全量明细'!E466="","",'全量明细'!E466)</x:f>
        <x:v>0.5281072</x:v>
      </x:c>
      <x:c r="D72" s="12" t="n">
        <x:f>IF('全量明细'!F466="","",'全量明细'!F466)</x:f>
        <x:v>2916</x:v>
      </x:c>
      <x:c r="E72" s="11" t="n">
        <x:f>IF('全量明细'!G466="","",'全量明细'!G466)</x:f>
        <x:v>0.30079999999999996</x:v>
      </x:c>
      <x:c r="F72" s="11" t="n">
        <x:f>IF('全量明细'!H466="","",'全量明细'!H466)</x:f>
        <x:v>0.447</x:v>
      </x:c>
      <x:c r="G72" s="11" t="n">
        <x:f>IF('全量明细'!I466="","",'全量明细'!I466)</x:f>
        <x:v>0.563</x:v>
      </x:c>
      <x:c r="H72" s="14" t="n">
        <x:f>IF('全量明细'!J466="","",'全量明细'!J466)</x:f>
        <x:v>-11.599999999999994</x:v>
      </x:c>
      <x:c r="I72" s="28" t="n">
        <x:f>IF('全量明细'!E963="","",'全量明细'!E963)</x:f>
        <x:v>0.65413288</x:v>
      </x:c>
      <x:c r="J72" s="12" t="n">
        <x:f>IF('全量明细'!F963="","",'全量明细'!F963)</x:f>
        <x:v>1142</x:v>
      </x:c>
      <x:c r="K72" s="11" t="n">
        <x:f>IF('全量明细'!G963="","",'全量明细'!G963)</x:f>
        <x:v>0.2872</x:v>
      </x:c>
      <x:c r="L72" s="11" t="n">
        <x:f>IF('全量明细'!H963="","",'全量明细'!H963)</x:f>
        <x:v>0.5671</x:v>
      </x:c>
      <x:c r="M72" s="11" t="n">
        <x:f>IF('全量明细'!I963="","",'全量明细'!I963)</x:f>
        <x:v>0.6892</x:v>
      </x:c>
      <x:c r="N72" s="14" t="n">
        <x:f>IF('全量明细'!J963="","",'全量明细'!J963)</x:f>
        <x:v>-12.209999999999999</x:v>
      </x:c>
      <x:c r="O72" s="14" t="n">
        <x:f>IF(AND(ISNUMBER(C72),ISNUMBER(I72)),(I72-C72)*100,"")</x:f>
        <x:v>12.602568000000003</x:v>
      </x:c>
      <x:c r="P72" s="17" t="str"/>
    </x:row>
    <x:row r="73" ht="25" customHeight="1">
      <x:c r="A73" s="2" t="str">
        <x:v>诺奴佩普</x:v>
      </x:c>
      <x:c r="B73" s="2" t="str">
        <x:v>钻石头冠</x:v>
      </x:c>
      <x:c r="C73" s="28" t="n">
        <x:f>IF('全量明细'!E464="","",'全量明细'!E464)</x:f>
        <x:v>0.5465239</x:v>
      </x:c>
      <x:c r="D73" s="12" t="n">
        <x:f>IF('全量明细'!F464="","",'全量明细'!F464)</x:f>
        <x:v>2911</x:v>
      </x:c>
      <x:c r="E73" s="11" t="n">
        <x:f>IF('全量明细'!G464="","",'全量明细'!G464)</x:f>
        <x:v>0.28309999999999996</x:v>
      </x:c>
      <x:c r="F73" s="11" t="n">
        <x:f>IF('全量明细'!H464="","",'全量明细'!H464)</x:f>
        <x:v>0.5243</x:v>
      </x:c>
      <x:c r="G73" s="11" t="n">
        <x:f>IF('全量明细'!I464="","",'全量明细'!I464)</x:f>
        <x:v>0.5553</x:v>
      </x:c>
      <x:c r="H73" s="14" t="n">
        <x:f>IF('全量明细'!J464="","",'全量明细'!J464)</x:f>
        <x:v>-3.1000000000000028</x:v>
      </x:c>
      <x:c r="I73" s="28" t="n">
        <x:f>IF('全量明细'!E959="","",'全量明细'!E959)</x:f>
        <x:v>0.672513</x:v>
      </x:c>
      <x:c r="J73" s="12" t="n">
        <x:f>IF('全量明细'!F959="","",'全量明细'!F959)</x:f>
        <x:v>1142</x:v>
      </x:c>
      <x:c r="K73" s="11" t="n">
        <x:f>IF('全量明细'!G959="","",'全量明细'!G959)</x:f>
        <x:v>0.46149999999999997</x:v>
      </x:c>
      <x:c r="L73" s="11" t="n">
        <x:f>IF('全量明细'!H959="","",'全量明细'!H959)</x:f>
        <x:v>0.7059000000000001</x:v>
      </x:c>
      <x:c r="M73" s="11" t="n">
        <x:f>IF('全量明细'!I959="","",'全量明细'!I959)</x:f>
        <x:v>0.6439</x:v>
      </x:c>
      <x:c r="N73" s="14" t="n">
        <x:f>IF('全量明细'!J959="","",'全量明细'!J959)</x:f>
        <x:v>6.2000000000000055</x:v>
      </x:c>
      <x:c r="O73" s="14" t="n">
        <x:f>IF(AND(ISNUMBER(C73),ISNUMBER(I73)),(I73-C73)*100,"")</x:f>
        <x:v>12.598910000000007</x:v>
      </x:c>
      <x:c r="P73" s="17" t="str"/>
    </x:row>
    <x:row r="74" ht="25" customHeight="1">
      <x:c r="A74" s="20" t="str">
        <x:v>坦克斯</x:v>
      </x:c>
      <x:c r="B74" s="20" t="str">
        <x:v>钗</x:v>
      </x:c>
      <x:c r="C74" s="27" t="n">
        <x:f>IF('全量明细'!E469="","",'全量明细'!E469)</x:f>
        <x:v>0.59366552</x:v>
      </x:c>
      <x:c r="D74" s="23" t="n">
        <x:f>IF('全量明细'!F469="","",'全量明细'!F469)</x:f>
        <x:v>2845</x:v>
      </x:c>
      <x:c r="E74" s="22" t="n">
        <x:f>IF('全量明细'!G469="","",'全量明细'!G469)</x:f>
        <x:v>0.5272</x:v>
      </x:c>
      <x:c r="F74" s="22" t="n">
        <x:f>IF('全量明细'!H469="","",'全量明细'!H469)</x:f>
        <x:v>0.6286999999999999</x:v>
      </x:c>
      <x:c r="G74" s="22" t="n">
        <x:f>IF('全量明细'!I469="","",'全量明细'!I469)</x:f>
        <x:v>0.5546</x:v>
      </x:c>
      <x:c r="H74" s="24" t="n">
        <x:f>IF('全量明细'!J469="","",'全量明细'!J469)</x:f>
        <x:v>7.409999999999995</x:v>
      </x:c>
      <x:c r="I74" s="27" t="n">
        <x:f>IF('全量明细'!E968="","",'全量明细'!E968)</x:f>
        <x:v>0.68006252</x:v>
      </x:c>
      <x:c r="J74" s="23" t="n">
        <x:f>IF('全量明细'!F968="","",'全量明细'!F968)</x:f>
        <x:v>1144</x:v>
      </x:c>
      <x:c r="K74" s="22" t="n">
        <x:f>IF('全量明细'!G968="","",'全量明细'!G968)</x:f>
        <x:v>0.5166</x:v>
      </x:c>
      <x:c r="L74" s="22" t="n">
        <x:f>IF('全量明细'!H968="","",'全量明细'!H968)</x:f>
        <x:v>0.7343000000000001</x:v>
      </x:c>
      <x:c r="M74" s="22" t="n">
        <x:f>IF('全量明细'!I968="","",'全量明细'!I968)</x:f>
        <x:v>0.6221</x:v>
      </x:c>
      <x:c r="N74" s="24" t="n">
        <x:f>IF('全量明细'!J968="","",'全量明细'!J968)</x:f>
        <x:v>11.220000000000008</x:v>
      </x:c>
      <x:c r="O74" s="24" t="n">
        <x:f>IF(AND(ISNUMBER(C74),ISNUMBER(I74)),(I74-C74)*100,"")</x:f>
        <x:v>8.639700000000005</x:v>
      </x:c>
      <x:c r="P74" s="31" t="str"/>
    </x:row>
    <x:row r="75" ht="25" customHeight="1">
      <x:c r="A75" s="2" t="str">
        <x:v>坦克斯</x:v>
      </x:c>
      <x:c r="B75" s="2" t="str">
        <x:v>带刺手甲</x:v>
      </x:c>
      <x:c r="C75" s="28" t="n">
        <x:f>IF('全量明细'!E474="","",'全量明细'!E474)</x:f>
        <x:v>0.5456685</x:v>
      </x:c>
      <x:c r="D75" s="12" t="n">
        <x:f>IF('全量明细'!F474="","",'全量明细'!F474)</x:f>
        <x:v>2912</x:v>
      </x:c>
      <x:c r="E75" s="11" t="n">
        <x:f>IF('全量明细'!G474="","",'全量明细'!G474)</x:f>
        <x:v>0.205</x:v>
      </x:c>
      <x:c r="F75" s="11" t="n">
        <x:f>IF('全量明细'!H474="","",'全量明细'!H474)</x:f>
        <x:v>0.4389</x:v>
      </x:c>
      <x:c r="G75" s="11" t="n">
        <x:f>IF('全量明细'!I474="","",'全量明细'!I474)</x:f>
        <x:v>0.5732</x:v>
      </x:c>
      <x:c r="H75" s="14" t="n">
        <x:f>IF('全量明细'!J474="","",'全量明细'!J474)</x:f>
        <x:v>-13.430000000000003</x:v>
      </x:c>
      <x:c r="I75" s="28" t="n">
        <x:f>IF('全量明细'!E972="","",'全量明细'!E972)</x:f>
        <x:v>0.6407</x:v>
      </x:c>
      <x:c r="J75" s="12" t="n">
        <x:f>IF('全量明细'!F972="","",'全量明细'!F972)</x:f>
        <x:v>1105</x:v>
      </x:c>
      <x:c r="K75" s="11" t="n">
        <x:f>IF('全量明细'!G972="","",'全量明细'!G972)</x:f>
        <x:v>0.2</x:v>
      </x:c>
      <x:c r="L75" s="11" t="n">
        <x:f>IF('全量明细'!H972="","",'全量明细'!H972)</x:f>
        <x:v>0.5339</x:v>
      </x:c>
      <x:c r="M75" s="11" t="n">
        <x:f>IF('全量明细'!I972="","",'全量明细'!I972)</x:f>
        <x:v>0.6674</x:v>
      </x:c>
      <x:c r="N75" s="14" t="n">
        <x:f>IF('全量明细'!J972="","",'全量明细'!J972)</x:f>
        <x:v>-13.349999999999994</x:v>
      </x:c>
      <x:c r="O75" s="14" t="n">
        <x:f>IF(AND(ISNUMBER(C75),ISNUMBER(I75)),(I75-C75)*100,"")</x:f>
        <x:v>9.503150000000005</x:v>
      </x:c>
      <x:c r="P75" s="17" t="str"/>
    </x:row>
    <x:row r="76" ht="25" customHeight="1">
      <x:c r="A76" s="2" t="str">
        <x:v>坦克斯</x:v>
      </x:c>
      <x:c r="B76" s="2" t="str">
        <x:v>利爪</x:v>
      </x:c>
      <x:c r="C76" s="28" t="n">
        <x:f>IF('全量明细'!E471="","",'全量明细'!E471)</x:f>
        <x:v>0.5596756199999999</x:v>
      </x:c>
      <x:c r="D76" s="12" t="n">
        <x:f>IF('全量明细'!F471="","",'全量明细'!F471)</x:f>
        <x:v>2864</x:v>
      </x:c>
      <x:c r="E76" s="11" t="n">
        <x:f>IF('全量明细'!G471="","",'全量明细'!G471)</x:f>
        <x:v>0.0866</x:v>
      </x:c>
      <x:c r="F76" s="11" t="n">
        <x:f>IF('全量明细'!H471="","",'全量明细'!H471)</x:f>
        <x:v>0.35479999999999995</x:v>
      </x:c>
      <x:c r="G76" s="11" t="n">
        <x:f>IF('全量明细'!I471="","",'全量明细'!I471)</x:f>
        <x:v>0.5791</x:v>
      </x:c>
      <x:c r="H76" s="14" t="n">
        <x:f>IF('全量明细'!J471="","",'全量明细'!J471)</x:f>
        <x:v>-22.43</x:v>
      </x:c>
      <x:c r="I76" s="28" t="n">
        <x:f>IF('全量明细'!E973="","",'全量明细'!E973)</x:f>
        <x:v>0.63948686</x:v>
      </x:c>
      <x:c r="J76" s="12" t="n">
        <x:f>IF('全量明细'!F973="","",'全量明细'!F973)</x:f>
        <x:v>1104</x:v>
      </x:c>
      <x:c r="K76" s="11" t="n">
        <x:f>IF('全量明细'!G973="","",'全量明细'!G973)</x:f>
        <x:v>0.11410000000000001</x:v>
      </x:c>
      <x:c r="L76" s="11" t="n">
        <x:f>IF('全量明细'!H973="","",'全量明细'!H973)</x:f>
        <x:v>0.4841</x:v>
      </x:c>
      <x:c r="M76" s="11" t="n">
        <x:f>IF('全量明细'!I973="","",'全量明细'!I973)</x:f>
        <x:v>0.6595</x:v>
      </x:c>
      <x:c r="N76" s="14" t="n">
        <x:f>IF('全量明细'!J973="","",'全量明细'!J973)</x:f>
        <x:v>-17.54</x:v>
      </x:c>
      <x:c r="O76" s="14" t="n">
        <x:f>IF(AND(ISNUMBER(C76),ISNUMBER(I76)),(I76-C76)*100,"")</x:f>
        <x:v>7.9811240000000065</x:v>
      </x:c>
      <x:c r="P76" s="17" t="str"/>
    </x:row>
    <x:row r="77" ht="25" customHeight="1">
      <x:c r="A77" s="2" t="str">
        <x:v>坦克斯</x:v>
      </x:c>
      <x:c r="B77" s="2" t="str">
        <x:v>切肉刀</x:v>
      </x:c>
      <x:c r="C77" s="28" t="n">
        <x:f>IF('全量明细'!E473="","",'全量明细'!E473)</x:f>
        <x:v>0.5523414</x:v>
      </x:c>
      <x:c r="D77" s="12" t="n">
        <x:f>IF('全量明细'!F473="","",'全量明细'!F473)</x:f>
        <x:v>2893</x:v>
      </x:c>
      <x:c r="E77" s="11" t="n">
        <x:f>IF('全量明细'!G473="","",'全量明细'!G473)</x:f>
        <x:v>0.5146999999999999</x:v>
      </x:c>
      <x:c r="F77" s="11" t="n">
        <x:f>IF('全量明细'!H473="","",'全量明细'!H473)</x:f>
        <x:v>0.5339</x:v>
      </x:c>
      <x:c r="G77" s="11" t="n">
        <x:f>IF('全量明细'!I473="","",'全量明细'!I473)</x:f>
        <x:v>0.5719</x:v>
      </x:c>
      <x:c r="H77" s="14" t="n">
        <x:f>IF('全量明细'!J473="","",'全量明细'!J473)</x:f>
        <x:v>-3.7999999999999923</x:v>
      </x:c>
      <x:c r="I77" s="28" t="n">
        <x:f>IF('全量明细'!E974="","",'全量明细'!E974)</x:f>
        <x:v>0.6383767</x:v>
      </x:c>
      <x:c r="J77" s="12" t="n">
        <x:f>IF('全量明细'!F974="","",'全量明细'!F974)</x:f>
        <x:v>1142</x:v>
      </x:c>
      <x:c r="K77" s="11" t="n">
        <x:f>IF('全量明细'!G974="","",'全量明细'!G974)</x:f>
        <x:v>0.43700000000000006</x:v>
      </x:c>
      <x:c r="L77" s="11" t="n">
        <x:f>IF('全量明细'!H974="","",'全量明细'!H974)</x:f>
        <x:v>0.5871999999999999</x:v>
      </x:c>
      <x:c r="M77" s="11" t="n">
        <x:f>IF('全量明细'!I974="","",'全量明细'!I974)</x:f>
        <x:v>0.6781</x:v>
      </x:c>
      <x:c r="N77" s="14" t="n">
        <x:f>IF('全量明细'!J974="","",'全量明细'!J974)</x:f>
        <x:v>-9.090000000000009</x:v>
      </x:c>
      <x:c r="O77" s="14" t="n">
        <x:f>IF(AND(ISNUMBER(C77),ISNUMBER(I77)),(I77-C77)*100,"")</x:f>
        <x:v>8.603530000000003</x:v>
      </x:c>
      <x:c r="P77" s="17" t="str"/>
    </x:row>
    <x:row r="78" ht="25" customHeight="1">
      <x:c r="A78" s="2" t="str">
        <x:v>坦克斯</x:v>
      </x:c>
      <x:c r="B78" s="2" t="str">
        <x:v>三刃回旋镖</x:v>
      </x:c>
      <x:c r="C78" s="28" t="n">
        <x:f>IF('全量明细'!E476="","",'全量明细'!E476)</x:f>
        <x:v>0.54400344</x:v>
      </x:c>
      <x:c r="D78" s="12" t="n">
        <x:f>IF('全量明细'!F476="","",'全量明细'!F476)</x:f>
        <x:v>2785</x:v>
      </x:c>
      <x:c r="E78" s="11" t="n">
        <x:f>IF('全量明细'!G476="","",'全量明细'!G476)</x:f>
        <x:v>0.3368</x:v>
      </x:c>
      <x:c r="F78" s="11" t="n">
        <x:f>IF('全量明细'!H476="","",'全量明细'!H476)</x:f>
        <x:v>0.5064</x:v>
      </x:c>
      <x:c r="G78" s="11" t="n">
        <x:f>IF('全量明细'!I476="","",'全量明细'!I476)</x:f>
        <x:v>0.5631</x:v>
      </x:c>
      <x:c r="H78" s="14" t="n">
        <x:f>IF('全量明细'!J476="","",'全量明细'!J476)</x:f>
        <x:v>-5.670000000000009</x:v>
      </x:c>
      <x:c r="I78" s="28" t="n">
        <x:f>IF('全量明细'!E971="","",'全量明细'!E971)</x:f>
        <x:v>0.64848886</x:v>
      </x:c>
      <x:c r="J78" s="12" t="n">
        <x:f>IF('全量明细'!F971="","",'全量明细'!F971)</x:f>
        <x:v>1044</x:v>
      </x:c>
      <x:c r="K78" s="11" t="n">
        <x:f>IF('全量明细'!G971="","",'全量明细'!G971)</x:f>
        <x:v>0.3046</x:v>
      </x:c>
      <x:c r="L78" s="11" t="n">
        <x:f>IF('全量明细'!H971="","",'全量明细'!H971)</x:f>
        <x:v>0.5818</x:v>
      </x:c>
      <x:c r="M78" s="11" t="n">
        <x:f>IF('全量明细'!I971="","",'全量明细'!I971)</x:f>
        <x:v>0.6777</x:v>
      </x:c>
      <x:c r="N78" s="14" t="n">
        <x:f>IF('全量明细'!J971="","",'全量明细'!J971)</x:f>
        <x:v>-9.589999999999998</x:v>
      </x:c>
      <x:c r="O78" s="14" t="n">
        <x:f>IF(AND(ISNUMBER(C78),ISNUMBER(I78)),(I78-C78)*100,"")</x:f>
        <x:v>10.448541999999994</x:v>
      </x:c>
      <x:c r="P78" s="17" t="str"/>
    </x:row>
    <x:row r="79" ht="25" customHeight="1">
      <x:c r="A79" s="2" t="str">
        <x:v>坦克斯</x:v>
      </x:c>
      <x:c r="B79" s="2" t="str">
        <x:v>十字弓</x:v>
      </x:c>
      <x:c r="C79" s="28" t="n">
        <x:f>IF('全量明细'!E468="","",'全量明细'!E468)</x:f>
        <x:v>0.6053702599999999</x:v>
      </x:c>
      <x:c r="D79" s="12" t="n">
        <x:f>IF('全量明细'!F468="","",'全量明细'!F468)</x:f>
        <x:v>2899</x:v>
      </x:c>
      <x:c r="E79" s="11" t="n">
        <x:f>IF('全量明细'!G468="","",'全量明细'!G468)</x:f>
        <x:v>0.3518</x:v>
      </x:c>
      <x:c r="F79" s="11" t="n">
        <x:f>IF('全量明细'!H468="","",'全量明细'!H468)</x:f>
        <x:v>0.7225</x:v>
      </x:c>
      <x:c r="G79" s="11" t="n">
        <x:f>IF('全量明细'!I468="","",'全量明细'!I468)</x:f>
        <x:v>0.5418</x:v>
      </x:c>
      <x:c r="H79" s="14" t="n">
        <x:f>IF('全量明细'!J468="","",'全量明细'!J468)</x:f>
        <x:v>18.070000000000007</x:v>
      </x:c>
      <x:c r="I79" s="28" t="n">
        <x:f>IF('全量明细'!E969="","",'全量明细'!E969)</x:f>
        <x:v>0.6755806800000002</x:v>
      </x:c>
      <x:c r="J79" s="12" t="n">
        <x:f>IF('全量明细'!F969="","",'全量明细'!F969)</x:f>
        <x:v>1122</x:v>
      </x:c>
      <x:c r="K79" s="11" t="n">
        <x:f>IF('全量明细'!G969="","",'全量明细'!G969)</x:f>
        <x:v>0.33159999999999995</x:v>
      </x:c>
      <x:c r="L79" s="11" t="n">
        <x:f>IF('全量明细'!H969="","",'全量明细'!H969)</x:f>
        <x:v>0.7473000000000001</x:v>
      </x:c>
      <x:c r="M79" s="11" t="n">
        <x:f>IF('全量明细'!I969="","",'全量明细'!I969)</x:f>
        <x:v>0.64</x:v>
      </x:c>
      <x:c r="N79" s="14" t="n">
        <x:f>IF('全量明细'!J969="","",'全量明细'!J969)</x:f>
        <x:v>10.730000000000006</x:v>
      </x:c>
      <x:c r="O79" s="14" t="n">
        <x:f>IF(AND(ISNUMBER(C79),ISNUMBER(I79)),(I79-C79)*100,"")</x:f>
        <x:v>7.021042000000022</x:v>
      </x:c>
      <x:c r="P79" s="17" t="str"/>
    </x:row>
    <x:row r="80" ht="25" customHeight="1">
      <x:c r="A80" s="2" t="str">
        <x:v>坦克斯</x:v>
      </x:c>
      <x:c r="B80" s="2" t="str">
        <x:v>坦克斯的哨子</x:v>
      </x:c>
      <x:c r="C80" s="28" t="n">
        <x:f>IF('全量明细'!E475="","",'全量明细'!E475)</x:f>
        <x:v>0.54435476</x:v>
      </x:c>
      <x:c r="D80" s="12" t="n">
        <x:f>IF('全量明细'!F475="","",'全量明细'!F475)</x:f>
        <x:v>2831</x:v>
      </x:c>
      <x:c r="E80" s="11" t="n">
        <x:f>IF('全量明细'!G475="","",'全量明细'!G475)</x:f>
        <x:v>0.1582</x:v>
      </x:c>
      <x:c r="F80" s="11" t="n">
        <x:f>IF('全量明细'!H475="","",'全量明细'!H475)</x:f>
        <x:v>0.41960000000000003</x:v>
      </x:c>
      <x:c r="G80" s="11" t="n">
        <x:f>IF('全量明细'!I475="","",'全量明细'!I475)</x:f>
        <x:v>0.5678</x:v>
      </x:c>
      <x:c r="H80" s="14" t="n">
        <x:f>IF('全量明细'!J475="","",'全量明细'!J475)</x:f>
        <x:v>-14.819999999999995</x:v>
      </x:c>
      <x:c r="I80" s="28" t="n">
        <x:f>IF('全量明细'!E977="","",'全量明细'!E977)</x:f>
        <x:v>0.61872774</x:v>
      </x:c>
      <x:c r="J80" s="12" t="n">
        <x:f>IF('全量明细'!F977="","",'全量明细'!F977)</x:f>
        <x:v>1091</x:v>
      </x:c>
      <x:c r="K80" s="11" t="n">
        <x:f>IF('全量明细'!G977="","",'全量明细'!G977)</x:f>
        <x:v>0.2438</x:v>
      </x:c>
      <x:c r="L80" s="11" t="n">
        <x:f>IF('全量明细'!H977="","",'全量明细'!H977)</x:f>
        <x:v>0.594</x:v>
      </x:c>
      <x:c r="M80" s="11" t="n">
        <x:f>IF('全量明细'!I977="","",'全量明细'!I977)</x:f>
        <x:v>0.6267</x:v>
      </x:c>
      <x:c r="N80" s="14" t="n">
        <x:f>IF('全量明细'!J977="","",'全量明细'!J977)</x:f>
        <x:v>-3.2700000000000062</x:v>
      </x:c>
      <x:c r="O80" s="14" t="n">
        <x:f>IF(AND(ISNUMBER(C80),ISNUMBER(I80)),(I80-C80)*100,"")</x:f>
        <x:v>7.437297999999992</x:v>
      </x:c>
      <x:c r="P80" s="17" t="str"/>
    </x:row>
    <x:row r="81" ht="25" customHeight="1">
      <x:c r="A81" s="2" t="str">
        <x:v>坦克斯</x:v>
      </x:c>
      <x:c r="B81" s="2" t="str">
        <x:v>铁棒</x:v>
      </x:c>
      <x:c r="C81" s="28" t="n">
        <x:f>IF('全量明细'!E470="","",'全量明细'!E470)</x:f>
        <x:v>0.5773407500000001</x:v>
      </x:c>
      <x:c r="D81" s="12" t="n">
        <x:f>IF('全量明细'!F470="","",'全量明细'!F470)</x:f>
        <x:v>2903</x:v>
      </x:c>
      <x:c r="E81" s="11" t="n">
        <x:f>IF('全量明细'!G470="","",'全量明细'!G470)</x:f>
        <x:v>0.4843</x:v>
      </x:c>
      <x:c r="F81" s="11" t="n">
        <x:f>IF('全量明细'!H470="","",'全量明细'!H470)</x:f>
        <x:v>0.6302</x:v>
      </x:c>
      <x:c r="G81" s="11" t="n">
        <x:f>IF('全量明细'!I470="","",'全量明细'!I470)</x:f>
        <x:v>0.5277000000000001</x:v>
      </x:c>
      <x:c r="H81" s="14" t="n">
        <x:f>IF('全量明细'!J470="","",'全量明细'!J470)</x:f>
        <x:v>10.249999999999993</x:v>
      </x:c>
      <x:c r="I81" s="28" t="n">
        <x:f>IF('全量明细'!E970="","",'全量明细'!E970)</x:f>
        <x:v>0.66256466</x:v>
      </x:c>
      <x:c r="J81" s="12" t="n">
        <x:f>IF('全量明细'!F970="","",'全量明细'!F970)</x:f>
        <x:v>1144</x:v>
      </x:c>
      <x:c r="K81" s="11" t="n">
        <x:f>IF('全量明细'!G970="","",'全量明细'!G970)</x:f>
        <x:v>0.4781</x:v>
      </x:c>
      <x:c r="L81" s="11" t="n">
        <x:f>IF('全量明细'!H970="","",'全量明细'!H970)</x:f>
        <x:v>0.7349</x:v>
      </x:c>
      <x:c r="M81" s="11" t="n">
        <x:f>IF('全量明细'!I970="","",'全量明细'!I970)</x:f>
        <x:v>0.5963</x:v>
      </x:c>
      <x:c r="N81" s="14" t="n">
        <x:f>IF('全量明细'!J970="","",'全量明细'!J970)</x:f>
        <x:v>13.859999999999994</x:v>
      </x:c>
      <x:c r="O81" s="14" t="n">
        <x:f>IF(AND(ISNUMBER(C81),ISNUMBER(I81)),(I81-C81)*100,"")</x:f>
        <x:v>8.522390999999995</x:v>
      </x:c>
      <x:c r="P81" s="17" t="str"/>
    </x:row>
    <x:row r="82" ht="25" customHeight="1">
      <x:c r="A82" s="2" t="str">
        <x:v>坦克斯</x:v>
      </x:c>
      <x:c r="B82" s="2" t="str">
        <x:v>投斧</x:v>
      </x:c>
      <x:c r="C82" s="28" t="n">
        <x:f>IF('全量明细'!E477="","",'全量明细'!E477)</x:f>
        <x:v>0.54286378</x:v>
      </x:c>
      <x:c r="D82" s="12" t="n">
        <x:f>IF('全量明细'!F477="","",'全量明细'!F477)</x:f>
        <x:v>2883</x:v>
      </x:c>
      <x:c r="E82" s="11" t="n">
        <x:f>IF('全量明细'!G477="","",'全量明细'!G477)</x:f>
        <x:v>0.4891</x:v>
      </x:c>
      <x:c r="F82" s="11" t="n">
        <x:f>IF('全量明细'!H477="","",'全量明细'!H477)</x:f>
        <x:v>0.5305</x:v>
      </x:c>
      <x:c r="G82" s="11" t="n">
        <x:f>IF('全量明细'!I477="","",'全量明细'!I477)</x:f>
        <x:v>0.5547</x:v>
      </x:c>
      <x:c r="H82" s="14" t="n">
        <x:f>IF('全量明细'!J477="","",'全量明细'!J477)</x:f>
        <x:v>-2.42</x:v>
      </x:c>
      <x:c r="I82" s="28" t="n">
        <x:f>IF('全量明细'!E975="","",'全量明细'!E975)</x:f>
        <x:v>0.6355509800000001</x:v>
      </x:c>
      <x:c r="J82" s="12" t="n">
        <x:f>IF('全量明细'!F975="","",'全量明细'!F975)</x:f>
        <x:v>1114</x:v>
      </x:c>
      <x:c r="K82" s="11" t="n">
        <x:f>IF('全量明细'!G975="","",'全量明细'!G975)</x:f>
        <x:v>0.4946</x:v>
      </x:c>
      <x:c r="L82" s="11" t="n">
        <x:f>IF('全量明细'!H975="","",'全量明细'!H975)</x:f>
        <x:v>0.6261</x:v>
      </x:c>
      <x:c r="M82" s="11" t="n">
        <x:f>IF('全量明细'!I975="","",'全量明细'!I975)</x:f>
        <x:v>0.6448</x:v>
      </x:c>
      <x:c r="N82" s="14" t="n">
        <x:f>IF('全量明细'!J975="","",'全量明细'!J975)</x:f>
        <x:v>-1.870000000000005</x:v>
      </x:c>
      <x:c r="O82" s="14" t="n">
        <x:f>IF(AND(ISNUMBER(C82),ISNUMBER(I82)),(I82-C82)*100,"")</x:f>
        <x:v>9.268720000000009</x:v>
      </x:c>
      <x:c r="P82" s="17" t="str"/>
    </x:row>
    <x:row r="83" ht="25" customHeight="1">
      <x:c r="A83" s="2" t="str">
        <x:v>坦克斯</x:v>
      </x:c>
      <x:c r="B83" s="2" t="str">
        <x:v>战锤</x:v>
      </x:c>
      <x:c r="C83" s="28" t="n">
        <x:f>IF('全量明细'!E472="","",'全量明细'!E472)</x:f>
        <x:v>0.55568886</x:v>
      </x:c>
      <x:c r="D83" s="12" t="n">
        <x:f>IF('全量明细'!F472="","",'全量明细'!F472)</x:f>
        <x:v>2764</x:v>
      </x:c>
      <x:c r="E83" s="11" t="n">
        <x:f>IF('全量明细'!G472="","",'全量明细'!G472)</x:f>
        <x:v>0.1643</x:v>
      </x:c>
      <x:c r="F83" s="11" t="n">
        <x:f>IF('全量明细'!H472="","",'全量明细'!H472)</x:f>
        <x:v>0.489</x:v>
      </x:c>
      <x:c r="G83" s="11" t="n">
        <x:f>IF('全量明细'!I472="","",'全量明细'!I472)</x:f>
        <x:v>0.5688</x:v>
      </x:c>
      <x:c r="H83" s="14" t="n">
        <x:f>IF('全量明细'!J472="","",'全量明细'!J472)</x:f>
        <x:v>-7.979999999999999</x:v>
      </x:c>
      <x:c r="I83" s="28" t="n">
        <x:f>IF('全量明细'!E976="","",'全量明细'!E976)</x:f>
        <x:v>0.63193589</x:v>
      </x:c>
      <x:c r="J83" s="12" t="n">
        <x:f>IF('全量明细'!F976="","",'全量明细'!F976)</x:f>
        <x:v>1103</x:v>
      </x:c>
      <x:c r="K83" s="11" t="n">
        <x:f>IF('全量明细'!G976="","",'全量明细'!G976)</x:f>
        <x:v>0.1913</x:v>
      </x:c>
      <x:c r="L83" s="11" t="n">
        <x:f>IF('全量明细'!H976="","",'全量明细'!H976)</x:f>
        <x:v>0.5877</x:v>
      </x:c>
      <x:c r="M83" s="11" t="n">
        <x:f>IF('全量明细'!I976="","",'全量明细'!I976)</x:f>
        <x:v>0.6424</x:v>
      </x:c>
      <x:c r="N83" s="14" t="n">
        <x:f>IF('全量明细'!J976="","",'全量明细'!J976)</x:f>
        <x:v>-5.469999999999997</x:v>
      </x:c>
      <x:c r="O83" s="14" t="n">
        <x:f>IF(AND(ISNUMBER(C83),ISNUMBER(I83)),(I83-C83)*100,"")</x:f>
        <x:v>7.624702999999999</x:v>
      </x:c>
      <x:c r="P83" s="17" t="str"/>
    </x:row>
    <x:row r="84" ht="25" customHeight="1">
      <x:c r="A84" s="20" t="str">
        <x:v>瓦库</x:v>
      </x:c>
      <x:c r="B84" s="20" t="str">
        <x:v>宝石面具</x:v>
      </x:c>
      <x:c r="C84" s="27" t="n">
        <x:f>IF('全量明细'!E481="","",'全量明细'!E481)</x:f>
        <x:v>0.53070644</x:v>
      </x:c>
      <x:c r="D84" s="23" t="n">
        <x:f>IF('全量明细'!F481="","",'全量明细'!F481)</x:f>
        <x:v>2346</x:v>
      </x:c>
      <x:c r="E84" s="22" t="n">
        <x:f>IF('全量明细'!G481="","",'全量明细'!G481)</x:f>
        <x:v>0.6927</x:v>
      </x:c>
      <x:c r="F84" s="22" t="n">
        <x:f>IF('全量明细'!H481="","",'全量明细'!H481)</x:f>
        <x:v>0.5236999999999999</x:v>
      </x:c>
      <x:c r="G84" s="22" t="n">
        <x:f>IF('全量明细'!I481="","",'全量明细'!I481)</x:f>
        <x:v>0.5465</x:v>
      </x:c>
      <x:c r="H84" s="24" t="n">
        <x:f>IF('全量明细'!J481="","",'全量明细'!J481)</x:f>
        <x:v>-2.2800000000000042</x:v>
      </x:c>
      <x:c r="I84" s="27" t="n">
        <x:f>IF('全量明细'!E982="","",'全量明细'!E982)</x:f>
        <x:v>0.58558848</x:v>
      </x:c>
      <x:c r="J84" s="23" t="n">
        <x:f>IF('全量明细'!F982="","",'全量明细'!F982)</x:f>
        <x:v>970</x:v>
      </x:c>
      <x:c r="K84" s="22" t="n">
        <x:f>IF('全量明细'!G982="","",'全量明细'!G982)</x:f>
        <x:v>0.6948000000000001</x:v>
      </x:c>
      <x:c r="L84" s="22" t="n">
        <x:f>IF('全量明细'!H982="","",'全量明细'!H982)</x:f>
        <x:v>0.5757</x:v>
      </x:c>
      <x:c r="M84" s="22" t="n">
        <x:f>IF('全量明细'!I982="","",'全量明细'!I982)</x:f>
        <x:v>0.6081</x:v>
      </x:c>
      <x:c r="N84" s="24" t="n">
        <x:f>IF('全量明细'!J982="","",'全量明细'!J982)</x:f>
        <x:v>-3.2399999999999984</x:v>
      </x:c>
      <x:c r="O84" s="24" t="n">
        <x:f>IF(AND(ISNUMBER(C84),ISNUMBER(I84)),(I84-C84)*100,"")</x:f>
        <x:v>5.488203999999996</x:v>
      </x:c>
      <x:c r="P84" s="31" t="str"/>
    </x:row>
    <x:row r="85" ht="25" customHeight="1">
      <x:c r="A85" s="2" t="str">
        <x:v>瓦库</x:v>
      </x:c>
      <x:c r="B85" s="2" t="str">
        <x:v>低语耳环</x:v>
      </x:c>
      <x:c r="C85" s="28" t="n">
        <x:f>IF('全量明细'!E483="","",'全量明细'!E483)</x:f>
        <x:v>0.5200659500000001</x:v>
      </x:c>
      <x:c r="D85" s="12" t="n">
        <x:f>IF('全量明细'!F483="","",'全量明细'!F483)</x:f>
        <x:v>3086</x:v>
      </x:c>
      <x:c r="E85" s="11" t="n">
        <x:f>IF('全量明细'!G483="","",'全量明细'!G483)</x:f>
        <x:v>0.1235</x:v>
      </x:c>
      <x:c r="F85" s="11" t="n">
        <x:f>IF('全量明细'!H483="","",'全量明细'!H483)</x:f>
        <x:v>0.4304</x:v>
      </x:c>
      <x:c r="G85" s="11" t="n">
        <x:f>IF('全量明细'!I483="","",'全量明细'!I483)</x:f>
        <x:v>0.5327000000000001</x:v>
      </x:c>
      <x:c r="H85" s="14" t="n">
        <x:f>IF('全量明细'!J483="","",'全量明细'!J483)</x:f>
        <x:v>-10.230000000000006</x:v>
      </x:c>
      <x:c r="I85" s="28" t="n">
        <x:f>IF('全量明细'!E981="","",'全量明细'!E981)</x:f>
        <x:v>0.5902634</x:v>
      </x:c>
      <x:c r="J85" s="12" t="n">
        <x:f>IF('全量明细'!F981="","",'全量明细'!F981)</x:f>
        <x:v>1174</x:v>
      </x:c>
      <x:c r="K85" s="11" t="n">
        <x:f>IF('全量明细'!G981="","",'全量明细'!G981)</x:f>
        <x:v>0.1244</x:v>
      </x:c>
      <x:c r="L85" s="11" t="n">
        <x:f>IF('全量明细'!H981="","",'全量明细'!H981)</x:f>
        <x:v>0.47950000000000004</x:v>
      </x:c>
      <x:c r="M85" s="11" t="n">
        <x:f>IF('全量明细'!I981="","",'全量明细'!I981)</x:f>
        <x:v>0.606</x:v>
      </x:c>
      <x:c r="N85" s="14" t="n">
        <x:f>IF('全量明细'!J981="","",'全量明细'!J981)</x:f>
        <x:v>-12.649999999999995</x:v>
      </x:c>
      <x:c r="O85" s="14" t="n">
        <x:f>IF(AND(ISNUMBER(C85),ISNUMBER(I85)),(I85-C85)*100,"")</x:f>
        <x:v>7.019744999999988</x:v>
      </x:c>
      <x:c r="P85" s="17" t="str"/>
    </x:row>
    <x:row r="86" ht="25" customHeight="1">
      <x:c r="A86" s="2" t="str">
        <x:v>瓦库</x:v>
      </x:c>
      <x:c r="B86" s="2" t="str">
        <x:v>领主阳伞</x:v>
      </x:c>
      <x:c r="C86" s="28" t="n">
        <x:f>IF('全量明细'!E487="","",'全量明细'!E487)</x:f>
        <x:v>0.49444185000000007</x:v>
      </x:c>
      <x:c r="D86" s="12" t="n">
        <x:f>IF('全量明细'!F487="","",'全量明细'!F487)</x:f>
        <x:v>2417</x:v>
      </x:c>
      <x:c r="E86" s="11" t="n">
        <x:f>IF('全量明细'!G487="","",'全量明细'!G487)</x:f>
        <x:v>0.13449999999999998</x:v>
      </x:c>
      <x:c r="F86" s="11" t="n">
        <x:f>IF('全量明细'!H487="","",'全量明细'!H487)</x:f>
        <x:v>0.3969</x:v>
      </x:c>
      <x:c r="G86" s="11" t="n">
        <x:f>IF('全量明细'!I487="","",'全量明细'!I487)</x:f>
        <x:v>0.5096</x:v>
      </x:c>
      <x:c r="H86" s="14" t="n">
        <x:f>IF('全量明细'!J487="","",'全量明细'!J487)</x:f>
        <x:v>-11.270000000000008</x:v>
      </x:c>
      <x:c r="I86" s="28" t="n">
        <x:f>IF('全量明细'!E986="","",'全量明细'!E986)</x:f>
        <x:v>0.5789397599999999</x:v>
      </x:c>
      <x:c r="J86" s="12" t="n">
        <x:f>IF('全量明细'!F986="","",'全量明细'!F986)</x:f>
        <x:v>893</x:v>
      </x:c>
      <x:c r="K86" s="11" t="n">
        <x:f>IF('全量明细'!G986="","",'全量明细'!G986)</x:f>
        <x:v>0.1176</x:v>
      </x:c>
      <x:c r="L86" s="11" t="n">
        <x:f>IF('全量明细'!H986="","",'全量明细'!H986)</x:f>
        <x:v>0.49520000000000003</x:v>
      </x:c>
      <x:c r="M86" s="11" t="n">
        <x:f>IF('全量明细'!I986="","",'全量明细'!I986)</x:f>
        <x:v>0.5901</x:v>
      </x:c>
      <x:c r="N86" s="14" t="n">
        <x:f>IF('全量明细'!J986="","",'全量明细'!J986)</x:f>
        <x:v>-9.489999999999993</x:v>
      </x:c>
      <x:c r="O86" s="14" t="n">
        <x:f>IF(AND(ISNUMBER(C86),ISNUMBER(I86)),(I86-C86)*100,"")</x:f>
        <x:v>8.449790999999983</x:v>
      </x:c>
      <x:c r="P86" s="17" t="str"/>
    </x:row>
    <x:row r="87" ht="25" customHeight="1">
      <x:c r="A87" s="2" t="str">
        <x:v>瓦库</x:v>
      </x:c>
      <x:c r="B87" s="2" t="str">
        <x:v>小提琴</x:v>
      </x:c>
      <x:c r="C87" s="28" t="n">
        <x:f>IF('全量明细'!E480="","",'全量明细'!E480)</x:f>
        <x:v>0.5400045</x:v>
      </x:c>
      <x:c r="D87" s="12" t="n">
        <x:f>IF('全量明细'!F480="","",'全量明细'!F480)</x:f>
        <x:v>3165</x:v>
      </x:c>
      <x:c r="E87" s="11" t="n">
        <x:f>IF('全量明细'!G480="","",'全量明细'!G480)</x:f>
        <x:v>0.24109999999999998</x:v>
      </x:c>
      <x:c r="F87" s="11" t="n">
        <x:f>IF('全量明细'!H480="","",'全量明细'!H480)</x:f>
        <x:v>0.6121</x:v>
      </x:c>
      <x:c r="G87" s="11" t="n">
        <x:f>IF('全量明细'!I480="","",'全量明细'!I480)</x:f>
        <x:v>0.5171</x:v>
      </x:c>
      <x:c r="H87" s="14" t="n">
        <x:f>IF('全量明细'!J480="","",'全量明细'!J480)</x:f>
        <x:v>9.499999999999996</x:v>
      </x:c>
      <x:c r="I87" s="28" t="n">
        <x:f>IF('全量明细'!E980="","",'全量明细'!E980)</x:f>
        <x:v>0.61482721</x:v>
      </x:c>
      <x:c r="J87" s="12" t="n">
        <x:f>IF('全量明细'!F980="","",'全量明细'!F980)</x:f>
        <x:v>1215</x:v>
      </x:c>
      <x:c r="K87" s="11" t="n">
        <x:f>IF('全量明细'!G980="","",'全量明细'!G980)</x:f>
        <x:v>0.3259</x:v>
      </x:c>
      <x:c r="L87" s="11" t="n">
        <x:f>IF('全量明细'!H980="","",'全量明细'!H980)</x:f>
        <x:v>0.6970000000000001</x:v>
      </x:c>
      <x:c r="M87" s="11" t="n">
        <x:f>IF('全量明细'!I980="","",'全量明细'!I980)</x:f>
        <x:v>0.5751</x:v>
      </x:c>
      <x:c r="N87" s="14" t="n">
        <x:f>IF('全量明细'!J980="","",'全量明细'!J980)</x:f>
        <x:v>12.190000000000012</x:v>
      </x:c>
      <x:c r="O87" s="14" t="n">
        <x:f>IF(AND(ISNUMBER(C87),ISNUMBER(I87)),(I87-C87)*100,"")</x:f>
        <x:v>7.4822709999999955</x:v>
      </x:c>
      <x:c r="P87" s="17" t="str"/>
    </x:row>
    <x:row r="88" ht="25" customHeight="1">
      <x:c r="A88" s="2" t="str">
        <x:v>瓦库</x:v>
      </x:c>
      <x:c r="B88" s="2" t="str">
        <x:v>选择悖论</x:v>
      </x:c>
      <x:c r="C88" s="28" t="n">
        <x:f>IF('全量明细'!E485="","",'全量明细'!E485)</x:f>
        <x:v>0.51875045</x:v>
      </x:c>
      <x:c r="D88" s="12" t="n">
        <x:f>IF('全量明细'!F485="","",'全量明细'!F485)</x:f>
        <x:v>2344</x:v>
      </x:c>
      <x:c r="E88" s="11" t="n">
        <x:f>IF('全量明细'!G485="","",'全量明细'!G485)</x:f>
        <x:v>0.38909999999999995</x:v>
      </x:c>
      <x:c r="F88" s="11" t="n">
        <x:f>IF('全量明细'!H485="","",'全量明细'!H485)</x:f>
        <x:v>0.4879</x:v>
      </x:c>
      <x:c r="G88" s="11" t="n">
        <x:f>IF('全量明细'!I485="","",'全量明细'!I485)</x:f>
        <x:v>0.5384</x:v>
      </x:c>
      <x:c r="H88" s="14" t="n">
        <x:f>IF('全量明细'!J485="","",'全量明细'!J485)</x:f>
        <x:v>-5.049999999999999</x:v>
      </x:c>
      <x:c r="I88" s="28" t="n">
        <x:f>IF('全量明细'!E984="","",'全量明细'!E984)</x:f>
        <x:v>0.5796619199999999</x:v>
      </x:c>
      <x:c r="J88" s="12" t="n">
        <x:f>IF('全量明细'!F984="","",'全量明细'!F984)</x:f>
        <x:v>866</x:v>
      </x:c>
      <x:c r="K88" s="11" t="n">
        <x:f>IF('全量明细'!G984="","",'全量明细'!G984)</x:f>
        <x:v>0.36719999999999997</x:v>
      </x:c>
      <x:c r="L88" s="11" t="n">
        <x:f>IF('全量明细'!H984="","",'全量明细'!H984)</x:f>
        <x:v>0.5503</x:v>
      </x:c>
      <x:c r="M88" s="11" t="n">
        <x:f>IF('全量明细'!I984="","",'全量明细'!I984)</x:f>
        <x:v>0.5967</x:v>
      </x:c>
      <x:c r="N88" s="14" t="n">
        <x:f>IF('全量明细'!J984="","",'全量明细'!J984)</x:f>
        <x:v>-4.64</x:v>
      </x:c>
      <x:c r="O88" s="14" t="n">
        <x:f>IF(AND(ISNUMBER(C88),ISNUMBER(I88)),(I88-C88)*100,"")</x:f>
        <x:v>6.091146999999997</x:v>
      </x:c>
      <x:c r="P88" s="17" t="str"/>
    </x:row>
    <x:row r="89" ht="25" customHeight="1">
      <x:c r="A89" s="2" t="str">
        <x:v>瓦库</x:v>
      </x:c>
      <x:c r="B89" s="2" t="str">
        <x:v>血染玫瑰</x:v>
      </x:c>
      <x:c r="C89" s="28" t="n">
        <x:f>IF('全量明细'!E482="","",'全量明细'!E482)</x:f>
        <x:v>0.52053152</x:v>
      </x:c>
      <x:c r="D89" s="12" t="n">
        <x:f>IF('全量明细'!F482="","",'全量明细'!F482)</x:f>
        <x:v>3087</x:v>
      </x:c>
      <x:c r="E89" s="11" t="n">
        <x:f>IF('全量明细'!G482="","",'全量明细'!G482)</x:f>
        <x:v>0.2718</x:v>
      </x:c>
      <x:c r="F89" s="11" t="n">
        <x:f>IF('全量明细'!H482="","",'全量明细'!H482)</x:f>
        <x:v>0.4815</x:v>
      </x:c>
      <x:c r="G89" s="11" t="n">
        <x:f>IF('全量明细'!I482="","",'全量明细'!I482)</x:f>
        <x:v>0.5351</x:v>
      </x:c>
      <x:c r="H89" s="14" t="n">
        <x:f>IF('全量明细'!J482="","",'全量明细'!J482)</x:f>
        <x:v>-5.360000000000004</x:v>
      </x:c>
      <x:c r="I89" s="28" t="n">
        <x:f>IF('全量明细'!E985="","",'全量明细'!E985)</x:f>
        <x:v>0.5795731000000001</x:v>
      </x:c>
      <x:c r="J89" s="12" t="n">
        <x:f>IF('全量明细'!F985="","",'全量明细'!F985)</x:f>
        <x:v>1213</x:v>
      </x:c>
      <x:c r="K89" s="11" t="n">
        <x:f>IF('全量明细'!G985="","",'全量明细'!G985)</x:f>
        <x:v>0.28850000000000003</x:v>
      </x:c>
      <x:c r="L89" s="11" t="n">
        <x:f>IF('全量明细'!H985="","",'全量明细'!H985)</x:f>
        <x:v>0.58</x:v>
      </x:c>
      <x:c r="M89" s="11" t="n">
        <x:f>IF('全量明细'!I985="","",'全量明细'!I985)</x:f>
        <x:v>0.5794</x:v>
      </x:c>
      <x:c r="N89" s="14" t="n">
        <x:f>IF('全量明细'!J985="","",'全量明细'!J985)</x:f>
        <x:v>0.05999999999999339</x:v>
      </x:c>
      <x:c r="O89" s="14" t="n">
        <x:f>IF(AND(ISNUMBER(C89),ISNUMBER(I89)),(I89-C89)*100,"")</x:f>
        <x:v>5.904158000000004</x:v>
      </x:c>
      <x:c r="P89" s="17" t="str"/>
    </x:row>
    <x:row r="90" ht="25" customHeight="1">
      <x:c r="A90" s="2" t="str">
        <x:v>瓦库</x:v>
      </x:c>
      <x:c r="B90" s="2" t="str">
        <x:v>腌制活雾</x:v>
      </x:c>
      <x:c r="C90" s="28" t="n">
        <x:f>IF('全量明细'!E484="","",'全量明细'!E484)</x:f>
        <x:v>0.5192326</x:v>
      </x:c>
      <x:c r="D90" s="12" t="n">
        <x:f>IF('全量明细'!F484="","",'全量明细'!F484)</x:f>
        <x:v>3122</x:v>
      </x:c>
      <x:c r="E90" s="11" t="n">
        <x:f>IF('全量明细'!G484="","",'全量明细'!G484)</x:f>
        <x:v>0.4318</x:v>
      </x:c>
      <x:c r="F90" s="11" t="n">
        <x:f>IF('全量明细'!H484="","",'全量明细'!H484)</x:f>
        <x:v>0.49479999999999996</x:v>
      </x:c>
      <x:c r="G90" s="11" t="n">
        <x:f>IF('全量明细'!I484="","",'全量明细'!I484)</x:f>
        <x:v>0.5378000000000001</x:v>
      </x:c>
      <x:c r="H90" s="14" t="n">
        <x:f>IF('全量明细'!J484="","",'全量明细'!J484)</x:f>
        <x:v>-4.30000000000001</x:v>
      </x:c>
      <x:c r="I90" s="28" t="n">
        <x:f>IF('全量明细'!E987="","",'全量明细'!E987)</x:f>
        <x:v>0.57410763</x:v>
      </x:c>
      <x:c r="J90" s="12" t="n">
        <x:f>IF('全量明细'!F987="","",'全量明细'!F987)</x:f>
        <x:v>1188</x:v>
      </x:c>
      <x:c r="K90" s="11" t="n">
        <x:f>IF('全量明细'!G987="","",'全量明细'!G987)</x:f>
        <x:v>0.44189999999999996</x:v>
      </x:c>
      <x:c r="L90" s="11" t="n">
        <x:f>IF('全量明细'!H987="","",'全量明细'!H987)</x:f>
        <x:v>0.5505</x:v>
      </x:c>
      <x:c r="M90" s="11" t="n">
        <x:f>IF('全量明细'!I987="","",'全量明细'!I987)</x:f>
        <x:v>0.5928</x:v>
      </x:c>
      <x:c r="N90" s="14" t="n">
        <x:f>IF('全量明细'!J987="","",'全量明细'!J987)</x:f>
        <x:v>-4.23</x:v>
      </x:c>
      <x:c r="O90" s="14" t="n">
        <x:f>IF(AND(ISNUMBER(C90),ISNUMBER(I90)),(I90-C90)*100,"")</x:f>
        <x:v>5.487502999999993</x:v>
      </x:c>
      <x:c r="P90" s="17" t="str"/>
    </x:row>
    <x:row r="91" ht="25" customHeight="1">
      <x:c r="A91" s="2" t="str">
        <x:v>瓦库</x:v>
      </x:c>
      <x:c r="B91" s="2" t="str">
        <x:v>音乐盒</x:v>
      </x:c>
      <x:c r="C91" s="28" t="n">
        <x:f>IF('全量明细'!E478="","",'全量明细'!E478)</x:f>
        <x:v>0.56701226</x:v>
      </x:c>
      <x:c r="D91" s="12" t="n">
        <x:f>IF('全量明细'!F478="","",'全量明细'!F478)</x:f>
        <x:v>2238</x:v>
      </x:c>
      <x:c r="E91" s="11" t="n">
        <x:f>IF('全量明细'!G478="","",'全量明细'!G478)</x:f>
        <x:v>0.4214</x:v>
      </x:c>
      <x:c r="F91" s="11" t="n">
        <x:f>IF('全量明细'!H478="","",'全量明细'!H478)</x:f>
        <x:v>0.6225</x:v>
      </x:c>
      <x:c r="G91" s="11" t="n">
        <x:f>IF('全量明细'!I478="","",'全量明细'!I478)</x:f>
        <x:v>0.5266</x:v>
      </x:c>
      <x:c r="H91" s="14" t="n">
        <x:f>IF('全量明细'!J478="","",'全量明细'!J478)</x:f>
        <x:v>9.59000000000001</x:v>
      </x:c>
      <x:c r="I91" s="28" t="n">
        <x:f>IF('全量明细'!E978="","",'全量明细'!E978)</x:f>
        <x:v>0.6381281999999999</x:v>
      </x:c>
      <x:c r="J91" s="12" t="n">
        <x:f>IF('全量明细'!F978="","",'全量明细'!F978)</x:f>
        <x:v>876</x:v>
      </x:c>
      <x:c r="K91" s="11" t="n">
        <x:f>IF('全量明细'!G978="","",'全量明细'!G978)</x:f>
        <x:v>0.4315</x:v>
      </x:c>
      <x:c r="L91" s="11" t="n">
        <x:f>IF('全量明细'!H978="","",'全量明细'!H978)</x:f>
        <x:v>0.6851999999999999</x:v>
      </x:c>
      <x:c r="M91" s="11" t="n">
        <x:f>IF('全量明细'!I978="","",'全量明细'!I978)</x:f>
        <x:v>0.6024</x:v>
      </x:c>
      <x:c r="N91" s="14" t="n">
        <x:f>IF('全量明细'!J978="","",'全量明细'!J978)</x:f>
        <x:v>8.279999999999987</x:v>
      </x:c>
      <x:c r="O91" s="14" t="n">
        <x:f>IF(AND(ISNUMBER(C91),ISNUMBER(I91)),(I91-C91)*100,"")</x:f>
        <x:v>7.111593999999988</x:v>
      </x:c>
      <x:c r="P91" s="17" t="str"/>
    </x:row>
    <x:row r="92" ht="25" customHeight="1">
      <x:c r="A92" s="2" t="str">
        <x:v>瓦库</x:v>
      </x:c>
      <x:c r="B92" s="2" t="str">
        <x:v>原初之爪</x:v>
      </x:c>
      <x:c r="C92" s="28" t="n">
        <x:f>IF('全量明细'!E486="","",'全量明细'!E486)</x:f>
        <x:v>0.50780496</x:v>
      </x:c>
      <x:c r="D92" s="12" t="n">
        <x:f>IF('全量明细'!F486="","",'全量明细'!F486)</x:f>
        <x:v>3086</x:v>
      </x:c>
      <x:c r="E92" s="11" t="n">
        <x:f>IF('全量明细'!G486="","",'全量明细'!G486)</x:f>
        <x:v>0.1536</x:v>
      </x:c>
      <x:c r="F92" s="11" t="n">
        <x:f>IF('全量明细'!H486="","",'全量明细'!H486)</x:f>
        <x:v>0.4114</x:v>
      </x:c>
      <x:c r="G92" s="11" t="n">
        <x:f>IF('全量明细'!I486="","",'全量明细'!I486)</x:f>
        <x:v>0.5253</x:v>
      </x:c>
      <x:c r="H92" s="14" t="n">
        <x:f>IF('全量明细'!J486="","",'全量明细'!J486)</x:f>
        <x:v>-11.39</x:v>
      </x:c>
      <x:c r="I92" s="28" t="n">
        <x:f>IF('全量明细'!E979="","",'全量明细'!E979)</x:f>
        <x:v>0.628486</x:v>
      </x:c>
      <x:c r="J92" s="12" t="n">
        <x:f>IF('全量明细'!F979="","",'全量明细'!F979)</x:f>
        <x:v>1187</x:v>
      </x:c>
      <x:c r="K92" s="11" t="n">
        <x:f>IF('全量明细'!G979="","",'全量明细'!G979)</x:f>
        <x:v>0.38159999999999994</x:v>
      </x:c>
      <x:c r="L92" s="11" t="n">
        <x:f>IF('全量明细'!H979="","",'全量明细'!H979)</x:f>
        <x:v>0.6424</x:v>
      </x:c>
      <x:c r="M92" s="11" t="n">
        <x:f>IF('全量明细'!I979="","",'全量明细'!I979)</x:f>
        <x:v>0.6199</x:v>
      </x:c>
      <x:c r="N92" s="14" t="n">
        <x:f>IF('全量明细'!J979="","",'全量明细'!J979)</x:f>
        <x:v>2.2499999999999964</x:v>
      </x:c>
      <x:c r="O92" s="14" t="n">
        <x:f>IF(AND(ISNUMBER(C92),ISNUMBER(I92)),(I92-C92)*100,"")</x:f>
        <x:v>12.068104000000002</x:v>
      </x:c>
      <x:c r="P92" s="17" t="str"/>
    </x:row>
    <x:row r="93" ht="25" customHeight="1">
      <x:c r="A93" s="2" t="str">
        <x:v>瓦库</x:v>
      </x:c>
      <x:c r="B93" s="2" t="str">
        <x:v>卓越斗篷</x:v>
      </x:c>
      <x:c r="C93" s="28" t="n">
        <x:f>IF('全量明细'!E479="","",'全量明细'!E479)</x:f>
        <x:v>0.5533687</x:v>
      </x:c>
      <x:c r="D93" s="12" t="n">
        <x:f>IF('全量明细'!F479="","",'全量明细'!F479)</x:f>
        <x:v>3128</x:v>
      </x:c>
      <x:c r="E93" s="11" t="n">
        <x:f>IF('全量明细'!G479="","",'全量明细'!G479)</x:f>
        <x:v>0.547</x:v>
      </x:c>
      <x:c r="F93" s="11" t="n">
        <x:f>IF('全量明细'!H479="","",'全量明细'!H479)</x:f>
        <x:v>0.5815</x:v>
      </x:c>
      <x:c r="G93" s="11" t="n">
        <x:f>IF('全量明细'!I479="","",'全量明细'!I479)</x:f>
        <x:v>0.5194</x:v>
      </x:c>
      <x:c r="H93" s="14" t="n">
        <x:f>IF('全量明细'!J479="","",'全量明细'!J479)</x:f>
        <x:v>6.210000000000004</x:v>
      </x:c>
      <x:c r="I93" s="28" t="n">
        <x:f>IF('全量明细'!E983="","",'全量明细'!E983)</x:f>
        <x:v>0.58273756</x:v>
      </x:c>
      <x:c r="J93" s="12" t="n">
        <x:f>IF('全量明细'!F983="","",'全量明细'!F983)</x:f>
        <x:v>1227</x:v>
      </x:c>
      <x:c r="K93" s="11" t="n">
        <x:f>IF('全量明细'!G983="","",'全量明细'!G983)</x:f>
        <x:v>0.2046</x:v>
      </x:c>
      <x:c r="L93" s="11" t="n">
        <x:f>IF('全量明细'!H983="","",'全量明细'!H983)</x:f>
        <x:v>0.5339</x:v>
      </x:c>
      <x:c r="M93" s="11" t="n">
        <x:f>IF('全量明细'!I983="","",'全量明细'!I983)</x:f>
        <x:v>0.5953</x:v>
      </x:c>
      <x:c r="N93" s="14" t="n">
        <x:f>IF('全量明细'!J983="","",'全量明细'!J983)</x:f>
        <x:v>-6.140000000000001</x:v>
      </x:c>
      <x:c r="O93" s="14" t="n">
        <x:f>IF(AND(ISNUMBER(C93),ISNUMBER(I93)),(I93-C93)*100,"")</x:f>
        <x:v>2.936885999999994</x:v>
      </x:c>
      <x:c r="P93" s="17" t="str"/>
    </x:row>
    <x:row r="94" ht="25" customHeight="1">
      <x:c r="A94" s="20" t="str">
        <x:v>达弗</x:v>
      </x:c>
      <x:c r="B94" s="20" t="str">
        <x:v>尘封魔典</x:v>
      </x:c>
      <x:c r="C94" s="27" t="n">
        <x:f>IF('全量明细'!E492="","",'全量明细'!E492)</x:f>
        <x:v>0.39135414</x:v>
      </x:c>
      <x:c r="D94" s="23" t="n">
        <x:f>IF('全量明细'!F492="","",'全量明细'!F492)</x:f>
        <x:v>4155</x:v>
      </x:c>
      <x:c r="E94" s="22" t="n">
        <x:f>IF('全量明细'!G492="","",'全量明细'!G492)</x:f>
        <x:v>0.6161</x:v>
      </x:c>
      <x:c r="F94" s="22" t="n">
        <x:f>IF('全量明细'!H492="","",'全量明细'!H492)</x:f>
        <x:v>0.375</x:v>
      </x:c>
      <x:c r="G94" s="22" t="n">
        <x:f>IF('全量明细'!I492="","",'全量明细'!I492)</x:f>
        <x:v>0.41759999999999997</x:v>
      </x:c>
      <x:c r="H94" s="24" t="n">
        <x:f>IF('全量明细'!J492="","",'全量明细'!J492)</x:f>
        <x:v>-4.259999999999997</x:v>
      </x:c>
      <x:c r="I94" s="27" t="n">
        <x:f>IF('全量明细'!E996="","",'全量明细'!E996)</x:f>
        <x:v>0.4710968</x:v>
      </x:c>
      <x:c r="J94" s="23" t="n">
        <x:f>IF('全量明细'!F996="","",'全量明细'!F996)</x:f>
        <x:v>1592</x:v>
      </x:c>
      <x:c r="K94" s="22" t="n">
        <x:f>IF('全量明细'!G996="","",'全量明细'!G996)</x:f>
        <x:v>0.6068</x:v>
      </x:c>
      <x:c r="L94" s="22" t="n">
        <x:f>IF('全量明细'!H996="","",'全量明细'!H996)</x:f>
        <x:v>0.442</x:v>
      </x:c>
      <x:c r="M94" s="22" t="n">
        <x:f>IF('全量明细'!I996="","",'全量明细'!I996)</x:f>
        <x:v>0.516</x:v>
      </x:c>
      <x:c r="N94" s="24" t="n">
        <x:f>IF('全量明细'!J996="","",'全量明细'!J996)</x:f>
        <x:v>-7.400000000000001</x:v>
      </x:c>
      <x:c r="O94" s="24" t="n">
        <x:f>IF(AND(ISNUMBER(C94),ISNUMBER(I94)),(I94-C94)*100,"")</x:f>
        <x:v>7.9742659999999965</x:v>
      </x:c>
      <x:c r="P94" s="31" t="str">
        <x:v>不同幕混合，勿直接解释为纯强度</x:v>
      </x:c>
    </x:row>
    <x:row r="95" ht="25" customHeight="1">
      <x:c r="A95" s="2" t="str">
        <x:v>达弗</x:v>
      </x:c>
      <x:c r="B95" s="2" t="str">
        <x:v>符文金字塔</x:v>
      </x:c>
      <x:c r="C95" s="28" t="n">
        <x:f>IF('全量明细'!E490="","",'全量明细'!E490)</x:f>
        <x:v>0.40131629999999996</x:v>
      </x:c>
      <x:c r="D95" s="12" t="n">
        <x:f>IF('全量明细'!F490="","",'全量明细'!F490)</x:f>
        <x:v>2641</x:v>
      </x:c>
      <x:c r="E95" s="11" t="n">
        <x:f>IF('全量明细'!G490="","",'全量明细'!G490)</x:f>
        <x:v>0.3945</x:v>
      </x:c>
      <x:c r="F95" s="11" t="n">
        <x:f>IF('全量明细'!H490="","",'全量明细'!H490)</x:f>
        <x:v>0.49420000000000003</x:v>
      </x:c>
      <x:c r="G95" s="11" t="n">
        <x:f>IF('全量明细'!I490="","",'全量明细'!I490)</x:f>
        <x:v>0.3408</x:v>
      </x:c>
      <x:c r="H95" s="14" t="n">
        <x:f>IF('全量明细'!J490="","",'全量明细'!J490)</x:f>
        <x:v>15.340000000000003</x:v>
      </x:c>
      <x:c r="I95" s="28" t="n">
        <x:f>IF('全量明细'!E988="","",'全量明细'!E988)</x:f>
        <x:v>0.5363230000000001</x:v>
      </x:c>
      <x:c r="J95" s="12" t="n">
        <x:f>IF('全量明细'!F988="","",'全量明细'!F988)</x:f>
        <x:v>729</x:v>
      </x:c>
      <x:c r="K95" s="11" t="n">
        <x:f>IF('全量明细'!G988="","",'全量明细'!G988)</x:f>
        <x:v>0.4925</x:v>
      </x:c>
      <x:c r="L95" s="11" t="n">
        <x:f>IF('全量明细'!H988="","",'全量明细'!H988)</x:f>
        <x:v>0.6295000000000001</x:v>
      </x:c>
      <x:c r="M95" s="11" t="n">
        <x:f>IF('全量明细'!I988="","",'全量明细'!I988)</x:f>
        <x:v>0.4459</x:v>
      </x:c>
      <x:c r="N95" s="14" t="n">
        <x:f>IF('全量明细'!J988="","",'全量明细'!J988)</x:f>
        <x:v>18.360000000000003</x:v>
      </x:c>
      <x:c r="O95" s="14" t="n">
        <x:f>IF(AND(ISNUMBER(C95),ISNUMBER(I95)),(I95-C95)*100,"")</x:f>
        <x:v>13.500670000000014</x:v>
      </x:c>
      <x:c r="P95" s="17" t="str">
        <x:v>不同幕混合，勿直接解释为纯强度</x:v>
      </x:c>
    </x:row>
    <x:row r="96" ht="25" customHeight="1">
      <x:c r="A96" s="2" t="str">
        <x:v>达弗</x:v>
      </x:c>
      <x:c r="B96" s="2" t="str">
        <x:v>黑星</x:v>
      </x:c>
      <x:c r="C96" s="28" t="n">
        <x:f>IF('全量明细'!E497="","",'全量明细'!E497)</x:f>
        <x:v>0.37112882999999997</x:v>
      </x:c>
      <x:c r="D96" s="12" t="n">
        <x:f>IF('全量明细'!F497="","",'全量明细'!F497)</x:f>
        <x:v>2573</x:v>
      </x:c>
      <x:c r="E96" s="11" t="n">
        <x:f>IF('全量明细'!G497="","",'全量明细'!G497)</x:f>
        <x:v>0.1593</x:v>
      </x:c>
      <x:c r="F96" s="11" t="n">
        <x:f>IF('全量明细'!H497="","",'全量明细'!H497)</x:f>
        <x:v>0.3317</x:v>
      </x:c>
      <x:c r="G96" s="11" t="n">
        <x:f>IF('全量明细'!I497="","",'全量明细'!I497)</x:f>
        <x:v>0.3786</x:v>
      </x:c>
      <x:c r="H96" s="14" t="n">
        <x:f>IF('全量明细'!J497="","",'全量明细'!J497)</x:f>
        <x:v>-4.6899999999999995</x:v>
      </x:c>
      <x:c r="I96" s="28" t="n">
        <x:f>IF('全量明细'!E995="","",'全量明细'!E995)</x:f>
        <x:v>0.47180906</x:v>
      </x:c>
      <x:c r="J96" s="12" t="n">
        <x:f>IF('全量明细'!F995="","",'全量明细'!F995)</x:f>
        <x:v>763</x:v>
      </x:c>
      <x:c r="K96" s="11" t="n">
        <x:f>IF('全量明细'!G995="","",'全量明细'!G995)</x:f>
        <x:v>0.17170000000000002</x:v>
      </x:c>
      <x:c r="L96" s="11" t="n">
        <x:f>IF('全量明细'!H995="","",'全量明细'!H995)</x:f>
        <x:v>0.4733</x:v>
      </x:c>
      <x:c r="M96" s="11" t="n">
        <x:f>IF('全量明细'!I995="","",'全量明细'!I995)</x:f>
        <x:v>0.4715</x:v>
      </x:c>
      <x:c r="N96" s="14" t="n">
        <x:f>IF('全量明细'!J995="","",'全量明细'!J995)</x:f>
        <x:v>0.18000000000000238</x:v>
      </x:c>
      <x:c r="O96" s="14" t="n">
        <x:f>IF(AND(ISNUMBER(C96),ISNUMBER(I96)),(I96-C96)*100,"")</x:f>
        <x:v>10.068023000000004</x:v>
      </x:c>
      <x:c r="P96" s="17" t="str">
        <x:v>不同幕混合，勿直接解释为纯强度</x:v>
      </x:c>
    </x:row>
    <x:row r="97" ht="25" customHeight="1">
      <x:c r="A97" s="2" t="str">
        <x:v>达弗</x:v>
      </x:c>
      <x:c r="B97" s="2" t="str">
        <x:v>空鸟笼</x:v>
      </x:c>
      <x:c r="C97" s="28" t="n">
        <x:f>IF('全量明细'!E496="","",'全量明细'!E496)</x:f>
        <x:v>0.37735275</x:v>
      </x:c>
      <x:c r="D97" s="12" t="n">
        <x:f>IF('全量明细'!F496="","",'全量明细'!F496)</x:f>
        <x:v>2568</x:v>
      </x:c>
      <x:c r="E97" s="11" t="n">
        <x:f>IF('全量明细'!G496="","",'全量明细'!G496)</x:f>
        <x:v>0.3345</x:v>
      </x:c>
      <x:c r="F97" s="11" t="n">
        <x:f>IF('全量明细'!H496="","",'全量明细'!H496)</x:f>
        <x:v>0.3504</x:v>
      </x:c>
      <x:c r="G97" s="11" t="n">
        <x:f>IF('全量明细'!I496="","",'全量明细'!I496)</x:f>
        <x:v>0.3909</x:v>
      </x:c>
      <x:c r="H97" s="14" t="n">
        <x:f>IF('全量明细'!J496="","",'全量明细'!J496)</x:f>
        <x:v>-4.050000000000003</x:v>
      </x:c>
      <x:c r="I97" s="28" t="n">
        <x:f>IF('全量明细'!E990="","",'全量明细'!E990)</x:f>
        <x:v>0.4927319400000001</x:v>
      </x:c>
      <x:c r="J97" s="12" t="n">
        <x:f>IF('全量明细'!F990="","",'全量明细'!F990)</x:f>
        <x:v>753</x:v>
      </x:c>
      <x:c r="K97" s="11" t="n">
        <x:f>IF('全量明细'!G990="","",'全量明细'!G990)</x:f>
        <x:v>0.37979999999999997</x:v>
      </x:c>
      <x:c r="L97" s="11" t="n">
        <x:f>IF('全量明细'!H990="","",'全量明细'!H990)</x:f>
        <x:v>0.4371</x:v>
      </x:c>
      <x:c r="M97" s="11" t="n">
        <x:f>IF('全量明细'!I990="","",'全量明细'!I990)</x:f>
        <x:v>0.5268</x:v>
      </x:c>
      <x:c r="N97" s="14" t="n">
        <x:f>IF('全量明细'!J990="","",'全量明细'!J990)</x:f>
        <x:v>-8.970000000000006</x:v>
      </x:c>
      <x:c r="O97" s="14" t="n">
        <x:f>IF(AND(ISNUMBER(C97),ISNUMBER(I97)),(I97-C97)*100,"")</x:f>
        <x:v>11.537919000000008</x:v>
      </x:c>
      <x:c r="P97" s="17" t="str">
        <x:v>不同幕混合，勿直接解释为纯强度</x:v>
      </x:c>
    </x:row>
    <x:row r="98" ht="25" customHeight="1">
      <x:c r="A98" s="2" t="str">
        <x:v>达弗</x:v>
      </x:c>
      <x:c r="B98" s="2" t="str">
        <x:v>灵体外质</x:v>
      </x:c>
      <x:c r="C98" s="28" t="n">
        <x:f>IF('全量明细'!E498="","",'全量明细'!E498)</x:f>
        <x:v>0.34689746</x:v>
      </x:c>
      <x:c r="D98" s="12" t="n">
        <x:f>IF('全量明细'!F498="","",'全量明细'!F498)</x:f>
        <x:v>986</x:v>
      </x:c>
      <x:c r="E98" s="11" t="n">
        <x:f>IF('全量明细'!G498="","",'全量明细'!G498)</x:f>
        <x:v>0.0527</x:v>
      </x:c>
      <x:c r="F98" s="11" t="n">
        <x:f>IF('全量明细'!H498="","",'全量明细'!H498)</x:f>
        <x:v>0.3846</x:v>
      </x:c>
      <x:c r="G98" s="11" t="n">
        <x:f>IF('全量明细'!I498="","",'全量明细'!I498)</x:f>
        <x:v>0.3448</x:v>
      </x:c>
      <x:c r="H98" s="14" t="n">
        <x:f>IF('全量明细'!J498="","",'全量明细'!J498)</x:f>
        <x:v>3.9800000000000004</x:v>
      </x:c>
      <x:c r="I98" s="28" t="n">
        <x:f>IF('全量明细'!E997="","",'全量明细'!E997)</x:f>
        <x:v>0.45749688</x:v>
      </x:c>
      <x:c r="J98" s="12" t="n">
        <x:f>IF('全量明细'!F997="","",'全量明细'!F997)</x:f>
        <x:v>518</x:v>
      </x:c>
      <x:c r="K98" s="11" t="n">
        <x:f>IF('全量明细'!G997="","",'全量明细'!G997)</x:f>
        <x:v>0.0907</x:v>
      </x:c>
      <x:c r="L98" s="11" t="n">
        <x:f>IF('全量明细'!H997="","",'全量明细'!H997)</x:f>
        <x:v>0.5106</x:v>
      </x:c>
      <x:c r="M98" s="11" t="n">
        <x:f>IF('全量明细'!I997="","",'全量明细'!I997)</x:f>
        <x:v>0.4522</x:v>
      </x:c>
      <x:c r="N98" s="14" t="n">
        <x:f>IF('全量明细'!J997="","",'全量明细'!J997)</x:f>
        <x:v>5.840000000000006</x:v>
      </x:c>
      <x:c r="O98" s="14" t="n">
        <x:f>IF(AND(ISNUMBER(C98),ISNUMBER(I98)),(I98-C98)*100,"")</x:f>
        <x:v>11.059942</x:v>
      </x:c>
      <x:c r="P98" s="17" t="str">
        <x:v>不同幕混合，勿直接解释为纯强度</x:v>
      </x:c>
    </x:row>
    <x:row r="99" ht="25" customHeight="1">
      <x:c r="A99" s="2" t="str">
        <x:v>达弗</x:v>
      </x:c>
      <x:c r="B99" s="2" t="str">
        <x:v>潘多拉魔盒</x:v>
      </x:c>
      <x:c r="C99" s="28" t="n">
        <x:f>IF('全量明细'!E491="","",'全量明细'!E491)</x:f>
        <x:v>0.39432135999999995</x:v>
      </x:c>
      <x:c r="D99" s="12" t="n">
        <x:f>IF('全量明细'!F491="","",'全量明细'!F491)</x:f>
        <x:v>2645</x:v>
      </x:c>
      <x:c r="E99" s="11" t="n">
        <x:f>IF('全量明细'!G491="","",'全量明细'!G491)</x:f>
        <x:v>0.4314</x:v>
      </x:c>
      <x:c r="F99" s="11" t="n">
        <x:f>IF('全量明细'!H491="","",'全量明细'!H491)</x:f>
        <x:v>0.39</x:v>
      </x:c>
      <x:c r="G99" s="11" t="n">
        <x:f>IF('全量明细'!I491="","",'全量明细'!I491)</x:f>
        <x:v>0.39759999999999995</x:v>
      </x:c>
      <x:c r="H99" s="14" t="n">
        <x:f>IF('全量明细'!J491="","",'全量明细'!J491)</x:f>
        <x:v>-0.759999999999994</x:v>
      </x:c>
      <x:c r="I99" s="28" t="n">
        <x:f>IF('全量明细'!E989="","",'全量明细'!E989)</x:f>
        <x:v>0.5068935400000001</x:v>
      </x:c>
      <x:c r="J99" s="12" t="n">
        <x:f>IF('全量明细'!F989="","",'全量明细'!F989)</x:f>
        <x:v>799</x:v>
      </x:c>
      <x:c r="K99" s="11" t="n">
        <x:f>IF('全量明细'!G989="","",'全量明细'!G989)</x:f>
        <x:v>0.4318</x:v>
      </x:c>
      <x:c r="L99" s="11" t="n">
        <x:f>IF('全量明细'!H989="","",'全量明细'!H989)</x:f>
        <x:v>0.49570000000000003</x:v>
      </x:c>
      <x:c r="M99" s="11" t="n">
        <x:f>IF('全量明细'!I989="","",'全量明细'!I989)</x:f>
        <x:v>0.5154</x:v>
      </x:c>
      <x:c r="N99" s="14" t="n">
        <x:f>IF('全量明细'!J989="","",'全量明细'!J989)</x:f>
        <x:v>-1.969999999999994</x:v>
      </x:c>
      <x:c r="O99" s="14" t="n">
        <x:f>IF(AND(ISNUMBER(C99),ISNUMBER(I99)),(I99-C99)*100,"")</x:f>
        <x:v>11.257218000000012</x:v>
      </x:c>
      <x:c r="P99" s="17" t="str">
        <x:v>不同幕混合，勿直接解释为纯强度</x:v>
      </x:c>
    </x:row>
    <x:row r="100" ht="25" customHeight="1">
      <x:c r="A100" s="2" t="str">
        <x:v>达弗</x:v>
      </x:c>
      <x:c r="B100" s="2" t="str">
        <x:v>天鹅绒颈圈</x:v>
      </x:c>
      <x:c r="C100" s="28" t="n">
        <x:f>IF('全量明细'!E489="","",'全量明细'!E489)</x:f>
        <x:v>0.49500374</x:v>
      </x:c>
      <x:c r="D100" s="12" t="n">
        <x:f>IF('全量明细'!F489="","",'全量明细'!F489)</x:f>
        <x:v>299</x:v>
      </x:c>
      <x:c r="E100" s="11" t="n">
        <x:f>IF('全量明细'!G489="","",'全量明细'!G489)</x:f>
        <x:v>0.0669</x:v>
      </x:c>
      <x:c r="F100" s="11" t="n">
        <x:f>IF('全量明细'!H489="","",'全量明细'!H489)</x:f>
        <x:v>0.35</x:v>
      </x:c>
      <x:c r="G100" s="11" t="n">
        <x:f>IF('全量明细'!I489="","",'全量明细'!I489)</x:f>
        <x:v>0.5054</x:v>
      </x:c>
      <x:c r="H100" s="14" t="n">
        <x:f>IF('全量明细'!J489="","",'全量明细'!J489)</x:f>
        <x:v>-15.54</x:v>
      </x:c>
      <x:c r="I100" s="28" t="n">
        <x:f>IF('全量明细'!E998="","",'全量明细'!E998)</x:f>
        <x:v>0.44279072</x:v>
      </x:c>
      <x:c r="J100" s="12" t="n">
        <x:f>IF('全量明细'!F998="","",'全量明细'!F998)</x:f>
        <x:v>804</x:v>
      </x:c>
      <x:c r="K100" s="11" t="n">
        <x:f>IF('全量明细'!G998="","",'全量明细'!G998)</x:f>
        <x:v>0.12560000000000002</x:v>
      </x:c>
      <x:c r="L100" s="11" t="n">
        <x:f>IF('全量明细'!H998="","",'全量明细'!H998)</x:f>
        <x:v>0.3564</x:v>
      </x:c>
      <x:c r="M100" s="11" t="n">
        <x:f>IF('全量明细'!I998="","",'全量明细'!I998)</x:f>
        <x:v>0.45520000000000005</x:v>
      </x:c>
      <x:c r="N100" s="14" t="n">
        <x:f>IF('全量明细'!J998="","",'全量明细'!J998)</x:f>
        <x:v>-9.880000000000006</x:v>
      </x:c>
      <x:c r="O100" s="14" t="n">
        <x:f>IF(AND(ISNUMBER(C100),ISNUMBER(I100)),(I100-C100)*100,"")</x:f>
        <x:v>-5.221302</x:v>
      </x:c>
      <x:c r="P100" s="17" t="str">
        <x:v>不同幕混合，勿直接解释为纯强度</x:v>
      </x:c>
    </x:row>
    <x:row r="101" ht="25" customHeight="1">
      <x:c r="A101" s="2" t="str">
        <x:v>达弗</x:v>
      </x:c>
      <x:c r="B101" s="2" t="str">
        <x:v>添水</x:v>
      </x:c>
      <x:c r="C101" s="28" t="n">
        <x:f>IF('全量明细'!E499="","",'全量明细'!E499)</x:f>
        <x:v>0.34562823</x:v>
      </x:c>
      <x:c r="D101" s="12" t="n">
        <x:f>IF('全量明细'!F499="","",'全量明细'!F499)</x:f>
        <x:v>1030</x:v>
      </x:c>
      <x:c r="E101" s="11" t="n">
        <x:f>IF('全量明细'!G499="","",'全量明细'!G499)</x:f>
        <x:v>0.10869999999999999</x:v>
      </x:c>
      <x:c r="F101" s="11" t="n">
        <x:f>IF('全量明细'!H499="","",'全量明细'!H499)</x:f>
        <x:v>0.3393</x:v>
      </x:c>
      <x:c r="G101" s="11" t="n">
        <x:f>IF('全量明细'!I499="","",'全量明细'!I499)</x:f>
        <x:v>0.3464</x:v>
      </x:c>
      <x:c r="H101" s="14" t="n">
        <x:f>IF('全量明细'!J499="","",'全量明细'!J499)</x:f>
        <x:v>-0.7099999999999995</x:v>
      </x:c>
      <x:c r="I101" s="28" t="n">
        <x:f>IF('全量明细'!E999="","",'全量明细'!E999)</x:f>
        <x:v>0.44075129</x:v>
      </x:c>
      <x:c r="J101" s="12" t="n">
        <x:f>IF('全量明细'!F999="","",'全量明细'!F999)</x:f>
        <x:v>540</x:v>
      </x:c>
      <x:c r="K101" s="11" t="n">
        <x:f>IF('全量明细'!G999="","",'全量明细'!G999)</x:f>
        <x:v>0.1241</x:v>
      </x:c>
      <x:c r="L101" s="11" t="n">
        <x:f>IF('全量明细'!H999="","",'全量明细'!H999)</x:f>
        <x:v>0.40299999999999997</x:v>
      </x:c>
      <x:c r="M101" s="11" t="n">
        <x:f>IF('全量明细'!I999="","",'全量明细'!I999)</x:f>
        <x:v>0.4461</x:v>
      </x:c>
      <x:c r="N101" s="14" t="n">
        <x:f>IF('全量明细'!J999="","",'全量明细'!J999)</x:f>
        <x:v>-4.310000000000002</x:v>
      </x:c>
      <x:c r="O101" s="14" t="n">
        <x:f>IF(AND(ISNUMBER(C101),ISNUMBER(I101)),(I101-C101)*100,"")</x:f>
        <x:v>9.512306000000004</x:v>
      </x:c>
      <x:c r="P101" s="17" t="str">
        <x:v>不同幕混合，勿直接解释为纯强度</x:v>
      </x:c>
    </x:row>
    <x:row r="102" ht="25" customHeight="1">
      <x:c r="A102" s="2" t="str">
        <x:v>达弗</x:v>
      </x:c>
      <x:c r="B102" s="2" t="str">
        <x:v>贤者之石</x:v>
      </x:c>
      <x:c r="C102" s="28" t="n">
        <x:f>IF('全量明细'!E488="","",'全量明细'!E488)</x:f>
        <x:v>0.5133380000000001</x:v>
      </x:c>
      <x:c r="D102" s="12" t="n">
        <x:f>IF('全量明细'!F488="","",'全量明细'!F488)</x:f>
        <x:v>300</x:v>
      </x:c>
      <x:c r="E102" s="11" t="n">
        <x:f>IF('全量明细'!G488="","",'全量明细'!G488)</x:f>
        <x:v>0.38</x:v>
      </x:c>
      <x:c r="F102" s="11" t="n">
        <x:f>IF('全量明细'!H488="","",'全量明细'!H488)</x:f>
        <x:v>0.5351</x:v>
      </x:c>
      <x:c r="G102" s="11" t="n">
        <x:f>IF('全量明细'!I488="","",'全量明细'!I488)</x:f>
        <x:v>0.5</x:v>
      </x:c>
      <x:c r="H102" s="14" t="n">
        <x:f>IF('全量明细'!J488="","",'全量明细'!J488)</x:f>
        <x:v>3.510000000000002</x:v>
      </x:c>
      <x:c r="I102" s="28" t="n">
        <x:f>IF('全量明细'!E991="","",'全量明细'!E991)</x:f>
        <x:v>0.49217029</x:v>
      </x:c>
      <x:c r="J102" s="12" t="n">
        <x:f>IF('全量明细'!F991="","",'全量明细'!F991)</x:f>
        <x:v>764</x:v>
      </x:c>
      <x:c r="K102" s="11" t="n">
        <x:f>IF('全量明细'!G991="","",'全量明细'!G991)</x:f>
        <x:v>0.3613</x:v>
      </x:c>
      <x:c r="L102" s="11" t="n">
        <x:f>IF('全量明细'!H991="","",'全量明细'!H991)</x:f>
        <x:v>0.5326</x:v>
      </x:c>
      <x:c r="M102" s="11" t="n">
        <x:f>IF('全量明细'!I991="","",'全量明细'!I991)</x:f>
        <x:v>0.4693</x:v>
      </x:c>
      <x:c r="N102" s="14" t="n">
        <x:f>IF('全量明细'!J991="","",'全量明细'!J991)</x:f>
        <x:v>6.3299999999999965</x:v>
      </x:c>
      <x:c r="O102" s="14" t="n">
        <x:f>IF(AND(ISNUMBER(C102),ISNUMBER(I102)),(I102-C102)*100,"")</x:f>
        <x:v>-2.116771000000006</x:v>
      </x:c>
      <x:c r="P102" s="17" t="str">
        <x:v>不同幕混合，勿直接解释为纯强度</x:v>
      </x:c>
    </x:row>
    <x:row r="103" ht="25" customHeight="1">
      <x:c r="A103" s="2" t="str">
        <x:v>达弗</x:v>
      </x:c>
      <x:c r="B103" s="2" t="str">
        <x:v>星盘</x:v>
      </x:c>
      <x:c r="C103" s="28" t="n">
        <x:f>IF('全量明细'!E494="","",'全量明细'!E494)</x:f>
        <x:v>0.38676195999999996</x:v>
      </x:c>
      <x:c r="D103" s="12" t="n">
        <x:f>IF('全量明细'!F494="","",'全量明细'!F494)</x:f>
        <x:v>2552</x:v>
      </x:c>
      <x:c r="E103" s="11" t="n">
        <x:f>IF('全量明细'!G494="","",'全量明细'!G494)</x:f>
        <x:v>0.4996</x:v>
      </x:c>
      <x:c r="F103" s="11" t="n">
        <x:f>IF('全量明细'!H494="","",'全量明细'!H494)</x:f>
        <x:v>0.3718</x:v>
      </x:c>
      <x:c r="G103" s="11" t="n">
        <x:f>IF('全量明细'!I494="","",'全量明细'!I494)</x:f>
        <x:v>0.4017</x:v>
      </x:c>
      <x:c r="H103" s="14" t="n">
        <x:f>IF('全量明细'!J494="","",'全量明细'!J494)</x:f>
        <x:v>-2.9899999999999984</x:v>
      </x:c>
      <x:c r="I103" s="28" t="n">
        <x:f>IF('全量明细'!E994="","",'全量明细'!E994)</x:f>
        <x:v>0.48282400000000003</x:v>
      </x:c>
      <x:c r="J103" s="12" t="n">
        <x:f>IF('全量明细'!F994="","",'全量明细'!F994)</x:f>
        <x:v>756</x:v>
      </x:c>
      <x:c r="K103" s="11" t="n">
        <x:f>IF('全量明细'!G994="","",'全量明细'!G994)</x:f>
        <x:v>0.504</x:v>
      </x:c>
      <x:c r="L103" s="11" t="n">
        <x:f>IF('全量明细'!H994="","",'全量明细'!H994)</x:f>
        <x:v>0.4672</x:v>
      </x:c>
      <x:c r="M103" s="11" t="n">
        <x:f>IF('全量明细'!I994="","",'全量明细'!I994)</x:f>
        <x:v>0.4987</x:v>
      </x:c>
      <x:c r="N103" s="14" t="n">
        <x:f>IF('全量明细'!J994="","",'全量明细'!J994)</x:f>
        <x:v>-3.1499999999999972</x:v>
      </x:c>
      <x:c r="O103" s="14" t="n">
        <x:f>IF(AND(ISNUMBER(C103),ISNUMBER(I103)),(I103-C103)*100,"")</x:f>
        <x:v>9.606204000000007</x:v>
      </x:c>
      <x:c r="P103" s="17" t="str">
        <x:v>不同幕混合，勿直接解释为纯强度</x:v>
      </x:c>
    </x:row>
    <x:row r="104" ht="25" customHeight="1">
      <x:c r="A104" s="2" t="str">
        <x:v>达弗</x:v>
      </x:c>
      <x:c r="B104" s="2" t="str">
        <x:v>异蛇之眼</x:v>
      </x:c>
      <x:c r="C104" s="28" t="n">
        <x:f>IF('全量明细'!E493="","",'全量明细'!E493)</x:f>
        <x:v>0.3877859</x:v>
      </x:c>
      <x:c r="D104" s="12" t="n">
        <x:f>IF('全量明细'!F493="","",'全量明细'!F493)</x:f>
        <x:v>2553</x:v>
      </x:c>
      <x:c r="E104" s="11" t="n">
        <x:f>IF('全量明细'!G493="","",'全量明细'!G493)</x:f>
        <x:v>0.0165</x:v>
      </x:c>
      <x:c r="F104" s="11" t="n">
        <x:f>IF('全量明细'!H493="","",'全量明细'!H493)</x:f>
        <x:v>0.3333</x:v>
      </x:c>
      <x:c r="G104" s="11" t="n">
        <x:f>IF('全量明细'!I493="","",'全量明细'!I493)</x:f>
        <x:v>0.3887</x:v>
      </x:c>
      <x:c r="H104" s="14" t="n">
        <x:f>IF('全量明细'!J493="","",'全量明细'!J493)</x:f>
        <x:v>-5.540000000000001</x:v>
      </x:c>
      <x:c r="I104" s="28" t="n">
        <x:f>IF('全量明细'!E993="","",'全量明细'!E993)</x:f>
        <x:v>0.48406602</x:v>
      </x:c>
      <x:c r="J104" s="12" t="n">
        <x:f>IF('全量明细'!F993="","",'全量明细'!F993)</x:f>
        <x:v>783</x:v>
      </x:c>
      <x:c r="K104" s="11" t="n">
        <x:f>IF('全量明细'!G993="","",'全量明细'!G993)</x:f>
        <x:v>0.0319</x:v>
      </x:c>
      <x:c r="L104" s="11" t="n">
        <x:f>IF('全量明细'!H993="","",'全量明细'!H993)</x:f>
        <x:v>0.48</x:v>
      </x:c>
      <x:c r="M104" s="11" t="n">
        <x:f>IF('全量明细'!I993="","",'全量明细'!I993)</x:f>
        <x:v>0.4842</x:v>
      </x:c>
      <x:c r="N104" s="14" t="n">
        <x:f>IF('全量明细'!J993="","",'全量明细'!J993)</x:f>
        <x:v>-0.4200000000000037</x:v>
      </x:c>
      <x:c r="O104" s="14" t="n">
        <x:f>IF(AND(ISNUMBER(C104),ISNUMBER(I104)),(I104-C104)*100,"")</x:f>
        <x:v>9.628011999999996</x:v>
      </x:c>
      <x:c r="P104" s="17" t="str">
        <x:v>不同幕混合，勿直接解释为纯强度</x:v>
      </x:c>
    </x:row>
    <x:row r="105" ht="25" customHeight="1">
      <x:c r="A105" s="2" t="str">
        <x:v>达弗</x:v>
      </x:c>
      <x:c r="B105" s="2" t="str">
        <x:v>召唤铃铛</x:v>
      </x:c>
      <x:c r="C105" s="28" t="n">
        <x:f>IF('全量明细'!E495="","",'全量明细'!E495)</x:f>
        <x:v>0.38245560000000006</x:v>
      </x:c>
      <x:c r="D105" s="12" t="n">
        <x:f>IF('全量明细'!F495="","",'全量明细'!F495)</x:f>
        <x:v>2544</x:v>
      </x:c>
      <x:c r="E105" s="11" t="n">
        <x:f>IF('全量明细'!G495="","",'全量明细'!G495)</x:f>
        <x:v>0.24719999999999998</x:v>
      </x:c>
      <x:c r="F105" s="11" t="n">
        <x:f>IF('全量明细'!H495="","",'全量明细'!H495)</x:f>
        <x:v>0.33390000000000003</x:v>
      </x:c>
      <x:c r="G105" s="11" t="n">
        <x:f>IF('全量明细'!I495="","",'全量明细'!I495)</x:f>
        <x:v>0.39840000000000003</x:v>
      </x:c>
      <x:c r="H105" s="14" t="n">
        <x:f>IF('全量明细'!J495="","",'全量明细'!J495)</x:f>
        <x:v>-6.45</x:v>
      </x:c>
      <x:c r="I105" s="28" t="n">
        <x:f>IF('全量明细'!E992="","",'全量明细'!E992)</x:f>
        <x:v>0.49142854</x:v>
      </x:c>
      <x:c r="J105" s="12" t="n">
        <x:f>IF('全量明细'!F992="","",'全量明细'!F992)</x:f>
        <x:v>700</x:v>
      </x:c>
      <x:c r="K105" s="11" t="n">
        <x:f>IF('全量明细'!G992="","",'全量明细'!G992)</x:f>
        <x:v>0.2529</x:v>
      </x:c>
      <x:c r="L105" s="11" t="n">
        <x:f>IF('全量明细'!H992="","",'全量明细'!H992)</x:f>
        <x:v>0.48590000000000005</x:v>
      </x:c>
      <x:c r="M105" s="11" t="n">
        <x:f>IF('全量明细'!I992="","",'全量明细'!I992)</x:f>
        <x:v>0.49329999999999996</x:v>
      </x:c>
      <x:c r="N105" s="14" t="n">
        <x:f>IF('全量明细'!J992="","",'全量明细'!J992)</x:f>
        <x:v>-0.7399999999999907</x:v>
      </x:c>
      <x:c r="O105" s="14" t="n">
        <x:f>IF(AND(ISNUMBER(C105),ISNUMBER(I105)),(I105-C105)*100,"")</x:f>
        <x:v>10.897293999999997</x:v>
      </x:c>
      <x:c r="P105" s="17" t="str">
        <x:v>不同幕混合，勿直接解释为纯强度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54efc76a18f0474f"/>
  </x:tableParts>
</x:worksheet>
</file>

<file path=xl/worksheets/sheet8.xml><?xml version="1.0" encoding="utf-8"?>
<x:worksheet xmlns:x="http://schemas.openxmlformats.org/spreadsheetml/2006/main">
  <x:sheetPr>
    <x:tabColor rgb="FFB6812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22" hidden="0" customWidth="1"/>
    <x:col min="5" max="5" width="15" hidden="0" customWidth="1"/>
    <x:col min="6" max="6" width="16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9" hidden="0" customWidth="1"/>
    <x:col min="12" max="12" width="16" hidden="0" customWidth="1"/>
    <x:col min="13" max="13" width="16" hidden="0" customWidth="1"/>
    <x:col min="14" max="14" width="52" hidden="0" customWidth="1"/>
    <x:col min="15" max="15" width="39" hidden="0" customWidth="1"/>
    <x:col min="16" max="16" width="50" hidden="0" customWidth="1"/>
  </x:cols>
  <x:sheetData>
    <x:row r="1" ht="43" customHeight="1">
      <x:c r="A1" s="4" t="str">
        <x:v>附表 · 网站古代页中未归入先古之民的记录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5" customHeight="1">
      <x:c r="A2" s="6" t="str">
        <x:v>A10｜单人｜标准模式｜55 条记录。出现胜率由网站显示值加权；绿色列为公式计算，计数估算不代表精确分组局数。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56" customHeight="1">
      <x:c r="A4" s="8" t="str">
        <x:v>版本</x:v>
      </x:c>
      <x:c r="B4" s="8" t="str">
        <x:v>职业</x:v>
      </x:c>
      <x:c r="C4" s="8" t="str">
        <x:v>先古之民</x:v>
      </x:c>
      <x:c r="D4" s="8" t="str">
        <x:v>遗物</x:v>
      </x:c>
      <x:c r="E4" s="8" t="str">
        <x:v>出现胜率
近似值</x:v>
      </x:c>
      <x:c r="F4" s="8" t="str">
        <x:v>出现次数
网站口径</x:v>
      </x:c>
      <x:c r="G4" s="8" t="str">
        <x:v>选取率</x:v>
      </x:c>
      <x:c r="H4" s="8" t="str">
        <x:v>选择后胜率</x:v>
      </x:c>
      <x:c r="I4" s="8" t="str">
        <x:v>跳过后胜率</x:v>
      </x:c>
      <x:c r="J4" s="8" t="str">
        <x:v>选跳差
百分点</x:v>
      </x:c>
      <x:c r="K4" s="8" t="str">
        <x:v>网站原始差值
百分点</x:v>
      </x:c>
      <x:c r="L4" s="8" t="str">
        <x:v>选取次数
估算</x:v>
      </x:c>
      <x:c r="M4" s="8" t="str">
        <x:v>跳过次数
估算</x:v>
      </x:c>
      <x:c r="N4" s="8" t="str">
        <x:v>备注</x:v>
      </x:c>
      <x:c r="O4" s="8" t="str">
        <x:v>数据来源</x:v>
      </x:c>
      <x:c r="P4" s="8" t="str">
        <x:v>分组依据</x:v>
      </x:c>
    </x:row>
    <x:row r="5" ht="72" customHeight="1">
      <x:c r="A5" s="2" t="str">
        <x:v>v0.107</x:v>
      </x:c>
      <x:c r="B5" s="2" t="str">
        <x:v>铁甲战士</x:v>
      </x:c>
      <x:c r="C5" s="2" t="str">
        <x:v>未归入先古之民</x:v>
      </x:c>
      <x:c r="D5" s="2" t="str">
        <x:v>微型帐篷</x:v>
      </x:c>
      <x:c r="E5" s="18" t="n">
        <x:f>IF(G5=0,I5,IF(G5=1,H5,G5*H5+(1-G5)*I5))</x:f>
        <x:v>1</x:v>
      </x:c>
      <x:c r="F5" s="19" t="n">
        <x:v>1</x:v>
      </x:c>
      <x:c r="G5" s="11" t="n">
        <x:v>0</x:v>
      </x:c>
      <x:c r="H5" s="11"/>
      <x:c r="I5" s="11" t="n">
        <x:v>1</x:v>
      </x:c>
      <x:c r="J5" s="13" t="str">
        <x:f>IF(OR(G5=0,G5=1),"",(H5-I5)*100)</x:f>
      </x:c>
      <x:c r="K5" s="14" t="n">
        <x:v>-25.48</x:v>
      </x:c>
      <x:c r="L5" s="15" t="n">
        <x:f>F5*G5</x:f>
        <x:v>0</x:v>
      </x:c>
      <x:c r="M5" s="15" t="n">
        <x:f>F5-L5</x:f>
        <x:v>1</x:v>
      </x:c>
      <x:c r="N5" s="17" t="str">
        <x:v>出现次数&lt;100；一组占比显示为零，其胜率及选跳差留空；网站古代页记录；未确认先古归属（稀有度：Shop）</x:v>
      </x:c>
      <x:c r="O5" s="17" t="str">
        <x:v>https://sts2log.com/cards</x:v>
      </x:c>
      <x:c r="P5" s="17" t="str">
        <x:v>https://sts2log.com/data/game-entities.json</x:v>
      </x:c>
    </x:row>
    <x:row r="6" ht="42" customHeight="1">
      <x:c r="A6" s="2" t="str">
        <x:v>v0.107</x:v>
      </x:c>
      <x:c r="B6" s="2" t="str">
        <x:v>铁甲战士</x:v>
      </x:c>
      <x:c r="C6" s="2" t="str">
        <x:v>未归入先古之民</x:v>
      </x:c>
      <x:c r="D6" s="2" t="str">
        <x:v>头环</x:v>
      </x:c>
      <x:c r="E6" s="18" t="n">
        <x:f>IF(G6=0,I6,IF(G6=1,H6,G6*H6+(1-G6)*I6))</x:f>
        <x:v>0.55555</x:v>
      </x:c>
      <x:c r="F6" s="19" t="n">
        <x:v>18</x:v>
      </x:c>
      <x:c r="G6" s="11" t="n">
        <x:v>0.11109999999999999</x:v>
      </x:c>
      <x:c r="H6" s="11" t="n">
        <x:v>1</x:v>
      </x:c>
      <x:c r="I6" s="11" t="n">
        <x:v>0.5</x:v>
      </x:c>
      <x:c r="J6" s="13" t="n">
        <x:f>IF(OR(G6=0,G6=1),"",(H6-I6)*100)</x:f>
        <x:v>50</x:v>
      </x:c>
      <x:c r="K6" s="14" t="n">
        <x:v>74.52</x:v>
      </x:c>
      <x:c r="L6" s="15" t="n">
        <x:f>F6*G6</x:f>
        <x:v>1.9997999999999998</x:v>
      </x:c>
      <x:c r="M6" s="15" t="n">
        <x:f>F6-L6</x:f>
        <x:v>16.0002</x:v>
      </x:c>
      <x:c r="N6" s="17" t="str">
        <x:v>出现次数&lt;100；网站古代页记录；未确认先古归属（稀有度：None）</x:v>
      </x:c>
      <x:c r="O6" s="17" t="str">
        <x:v>https://sts2log.com/cards</x:v>
      </x:c>
      <x:c r="P6" s="17" t="str">
        <x:v>https://sts2log.com/data/game-entities.json</x:v>
      </x:c>
    </x:row>
    <x:row r="7" ht="42" customHeight="1">
      <x:c r="A7" s="2" t="str">
        <x:v>v0.107</x:v>
      </x:c>
      <x:c r="B7" s="2" t="str">
        <x:v>铁甲战士</x:v>
      </x:c>
      <x:c r="C7" s="2" t="str">
        <x:v>未归入先古之民</x:v>
      </x:c>
      <x:c r="D7" s="2" t="str">
        <x:v>化学物X</x:v>
      </x:c>
      <x:c r="E7" s="18" t="n">
        <x:f>IF(G7=0,I7,IF(G7=1,H7,G7*H7+(1-G7)*I7))</x:f>
        <x:v>0</x:v>
      </x:c>
      <x:c r="F7" s="19" t="n">
        <x:v>9</x:v>
      </x:c>
      <x:c r="G7" s="11" t="n">
        <x:v>0.3333</x:v>
      </x:c>
      <x:c r="H7" s="11" t="n">
        <x:v>0</x:v>
      </x:c>
      <x:c r="I7" s="11" t="n">
        <x:v>0</x:v>
      </x:c>
      <x:c r="J7" s="13" t="n">
        <x:f>IF(OR(G7=0,G7=1),"",(H7-I7)*100)</x:f>
        <x:v>0</x:v>
      </x:c>
      <x:c r="K7" s="14" t="n">
        <x:v>-25.48</x:v>
      </x:c>
      <x:c r="L7" s="15" t="n">
        <x:f>F7*G7</x:f>
        <x:v>2.9997</x:v>
      </x:c>
      <x:c r="M7" s="15" t="n">
        <x:f>F7-L7</x:f>
        <x:v>6.0003</x:v>
      </x:c>
      <x:c r="N7" s="17" t="str">
        <x:v>出现次数&lt;100；网站古代页记录；未确认先古归属（稀有度：Shop）</x:v>
      </x:c>
      <x:c r="O7" s="17" t="str">
        <x:v>https://sts2log.com/cards</x:v>
      </x:c>
      <x:c r="P7" s="17" t="str">
        <x:v>https://sts2log.com/data/game-entities.json</x:v>
      </x:c>
    </x:row>
    <x:row r="8" ht="42" customHeight="1">
      <x:c r="A8" s="2" t="str">
        <x:v>v0.107</x:v>
      </x:c>
      <x:c r="B8" s="2" t="str">
        <x:v>铁甲战士</x:v>
      </x:c>
      <x:c r="C8" s="2" t="str">
        <x:v>未归入先古之民</x:v>
      </x:c>
      <x:c r="D8" s="2" t="str">
        <x:v>纸蛙</x:v>
      </x:c>
      <x:c r="E8" s="18" t="n">
        <x:f>IF(G8=0,I8,IF(G8=1,H8,G8*H8+(1-G8)*I8))</x:f>
        <x:v>0</x:v>
      </x:c>
      <x:c r="F8" s="19" t="n">
        <x:v>6</x:v>
      </x:c>
      <x:c r="G8" s="11" t="n">
        <x:v>0.3333</x:v>
      </x:c>
      <x:c r="H8" s="11" t="n">
        <x:v>0</x:v>
      </x:c>
      <x:c r="I8" s="11" t="n">
        <x:v>0</x:v>
      </x:c>
      <x:c r="J8" s="13" t="n">
        <x:f>IF(OR(G8=0,G8=1),"",(H8-I8)*100)</x:f>
        <x:v>0</x:v>
      </x:c>
      <x:c r="K8" s="14" t="n">
        <x:v>-25.48</x:v>
      </x:c>
      <x:c r="L8" s="15" t="n">
        <x:f>F8*G8</x:f>
        <x:v>1.9998</x:v>
      </x:c>
      <x:c r="M8" s="15" t="n">
        <x:f>F8-L8</x:f>
        <x:v>4.0001999999999995</x:v>
      </x:c>
      <x:c r="N8" s="17" t="str">
        <x:v>出现次数&lt;100；网站古代页记录；未确认先古归属（稀有度：Uncommon）</x:v>
      </x:c>
      <x:c r="O8" s="17" t="str">
        <x:v>https://sts2log.com/cards</x:v>
      </x:c>
      <x:c r="P8" s="17" t="str">
        <x:v>https://sts2log.com/data/game-entities.json</x:v>
      </x:c>
    </x:row>
    <x:row r="9" ht="42" customHeight="1">
      <x:c r="A9" s="2" t="str">
        <x:v>v0.107</x:v>
      </x:c>
      <x:c r="B9" s="2" t="str">
        <x:v>铁甲战士</x:v>
      </x:c>
      <x:c r="C9" s="2" t="str">
        <x:v>未归入先古之民</x:v>
      </x:c>
      <x:c r="D9" s="2" t="str">
        <x:v>宾邦</x:v>
      </x:c>
      <x:c r="E9" s="18" t="n">
        <x:f>IF(G9=0,I9,IF(G9=1,H9,G9*H9+(1-G9)*I9))</x:f>
        <x:v>0</x:v>
      </x:c>
      <x:c r="F9" s="19" t="n">
        <x:v>3</x:v>
      </x:c>
      <x:c r="G9" s="11" t="n">
        <x:v>0.3333</x:v>
      </x:c>
      <x:c r="H9" s="11" t="n">
        <x:v>0</x:v>
      </x:c>
      <x:c r="I9" s="11" t="n">
        <x:v>0</x:v>
      </x:c>
      <x:c r="J9" s="13" t="n">
        <x:f>IF(OR(G9=0,G9=1),"",(H9-I9)*100)</x:f>
        <x:v>0</x:v>
      </x:c>
      <x:c r="K9" s="14" t="n">
        <x:v>-25.48</x:v>
      </x:c>
      <x:c r="L9" s="15" t="n">
        <x:f>F9*G9</x:f>
        <x:v>0.9999</x:v>
      </x:c>
      <x:c r="M9" s="15" t="n">
        <x:f>F9-L9</x:f>
        <x:v>2.0000999999999998</x:v>
      </x:c>
      <x:c r="N9" s="17" t="str">
        <x:v>出现次数&lt;100；网站古代页记录；未确认先古归属（稀有度：Event）</x:v>
      </x:c>
      <x:c r="O9" s="17" t="str">
        <x:v>https://sts2log.com/cards</x:v>
      </x:c>
      <x:c r="P9" s="17" t="str">
        <x:v>https://sts2log.com/data/game-entities.json</x:v>
      </x:c>
    </x:row>
    <x:row r="10" ht="42" customHeight="1">
      <x:c r="A10" s="2" t="str">
        <x:v>v0.107</x:v>
      </x:c>
      <x:c r="B10" s="2" t="str">
        <x:v>铁甲战士</x:v>
      </x:c>
      <x:c r="C10" s="2" t="str">
        <x:v>未归入先古之民</x:v>
      </x:c>
      <x:c r="D10" s="2" t="str">
        <x:v>铜质鳞片</x:v>
      </x:c>
      <x:c r="E10" s="18" t="n">
        <x:f>IF(G10=0,I10,IF(G10=1,H10,G10*H10+(1-G10)*I10))</x:f>
        <x:v>0</x:v>
      </x:c>
      <x:c r="F10" s="19" t="n">
        <x:v>3</x:v>
      </x:c>
      <x:c r="G10" s="11" t="n">
        <x:v>0.3333</x:v>
      </x:c>
      <x:c r="H10" s="11" t="n">
        <x:v>0</x:v>
      </x:c>
      <x:c r="I10" s="11" t="n">
        <x:v>0</x:v>
      </x:c>
      <x:c r="J10" s="13" t="n">
        <x:f>IF(OR(G10=0,G10=1),"",(H10-I10)*100)</x:f>
        <x:v>0</x:v>
      </x:c>
      <x:c r="K10" s="14" t="n">
        <x:v>-25.48</x:v>
      </x:c>
      <x:c r="L10" s="15" t="n">
        <x:f>F10*G10</x:f>
        <x:v>0.9999</x:v>
      </x:c>
      <x:c r="M10" s="15" t="n">
        <x:f>F10-L10</x:f>
        <x:v>2.0000999999999998</x:v>
      </x:c>
      <x:c r="N10" s="17" t="str">
        <x:v>出现次数&lt;100；网站古代页记录；未确认先古归属（稀有度：Common）</x:v>
      </x:c>
      <x:c r="O10" s="17" t="str">
        <x:v>https://sts2log.com/cards</x:v>
      </x:c>
      <x:c r="P10" s="17" t="str">
        <x:v>https://sts2log.com/data/game-entities.json</x:v>
      </x:c>
    </x:row>
    <x:row r="11" ht="42" customHeight="1">
      <x:c r="A11" s="2" t="str">
        <x:v>v0.107</x:v>
      </x:c>
      <x:c r="B11" s="2" t="str">
        <x:v>铁甲战士</x:v>
      </x:c>
      <x:c r="C11" s="2" t="str">
        <x:v>未归入先古之民</x:v>
      </x:c>
      <x:c r="D11" s="2" t="str">
        <x:v>燃烧之血</x:v>
      </x:c>
      <x:c r="E11" s="18" t="n">
        <x:f>IF(G11=0,I11,IF(G11=1,H11,G11*H11+(1-G11)*I11))</x:f>
        <x:v>0</x:v>
      </x:c>
      <x:c r="F11" s="19" t="n">
        <x:v>3</x:v>
      </x:c>
      <x:c r="G11" s="11" t="n">
        <x:v>0.3333</x:v>
      </x:c>
      <x:c r="H11" s="11" t="n">
        <x:v>0</x:v>
      </x:c>
      <x:c r="I11" s="11" t="n">
        <x:v>0</x:v>
      </x:c>
      <x:c r="J11" s="13" t="n">
        <x:f>IF(OR(G11=0,G11=1),"",(H11-I11)*100)</x:f>
        <x:v>0</x:v>
      </x:c>
      <x:c r="K11" s="14" t="n">
        <x:v>-25.48</x:v>
      </x:c>
      <x:c r="L11" s="15" t="n">
        <x:f>F11*G11</x:f>
        <x:v>0.9999</x:v>
      </x:c>
      <x:c r="M11" s="15" t="n">
        <x:f>F11-L11</x:f>
        <x:v>2.0000999999999998</x:v>
      </x:c>
      <x:c r="N11" s="17" t="str">
        <x:v>出现次数&lt;100；网站古代页记录；未确认先古归属（稀有度：Starter）</x:v>
      </x:c>
      <x:c r="O11" s="17" t="str">
        <x:v>https://sts2log.com/cards</x:v>
      </x:c>
      <x:c r="P11" s="17" t="str">
        <x:v>https://sts2log.com/data/game-entities.json</x:v>
      </x:c>
    </x:row>
    <x:row r="12" ht="42" customHeight="1">
      <x:c r="A12" s="2" t="str">
        <x:v>v0.107</x:v>
      </x:c>
      <x:c r="B12" s="2" t="str">
        <x:v>铁甲战士</x:v>
      </x:c>
      <x:c r="C12" s="2" t="str">
        <x:v>未归入先古之民</x:v>
      </x:c>
      <x:c r="D12" s="2" t="str">
        <x:v>卡戎之灰</x:v>
      </x:c>
      <x:c r="E12" s="18" t="n">
        <x:f>IF(G12=0,I12,IF(G12=1,H12,G12*H12+(1-G12)*I12))</x:f>
        <x:v>0</x:v>
      </x:c>
      <x:c r="F12" s="19" t="n">
        <x:v>3</x:v>
      </x:c>
      <x:c r="G12" s="11" t="n">
        <x:v>0.3333</x:v>
      </x:c>
      <x:c r="H12" s="11" t="n">
        <x:v>0</x:v>
      </x:c>
      <x:c r="I12" s="11" t="n">
        <x:v>0</x:v>
      </x:c>
      <x:c r="J12" s="13" t="n">
        <x:f>IF(OR(G12=0,G12=1),"",(H12-I12)*100)</x:f>
        <x:v>0</x:v>
      </x:c>
      <x:c r="K12" s="14" t="n">
        <x:v>-25.48</x:v>
      </x:c>
      <x:c r="L12" s="15" t="n">
        <x:f>F12*G12</x:f>
        <x:v>0.9999</x:v>
      </x:c>
      <x:c r="M12" s="15" t="n">
        <x:f>F12-L12</x:f>
        <x:v>2.0000999999999998</x:v>
      </x:c>
      <x:c r="N12" s="17" t="str">
        <x:v>出现次数&lt;100；网站古代页记录；未确认先古归属（稀有度：Rare）</x:v>
      </x:c>
      <x:c r="O12" s="17" t="str">
        <x:v>https://sts2log.com/cards</x:v>
      </x:c>
      <x:c r="P12" s="17" t="str">
        <x:v>https://sts2log.com/data/game-entities.json</x:v>
      </x:c>
    </x:row>
    <x:row r="13" ht="42" customHeight="1">
      <x:c r="A13" s="2" t="str">
        <x:v>v0.107</x:v>
      </x:c>
      <x:c r="B13" s="2" t="str">
        <x:v>铁甲战士</x:v>
      </x:c>
      <x:c r="C13" s="2" t="str">
        <x:v>未归入先古之民</x:v>
      </x:c>
      <x:c r="D13" s="2" t="str">
        <x:v>风的女儿</x:v>
      </x:c>
      <x:c r="E13" s="18" t="n">
        <x:f>IF(G13=0,I13,IF(G13=1,H13,G13*H13+(1-G13)*I13))</x:f>
        <x:v>0</x:v>
      </x:c>
      <x:c r="F13" s="19" t="n">
        <x:v>3</x:v>
      </x:c>
      <x:c r="G13" s="11" t="n">
        <x:v>0.3333</x:v>
      </x:c>
      <x:c r="H13" s="11" t="n">
        <x:v>0</x:v>
      </x:c>
      <x:c r="I13" s="11" t="n">
        <x:v>0</x:v>
      </x:c>
      <x:c r="J13" s="13" t="n">
        <x:f>IF(OR(G13=0,G13=1),"",(H13-I13)*100)</x:f>
        <x:v>0</x:v>
      </x:c>
      <x:c r="K13" s="14" t="n">
        <x:v>-25.48</x:v>
      </x:c>
      <x:c r="L13" s="15" t="n">
        <x:f>F13*G13</x:f>
        <x:v>0.9999</x:v>
      </x:c>
      <x:c r="M13" s="15" t="n">
        <x:f>F13-L13</x:f>
        <x:v>2.0000999999999998</x:v>
      </x:c>
      <x:c r="N13" s="17" t="str">
        <x:v>出现次数&lt;100；网站古代页记录；未确认先古归属（稀有度：Event）</x:v>
      </x:c>
      <x:c r="O13" s="17" t="str">
        <x:v>https://sts2log.com/cards</x:v>
      </x:c>
      <x:c r="P13" s="17" t="str">
        <x:v>https://sts2log.com/data/game-entities.json</x:v>
      </x:c>
    </x:row>
    <x:row r="14" ht="42" customHeight="1">
      <x:c r="A14" s="2" t="str">
        <x:v>v0.107</x:v>
      </x:c>
      <x:c r="B14" s="2" t="str">
        <x:v>铁甲战士</x:v>
      </x:c>
      <x:c r="C14" s="2" t="str">
        <x:v>未归入先古之民</x:v>
      </x:c>
      <x:c r="D14" s="2" t="str">
        <x:v>芒果</x:v>
      </x:c>
      <x:c r="E14" s="18" t="n">
        <x:f>IF(G14=0,I14,IF(G14=1,H14,G14*H14+(1-G14)*I14))</x:f>
        <x:v>0</x:v>
      </x:c>
      <x:c r="F14" s="19" t="n">
        <x:v>3</x:v>
      </x:c>
      <x:c r="G14" s="11" t="n">
        <x:v>0.3333</x:v>
      </x:c>
      <x:c r="H14" s="11" t="n">
        <x:v>0</x:v>
      </x:c>
      <x:c r="I14" s="11" t="n">
        <x:v>0</x:v>
      </x:c>
      <x:c r="J14" s="13" t="n">
        <x:f>IF(OR(G14=0,G14=1),"",(H14-I14)*100)</x:f>
        <x:v>0</x:v>
      </x:c>
      <x:c r="K14" s="14" t="n">
        <x:v>-25.48</x:v>
      </x:c>
      <x:c r="L14" s="15" t="n">
        <x:f>F14*G14</x:f>
        <x:v>0.9999</x:v>
      </x:c>
      <x:c r="M14" s="15" t="n">
        <x:f>F14-L14</x:f>
        <x:v>2.0000999999999998</x:v>
      </x:c>
      <x:c r="N14" s="17" t="str">
        <x:v>出现次数&lt;100；网站古代页记录；未确认先古归属（稀有度：Rare）</x:v>
      </x:c>
      <x:c r="O14" s="17" t="str">
        <x:v>https://sts2log.com/cards</x:v>
      </x:c>
      <x:c r="P14" s="17" t="str">
        <x:v>https://sts2log.com/data/game-entities.json</x:v>
      </x:c>
    </x:row>
    <x:row r="15" ht="42" customHeight="1">
      <x:c r="A15" s="2" t="str">
        <x:v>v0.107</x:v>
      </x:c>
      <x:c r="B15" s="2" t="str">
        <x:v>铁甲战士</x:v>
      </x:c>
      <x:c r="C15" s="2" t="str">
        <x:v>未归入先古之民</x:v>
      </x:c>
      <x:c r="D15" s="2" t="str">
        <x:v>微型大炮</x:v>
      </x:c>
      <x:c r="E15" s="18" t="n">
        <x:f>IF(G15=0,I15,IF(G15=1,H15,G15*H15+(1-G15)*I15))</x:f>
        <x:v>0</x:v>
      </x:c>
      <x:c r="F15" s="19" t="n">
        <x:v>3</x:v>
      </x:c>
      <x:c r="G15" s="11" t="n">
        <x:v>0.3333</x:v>
      </x:c>
      <x:c r="H15" s="11" t="n">
        <x:v>0</x:v>
      </x:c>
      <x:c r="I15" s="11" t="n">
        <x:v>0</x:v>
      </x:c>
      <x:c r="J15" s="13" t="n">
        <x:f>IF(OR(G15=0,G15=1),"",(H15-I15)*100)</x:f>
        <x:v>0</x:v>
      </x:c>
      <x:c r="K15" s="14" t="n">
        <x:v>-25.48</x:v>
      </x:c>
      <x:c r="L15" s="15" t="n">
        <x:f>F15*G15</x:f>
        <x:v>0.9999</x:v>
      </x:c>
      <x:c r="M15" s="15" t="n">
        <x:f>F15-L15</x:f>
        <x:v>2.0000999999999998</x:v>
      </x:c>
      <x:c r="N15" s="17" t="str">
        <x:v>出现次数&lt;100；网站古代页记录；未确认先古归属（稀有度：Uncommon）</x:v>
      </x:c>
      <x:c r="O15" s="17" t="str">
        <x:v>https://sts2log.com/cards</x:v>
      </x:c>
      <x:c r="P15" s="17" t="str">
        <x:v>https://sts2log.com/data/game-entities.json</x:v>
      </x:c>
    </x:row>
    <x:row r="16" ht="42" customHeight="1">
      <x:c r="A16" s="2" t="str">
        <x:v>v0.107</x:v>
      </x:c>
      <x:c r="B16" s="2" t="str">
        <x:v>铁甲战士</x:v>
      </x:c>
      <x:c r="C16" s="2" t="str">
        <x:v>未归入先古之民</x:v>
      </x:c>
      <x:c r="D16" s="2" t="str">
        <x:v>烦人机关盒</x:v>
      </x:c>
      <x:c r="E16" s="18" t="n">
        <x:f>IF(G16=0,I16,IF(G16=1,H16,G16*H16+(1-G16)*I16))</x:f>
        <x:v>0</x:v>
      </x:c>
      <x:c r="F16" s="19" t="n">
        <x:v>3</x:v>
      </x:c>
      <x:c r="G16" s="11" t="n">
        <x:v>0.3333</x:v>
      </x:c>
      <x:c r="H16" s="11" t="n">
        <x:v>0</x:v>
      </x:c>
      <x:c r="I16" s="11" t="n">
        <x:v>0</x:v>
      </x:c>
      <x:c r="J16" s="13" t="n">
        <x:f>IF(OR(G16=0,G16=1),"",(H16-I16)*100)</x:f>
        <x:v>0</x:v>
      </x:c>
      <x:c r="K16" s="14" t="n">
        <x:v>-25.48</x:v>
      </x:c>
      <x:c r="L16" s="15" t="n">
        <x:f>F16*G16</x:f>
        <x:v>0.9999</x:v>
      </x:c>
      <x:c r="M16" s="15" t="n">
        <x:f>F16-L16</x:f>
        <x:v>2.0000999999999998</x:v>
      </x:c>
      <x:c r="N16" s="17" t="str">
        <x:v>出现次数&lt;100；网站古代页记录；未确认先古归属（稀有度：Rare）</x:v>
      </x:c>
      <x:c r="O16" s="17" t="str">
        <x:v>https://sts2log.com/cards</x:v>
      </x:c>
      <x:c r="P16" s="17" t="str">
        <x:v>https://sts2log.com/data/game-entities.json</x:v>
      </x:c>
    </x:row>
    <x:row r="17" ht="42" customHeight="1">
      <x:c r="A17" s="2" t="str">
        <x:v>v0.107</x:v>
      </x:c>
      <x:c r="B17" s="2" t="str">
        <x:v>铁甲战士</x:v>
      </x:c>
      <x:c r="C17" s="2" t="str">
        <x:v>未归入先古之民</x:v>
      </x:c>
      <x:c r="D17" s="2" t="str">
        <x:v>幽灵种子</x:v>
      </x:c>
      <x:c r="E17" s="18" t="n">
        <x:f>IF(G17=0,I17,IF(G17=1,H17,G17*H17+(1-G17)*I17))</x:f>
        <x:v>0</x:v>
      </x:c>
      <x:c r="F17" s="19" t="n">
        <x:v>7</x:v>
      </x:c>
      <x:c r="G17" s="11" t="n">
        <x:v>0.2857</x:v>
      </x:c>
      <x:c r="H17" s="11" t="n">
        <x:v>0</x:v>
      </x:c>
      <x:c r="I17" s="11" t="n">
        <x:v>0</x:v>
      </x:c>
      <x:c r="J17" s="13" t="n">
        <x:f>IF(OR(G17=0,G17=1),"",(H17-I17)*100)</x:f>
        <x:v>0</x:v>
      </x:c>
      <x:c r="K17" s="14" t="n">
        <x:v>-25.48</x:v>
      </x:c>
      <x:c r="L17" s="15" t="n">
        <x:f>F17*G17</x:f>
        <x:v>1.9999</x:v>
      </x:c>
      <x:c r="M17" s="15" t="n">
        <x:f>F17-L17</x:f>
        <x:v>5.0001</x:v>
      </x:c>
      <x:c r="N17" s="17" t="str">
        <x:v>出现次数&lt;100；网站古代页记录；未确认先古归属（稀有度：Shop）</x:v>
      </x:c>
      <x:c r="O17" s="17" t="str">
        <x:v>https://sts2log.com/cards</x:v>
      </x:c>
      <x:c r="P17" s="17" t="str">
        <x:v>https://sts2log.com/data/game-entities.json</x:v>
      </x:c>
    </x:row>
    <x:row r="18" ht="72" customHeight="1">
      <x:c r="A18" s="2" t="str">
        <x:v>v0.107</x:v>
      </x:c>
      <x:c r="B18" s="2" t="str">
        <x:v>铁甲战士</x:v>
      </x:c>
      <x:c r="C18" s="2" t="str">
        <x:v>未归入先古之民</x:v>
      </x:c>
      <x:c r="D18" s="2" t="str">
        <x:v>历史课</x:v>
      </x:c>
      <x:c r="E18" s="18" t="n">
        <x:f>IF(G18=0,I18,IF(G18=1,H18,G18*H18+(1-G18)*I18))</x:f>
        <x:v>0</x:v>
      </x:c>
      <x:c r="F18" s="19" t="n">
        <x:v>1</x:v>
      </x:c>
      <x:c r="G18" s="11" t="n">
        <x:v>0</x:v>
      </x:c>
      <x:c r="H18" s="11"/>
      <x:c r="I18" s="11" t="n">
        <x:v>0</x:v>
      </x:c>
      <x:c r="J18" s="13" t="str">
        <x:f>IF(OR(G18=0,G18=1),"",(H18-I18)*100)</x:f>
      </x:c>
      <x:c r="K18" s="14" t="n">
        <x:v>-25.48</x:v>
      </x:c>
      <x:c r="L18" s="15" t="n">
        <x:f>F18*G18</x:f>
        <x:v>0</x:v>
      </x:c>
      <x:c r="M18" s="15" t="n">
        <x:f>F18-L18</x:f>
        <x:v>1</x:v>
      </x:c>
      <x:c r="N18" s="17" t="str">
        <x:v>出现次数&lt;100；一组占比显示为零，其胜率及选跳差留空；网站古代页记录；未确认先古归属（稀有度：Event）</x:v>
      </x:c>
      <x:c r="O18" s="17" t="str">
        <x:v>https://sts2log.com/cards</x:v>
      </x:c>
      <x:c r="P18" s="17" t="str">
        <x:v>https://sts2log.com/data/game-entities.json</x:v>
      </x:c>
    </x:row>
    <x:row r="19" ht="42" customHeight="1">
      <x:c r="A19" s="2" t="str">
        <x:v>v0.107</x:v>
      </x:c>
      <x:c r="B19" s="2" t="str">
        <x:v>静默猎手</x:v>
      </x:c>
      <x:c r="C19" s="2" t="str">
        <x:v>未归入先古之民</x:v>
      </x:c>
      <x:c r="D19" s="2" t="str">
        <x:v>蛇之戒指</x:v>
      </x:c>
      <x:c r="E19" s="18" t="n">
        <x:f>IF(G19=0,I19,IF(G19=1,H19,G19*H19+(1-G19)*I19))</x:f>
        <x:v>1</x:v>
      </x:c>
      <x:c r="F19" s="19" t="n">
        <x:v>3</x:v>
      </x:c>
      <x:c r="G19" s="11" t="n">
        <x:v>0.3333</x:v>
      </x:c>
      <x:c r="H19" s="11" t="n">
        <x:v>1</x:v>
      </x:c>
      <x:c r="I19" s="11" t="n">
        <x:v>1</x:v>
      </x:c>
      <x:c r="J19" s="13" t="n">
        <x:f>IF(OR(G19=0,G19=1),"",(H19-I19)*100)</x:f>
        <x:v>0</x:v>
      </x:c>
      <x:c r="K19" s="14" t="n">
        <x:v>75.78</x:v>
      </x:c>
      <x:c r="L19" s="15" t="n">
        <x:f>F19*G19</x:f>
        <x:v>0.9999</x:v>
      </x:c>
      <x:c r="M19" s="15" t="n">
        <x:f>F19-L19</x:f>
        <x:v>2.0000999999999998</x:v>
      </x:c>
      <x:c r="N19" s="17" t="str">
        <x:v>出现次数&lt;100；网站古代页记录；未确认先古归属（稀有度：Starter）</x:v>
      </x:c>
      <x:c r="O19" s="17" t="str">
        <x:v>https://sts2log.com/cards</x:v>
      </x:c>
      <x:c r="P19" s="17" t="str">
        <x:v>https://sts2log.com/data/game-entities.json</x:v>
      </x:c>
    </x:row>
    <x:row r="20" ht="42" customHeight="1">
      <x:c r="A20" s="2" t="str">
        <x:v>v0.107</x:v>
      </x:c>
      <x:c r="B20" s="2" t="str">
        <x:v>静默猎手</x:v>
      </x:c>
      <x:c r="C20" s="2" t="str">
        <x:v>未归入先古之民</x:v>
      </x:c>
      <x:c r="D20" s="2" t="str">
        <x:v>铜钹</x:v>
      </x:c>
      <x:c r="E20" s="18" t="n">
        <x:f>IF(G20=0,I20,IF(G20=1,H20,G20*H20+(1-G20)*I20))</x:f>
        <x:v>1</x:v>
      </x:c>
      <x:c r="F20" s="19" t="n">
        <x:v>3</x:v>
      </x:c>
      <x:c r="G20" s="11" t="n">
        <x:v>0.3333</x:v>
      </x:c>
      <x:c r="H20" s="11" t="n">
        <x:v>1</x:v>
      </x:c>
      <x:c r="I20" s="11" t="n">
        <x:v>1</x:v>
      </x:c>
      <x:c r="J20" s="13" t="n">
        <x:f>IF(OR(G20=0,G20=1),"",(H20-I20)*100)</x:f>
        <x:v>0</x:v>
      </x:c>
      <x:c r="K20" s="14" t="n">
        <x:v>75.78</x:v>
      </x:c>
      <x:c r="L20" s="15" t="n">
        <x:f>F20*G20</x:f>
        <x:v>0.9999</x:v>
      </x:c>
      <x:c r="M20" s="15" t="n">
        <x:f>F20-L20</x:f>
        <x:v>2.0000999999999998</x:v>
      </x:c>
      <x:c r="N20" s="17" t="str">
        <x:v>出现次数&lt;100；网站古代页记录；未确认先古归属（稀有度：Uncommon）</x:v>
      </x:c>
      <x:c r="O20" s="17" t="str">
        <x:v>https://sts2log.com/cards</x:v>
      </x:c>
      <x:c r="P20" s="17" t="str">
        <x:v>https://sts2log.com/data/game-entities.json</x:v>
      </x:c>
    </x:row>
    <x:row r="21" ht="42" customHeight="1">
      <x:c r="A21" s="2" t="str">
        <x:v>v0.107</x:v>
      </x:c>
      <x:c r="B21" s="2" t="str">
        <x:v>静默猎手</x:v>
      </x:c>
      <x:c r="C21" s="2" t="str">
        <x:v>未归入先古之民</x:v>
      </x:c>
      <x:c r="D21" s="2" t="str">
        <x:v>结实绷带</x:v>
      </x:c>
      <x:c r="E21" s="18" t="n">
        <x:f>IF(G21=0,I21,IF(G21=1,H21,G21*H21+(1-G21)*I21))</x:f>
        <x:v>0.5</x:v>
      </x:c>
      <x:c r="F21" s="19" t="n">
        <x:v>6</x:v>
      </x:c>
      <x:c r="G21" s="11" t="n">
        <x:v>0.3333</x:v>
      </x:c>
      <x:c r="H21" s="11" t="n">
        <x:v>0.5</x:v>
      </x:c>
      <x:c r="I21" s="11" t="n">
        <x:v>0.5</x:v>
      </x:c>
      <x:c r="J21" s="13" t="n">
        <x:f>IF(OR(G21=0,G21=1),"",(H21-I21)*100)</x:f>
        <x:v>0</x:v>
      </x:c>
      <x:c r="K21" s="14" t="n">
        <x:v>25.78</x:v>
      </x:c>
      <x:c r="L21" s="15" t="n">
        <x:f>F21*G21</x:f>
        <x:v>1.9998</x:v>
      </x:c>
      <x:c r="M21" s="15" t="n">
        <x:f>F21-L21</x:f>
        <x:v>4.0001999999999995</x:v>
      </x:c>
      <x:c r="N21" s="17" t="str">
        <x:v>出现次数&lt;100；网站古代页记录；未确认先古归属（稀有度：Rare）</x:v>
      </x:c>
      <x:c r="O21" s="17" t="str">
        <x:v>https://sts2log.com/cards</x:v>
      </x:c>
      <x:c r="P21" s="17" t="str">
        <x:v>https://sts2log.com/data/game-entities.json</x:v>
      </x:c>
    </x:row>
    <x:row r="22" ht="42" customHeight="1">
      <x:c r="A22" s="2" t="str">
        <x:v>v0.107</x:v>
      </x:c>
      <x:c r="B22" s="2" t="str">
        <x:v>静默猎手</x:v>
      </x:c>
      <x:c r="C22" s="2" t="str">
        <x:v>未归入先古之民</x:v>
      </x:c>
      <x:c r="D22" s="2" t="str">
        <x:v>头环</x:v>
      </x:c>
      <x:c r="E22" s="18" t="n">
        <x:f>IF(G22=0,I22,IF(G22=1,H22,G22*H22+(1-G22)*I22))</x:f>
        <x:v>0.09521508</x:v>
      </x:c>
      <x:c r="F22" s="19" t="n">
        <x:v>21</x:v>
      </x:c>
      <x:c r="G22" s="11" t="n">
        <x:v>0.5714</x:v>
      </x:c>
      <x:c r="H22" s="11" t="n">
        <x:v>0.0833</x:v>
      </x:c>
      <x:c r="I22" s="11" t="n">
        <x:v>0.11109999999999999</x:v>
      </x:c>
      <x:c r="J22" s="13" t="n">
        <x:f>IF(OR(G22=0,G22=1),"",(H22-I22)*100)</x:f>
        <x:v>-2.7799999999999994</x:v>
      </x:c>
      <x:c r="K22" s="14" t="n">
        <x:v>-15.89</x:v>
      </x:c>
      <x:c r="L22" s="15" t="n">
        <x:f>F22*G22</x:f>
        <x:v>11.9994</x:v>
      </x:c>
      <x:c r="M22" s="15" t="n">
        <x:f>F22-L22</x:f>
        <x:v>9.0006</x:v>
      </x:c>
      <x:c r="N22" s="17" t="str">
        <x:v>出现次数&lt;100；网站古代页记录；未确认先古归属（稀有度：None）</x:v>
      </x:c>
      <x:c r="O22" s="17" t="str">
        <x:v>https://sts2log.com/cards</x:v>
      </x:c>
      <x:c r="P22" s="17" t="str">
        <x:v>https://sts2log.com/data/game-entities.json</x:v>
      </x:c>
    </x:row>
    <x:row r="23" ht="42" customHeight="1">
      <x:c r="A23" s="2" t="str">
        <x:v>v0.107</x:v>
      </x:c>
      <x:c r="B23" s="2" t="str">
        <x:v>静默猎手</x:v>
      </x:c>
      <x:c r="C23" s="2" t="str">
        <x:v>未归入先古之民</x:v>
      </x:c>
      <x:c r="D23" s="2" t="str">
        <x:v>异蛇头骨</x:v>
      </x:c>
      <x:c r="E23" s="18" t="n">
        <x:f>IF(G23=0,I23,IF(G23=1,H23,G23*H23+(1-G23)*I23))</x:f>
        <x:v>0</x:v>
      </x:c>
      <x:c r="F23" s="19" t="n">
        <x:v>9</x:v>
      </x:c>
      <x:c r="G23" s="11" t="n">
        <x:v>0.3333</x:v>
      </x:c>
      <x:c r="H23" s="11" t="n">
        <x:v>0</x:v>
      </x:c>
      <x:c r="I23" s="11" t="n">
        <x:v>0</x:v>
      </x:c>
      <x:c r="J23" s="13" t="n">
        <x:f>IF(OR(G23=0,G23=1),"",(H23-I23)*100)</x:f>
        <x:v>0</x:v>
      </x:c>
      <x:c r="K23" s="14" t="n">
        <x:v>-24.22</x:v>
      </x:c>
      <x:c r="L23" s="15" t="n">
        <x:f>F23*G23</x:f>
        <x:v>2.9997</x:v>
      </x:c>
      <x:c r="M23" s="15" t="n">
        <x:f>F23-L23</x:f>
        <x:v>6.0003</x:v>
      </x:c>
      <x:c r="N23" s="17" t="str">
        <x:v>出现次数&lt;100；网站古代页记录；未确认先古归属（稀有度：Common）</x:v>
      </x:c>
      <x:c r="O23" s="17" t="str">
        <x:v>https://sts2log.com/cards</x:v>
      </x:c>
      <x:c r="P23" s="17" t="str">
        <x:v>https://sts2log.com/data/game-entities.json</x:v>
      </x:c>
    </x:row>
    <x:row r="24" ht="42" customHeight="1">
      <x:c r="A24" s="2" t="str">
        <x:v>v0.107</x:v>
      </x:c>
      <x:c r="B24" s="2" t="str">
        <x:v>静默猎手</x:v>
      </x:c>
      <x:c r="C24" s="2" t="str">
        <x:v>未归入先古之民</x:v>
      </x:c>
      <x:c r="D24" s="2" t="str">
        <x:v>多利之镜</x:v>
      </x:c>
      <x:c r="E24" s="18" t="n">
        <x:f>IF(G24=0,I24,IF(G24=1,H24,G24*H24+(1-G24)*I24))</x:f>
        <x:v>0</x:v>
      </x:c>
      <x:c r="F24" s="19" t="n">
        <x:v>6</x:v>
      </x:c>
      <x:c r="G24" s="11" t="n">
        <x:v>0.3333</x:v>
      </x:c>
      <x:c r="H24" s="11" t="n">
        <x:v>0</x:v>
      </x:c>
      <x:c r="I24" s="11" t="n">
        <x:v>0</x:v>
      </x:c>
      <x:c r="J24" s="13" t="n">
        <x:f>IF(OR(G24=0,G24=1),"",(H24-I24)*100)</x:f>
        <x:v>0</x:v>
      </x:c>
      <x:c r="K24" s="14" t="n">
        <x:v>-24.22</x:v>
      </x:c>
      <x:c r="L24" s="15" t="n">
        <x:f>F24*G24</x:f>
        <x:v>1.9998</x:v>
      </x:c>
      <x:c r="M24" s="15" t="n">
        <x:f>F24-L24</x:f>
        <x:v>4.0001999999999995</x:v>
      </x:c>
      <x:c r="N24" s="17" t="str">
        <x:v>出现次数&lt;100；网站古代页记录；未确认先古归属（稀有度：Shop）</x:v>
      </x:c>
      <x:c r="O24" s="17" t="str">
        <x:v>https://sts2log.com/cards</x:v>
      </x:c>
      <x:c r="P24" s="17" t="str">
        <x:v>https://sts2log.com/data/game-entities.json</x:v>
      </x:c>
    </x:row>
    <x:row r="25" ht="42" customHeight="1">
      <x:c r="A25" s="2" t="str">
        <x:v>v0.107</x:v>
      </x:c>
      <x:c r="B25" s="2" t="str">
        <x:v>静默猎手</x:v>
      </x:c>
      <x:c r="C25" s="2" t="str">
        <x:v>未归入先古之民</x:v>
      </x:c>
      <x:c r="D25" s="2" t="str">
        <x:v>手里剑</x:v>
      </x:c>
      <x:c r="E25" s="18" t="n">
        <x:f>IF(G25=0,I25,IF(G25=1,H25,G25*H25+(1-G25)*I25))</x:f>
        <x:v>0</x:v>
      </x:c>
      <x:c r="F25" s="19" t="n">
        <x:v>6</x:v>
      </x:c>
      <x:c r="G25" s="11" t="n">
        <x:v>0.3333</x:v>
      </x:c>
      <x:c r="H25" s="11" t="n">
        <x:v>0</x:v>
      </x:c>
      <x:c r="I25" s="11" t="n">
        <x:v>0</x:v>
      </x:c>
      <x:c r="J25" s="13" t="n">
        <x:f>IF(OR(G25=0,G25=1),"",(H25-I25)*100)</x:f>
        <x:v>0</x:v>
      </x:c>
      <x:c r="K25" s="14" t="n">
        <x:v>-24.22</x:v>
      </x:c>
      <x:c r="L25" s="15" t="n">
        <x:f>F25*G25</x:f>
        <x:v>1.9998</x:v>
      </x:c>
      <x:c r="M25" s="15" t="n">
        <x:f>F25-L25</x:f>
        <x:v>4.0001999999999995</x:v>
      </x:c>
      <x:c r="N25" s="17" t="str">
        <x:v>出现次数&lt;100；网站古代页记录；未确认先古归属（稀有度：Rare）</x:v>
      </x:c>
      <x:c r="O25" s="17" t="str">
        <x:v>https://sts2log.com/cards</x:v>
      </x:c>
      <x:c r="P25" s="17" t="str">
        <x:v>https://sts2log.com/data/game-entities.json</x:v>
      </x:c>
    </x:row>
    <x:row r="26" ht="42" customHeight="1">
      <x:c r="A26" s="2" t="str">
        <x:v>v0.107</x:v>
      </x:c>
      <x:c r="B26" s="2" t="str">
        <x:v>静默猎手</x:v>
      </x:c>
      <x:c r="C26" s="2" t="str">
        <x:v>未归入先古之民</x:v>
      </x:c>
      <x:c r="D26" s="2" t="str">
        <x:v>化学物X</x:v>
      </x:c>
      <x:c r="E26" s="18" t="n">
        <x:f>IF(G26=0,I26,IF(G26=1,H26,G26*H26+(1-G26)*I26))</x:f>
        <x:v>0</x:v>
      </x:c>
      <x:c r="F26" s="19" t="n">
        <x:v>3</x:v>
      </x:c>
      <x:c r="G26" s="11" t="n">
        <x:v>0.3333</x:v>
      </x:c>
      <x:c r="H26" s="11" t="n">
        <x:v>0</x:v>
      </x:c>
      <x:c r="I26" s="11" t="n">
        <x:v>0</x:v>
      </x:c>
      <x:c r="J26" s="13" t="n">
        <x:f>IF(OR(G26=0,G26=1),"",(H26-I26)*100)</x:f>
        <x:v>0</x:v>
      </x:c>
      <x:c r="K26" s="14" t="n">
        <x:v>-24.22</x:v>
      </x:c>
      <x:c r="L26" s="15" t="n">
        <x:f>F26*G26</x:f>
        <x:v>0.9999</x:v>
      </x:c>
      <x:c r="M26" s="15" t="n">
        <x:f>F26-L26</x:f>
        <x:v>2.0000999999999998</x:v>
      </x:c>
      <x:c r="N26" s="17" t="str">
        <x:v>出现次数&lt;100；网站古代页记录；未确认先古归属（稀有度：Shop）</x:v>
      </x:c>
      <x:c r="O26" s="17" t="str">
        <x:v>https://sts2log.com/cards</x:v>
      </x:c>
      <x:c r="P26" s="17" t="str">
        <x:v>https://sts2log.com/data/game-entities.json</x:v>
      </x:c>
    </x:row>
    <x:row r="27" ht="42" customHeight="1">
      <x:c r="A27" s="2" t="str">
        <x:v>v0.107</x:v>
      </x:c>
      <x:c r="B27" s="2" t="str">
        <x:v>故障机器人</x:v>
      </x:c>
      <x:c r="C27" s="2" t="str">
        <x:v>未归入先古之民</x:v>
      </x:c>
      <x:c r="D27" s="2" t="str">
        <x:v>头环</x:v>
      </x:c>
      <x:c r="E27" s="18" t="n">
        <x:f>IF(G27=0,I27,IF(G27=1,H27,G27*H27+(1-G27)*I27))</x:f>
        <x:v>1</x:v>
      </x:c>
      <x:c r="F27" s="19" t="n">
        <x:v>2</x:v>
      </x:c>
      <x:c r="G27" s="11" t="n">
        <x:v>0.5</x:v>
      </x:c>
      <x:c r="H27" s="11" t="n">
        <x:v>1</x:v>
      </x:c>
      <x:c r="I27" s="11" t="n">
        <x:v>1</x:v>
      </x:c>
      <x:c r="J27" s="13" t="n">
        <x:f>IF(OR(G27=0,G27=1),"",(H27-I27)*100)</x:f>
        <x:v>0</x:v>
      </x:c>
      <x:c r="K27" s="14" t="n">
        <x:v>82.55</x:v>
      </x:c>
      <x:c r="L27" s="15" t="n">
        <x:f>F27*G27</x:f>
        <x:v>1</x:v>
      </x:c>
      <x:c r="M27" s="15" t="n">
        <x:f>F27-L27</x:f>
        <x:v>1</x:v>
      </x:c>
      <x:c r="N27" s="17" t="str">
        <x:v>出现次数&lt;100；网站古代页记录；未确认先古归属（稀有度：None）</x:v>
      </x:c>
      <x:c r="O27" s="17" t="str">
        <x:v>https://sts2log.com/cards</x:v>
      </x:c>
      <x:c r="P27" s="17" t="str">
        <x:v>https://sts2log.com/data/game-entities.json</x:v>
      </x:c>
    </x:row>
    <x:row r="28" ht="72" customHeight="1">
      <x:c r="A28" s="2" t="str">
        <x:v>v0.107</x:v>
      </x:c>
      <x:c r="B28" s="2" t="str">
        <x:v>故障机器人</x:v>
      </x:c>
      <x:c r="C28" s="2" t="str">
        <x:v>未归入先古之民</x:v>
      </x:c>
      <x:c r="D28" s="2" t="str">
        <x:v>奥利哈钢</x:v>
      </x:c>
      <x:c r="E28" s="18" t="n">
        <x:f>IF(G28=0,I28,IF(G28=1,H28,G28*H28+(1-G28)*I28))</x:f>
        <x:v>0</x:v>
      </x:c>
      <x:c r="F28" s="19" t="n">
        <x:v>1</x:v>
      </x:c>
      <x:c r="G28" s="11" t="n">
        <x:v>1</x:v>
      </x:c>
      <x:c r="H28" s="11" t="n">
        <x:v>0</x:v>
      </x:c>
      <x:c r="I28" s="11"/>
      <x:c r="J28" s="13" t="str">
        <x:f>IF(OR(G28=0,G28=1),"",(H28-I28)*100)</x:f>
      </x:c>
      <x:c r="K28" s="14" t="n">
        <x:v>-17.45</x:v>
      </x:c>
      <x:c r="L28" s="15" t="n">
        <x:f>F28*G28</x:f>
        <x:v>1</x:v>
      </x:c>
      <x:c r="M28" s="15" t="n">
        <x:f>F28-L28</x:f>
        <x:v>0</x:v>
      </x:c>
      <x:c r="N28" s="17" t="str">
        <x:v>出现次数&lt;100；一组占比显示为零，其胜率及选跳差留空；网站古代页记录；未确认先古归属（稀有度：Uncommon）</x:v>
      </x:c>
      <x:c r="O28" s="17" t="str">
        <x:v>https://sts2log.com/cards</x:v>
      </x:c>
      <x:c r="P28" s="17" t="str">
        <x:v>https://sts2log.com/data/game-entities.json</x:v>
      </x:c>
    </x:row>
    <x:row r="29" ht="42" customHeight="1">
      <x:c r="A29" s="2" t="str">
        <x:v>v0.107</x:v>
      </x:c>
      <x:c r="B29" s="2" t="str">
        <x:v>故障机器人</x:v>
      </x:c>
      <x:c r="C29" s="2" t="str">
        <x:v>未归入先古之民</x:v>
      </x:c>
      <x:c r="D29" s="2" t="str">
        <x:v>历史课</x:v>
      </x:c>
      <x:c r="E29" s="18" t="n">
        <x:f>IF(G29=0,I29,IF(G29=1,H29,G29*H29+(1-G29)*I29))</x:f>
        <x:v>0</x:v>
      </x:c>
      <x:c r="F29" s="19" t="n">
        <x:v>2</x:v>
      </x:c>
      <x:c r="G29" s="11" t="n">
        <x:v>0.5</x:v>
      </x:c>
      <x:c r="H29" s="11" t="n">
        <x:v>0</x:v>
      </x:c>
      <x:c r="I29" s="11" t="n">
        <x:v>0</x:v>
      </x:c>
      <x:c r="J29" s="13" t="n">
        <x:f>IF(OR(G29=0,G29=1),"",(H29-I29)*100)</x:f>
        <x:v>0</x:v>
      </x:c>
      <x:c r="K29" s="14" t="n">
        <x:v>-17.45</x:v>
      </x:c>
      <x:c r="L29" s="15" t="n">
        <x:f>F29*G29</x:f>
        <x:v>1</x:v>
      </x:c>
      <x:c r="M29" s="15" t="n">
        <x:f>F29-L29</x:f>
        <x:v>1</x:v>
      </x:c>
      <x:c r="N29" s="17" t="str">
        <x:v>出现次数&lt;100；网站古代页记录；未确认先古归属（稀有度：Event）</x:v>
      </x:c>
      <x:c r="O29" s="17" t="str">
        <x:v>https://sts2log.com/cards</x:v>
      </x:c>
      <x:c r="P29" s="17" t="str">
        <x:v>https://sts2log.com/data/game-entities.json</x:v>
      </x:c>
    </x:row>
    <x:row r="30" ht="42" customHeight="1">
      <x:c r="A30" s="2" t="str">
        <x:v>v0.107</x:v>
      </x:c>
      <x:c r="B30" s="2" t="str">
        <x:v>故障机器人</x:v>
      </x:c>
      <x:c r="C30" s="2" t="str">
        <x:v>未归入先古之民</x:v>
      </x:c>
      <x:c r="D30" s="2" t="str">
        <x:v>数据磁盘</x:v>
      </x:c>
      <x:c r="E30" s="18" t="n">
        <x:f>IF(G30=0,I30,IF(G30=1,H30,G30*H30+(1-G30)*I30))</x:f>
        <x:v>0</x:v>
      </x:c>
      <x:c r="F30" s="19" t="n">
        <x:v>9</x:v>
      </x:c>
      <x:c r="G30" s="11" t="n">
        <x:v>0.3333</x:v>
      </x:c>
      <x:c r="H30" s="11" t="n">
        <x:v>0</x:v>
      </x:c>
      <x:c r="I30" s="11" t="n">
        <x:v>0</x:v>
      </x:c>
      <x:c r="J30" s="13" t="n">
        <x:f>IF(OR(G30=0,G30=1),"",(H30-I30)*100)</x:f>
        <x:v>0</x:v>
      </x:c>
      <x:c r="K30" s="14" t="n">
        <x:v>-17.45</x:v>
      </x:c>
      <x:c r="L30" s="15" t="n">
        <x:f>F30*G30</x:f>
        <x:v>2.9997</x:v>
      </x:c>
      <x:c r="M30" s="15" t="n">
        <x:f>F30-L30</x:f>
        <x:v>6.0003</x:v>
      </x:c>
      <x:c r="N30" s="17" t="str">
        <x:v>出现次数&lt;100；网站古代页记录；未确认先古归属（稀有度：Common）</x:v>
      </x:c>
      <x:c r="O30" s="17" t="str">
        <x:v>https://sts2log.com/cards</x:v>
      </x:c>
      <x:c r="P30" s="17" t="str">
        <x:v>https://sts2log.com/data/game-entities.json</x:v>
      </x:c>
    </x:row>
    <x:row r="31" ht="42" customHeight="1">
      <x:c r="A31" s="2" t="str">
        <x:v>v0.107</x:v>
      </x:c>
      <x:c r="B31" s="2" t="str">
        <x:v>故障机器人</x:v>
      </x:c>
      <x:c r="C31" s="2" t="str">
        <x:v>未归入先古之民</x:v>
      </x:c>
      <x:c r="D31" s="2" t="str">
        <x:v>化学物X</x:v>
      </x:c>
      <x:c r="E31" s="18" t="n">
        <x:f>IF(G31=0,I31,IF(G31=1,H31,G31*H31+(1-G31)*I31))</x:f>
        <x:v>0</x:v>
      </x:c>
      <x:c r="F31" s="19" t="n">
        <x:v>3</x:v>
      </x:c>
      <x:c r="G31" s="11" t="n">
        <x:v>0.3333</x:v>
      </x:c>
      <x:c r="H31" s="11" t="n">
        <x:v>0</x:v>
      </x:c>
      <x:c r="I31" s="11" t="n">
        <x:v>0</x:v>
      </x:c>
      <x:c r="J31" s="13" t="n">
        <x:f>IF(OR(G31=0,G31=1),"",(H31-I31)*100)</x:f>
        <x:v>0</x:v>
      </x:c>
      <x:c r="K31" s="14" t="n">
        <x:v>-17.45</x:v>
      </x:c>
      <x:c r="L31" s="15" t="n">
        <x:f>F31*G31</x:f>
        <x:v>0.9999</x:v>
      </x:c>
      <x:c r="M31" s="15" t="n">
        <x:f>F31-L31</x:f>
        <x:v>2.0000999999999998</x:v>
      </x:c>
      <x:c r="N31" s="17" t="str">
        <x:v>出现次数&lt;100；网站古代页记录；未确认先古归属（稀有度：Shop）</x:v>
      </x:c>
      <x:c r="O31" s="17" t="str">
        <x:v>https://sts2log.com/cards</x:v>
      </x:c>
      <x:c r="P31" s="17" t="str">
        <x:v>https://sts2log.com/data/game-entities.json</x:v>
      </x:c>
    </x:row>
    <x:row r="32" ht="42" customHeight="1">
      <x:c r="A32" s="2" t="str">
        <x:v>v0.107</x:v>
      </x:c>
      <x:c r="B32" s="2" t="str">
        <x:v>故障机器人</x:v>
      </x:c>
      <x:c r="C32" s="2" t="str">
        <x:v>未归入先古之民</x:v>
      </x:c>
      <x:c r="D32" s="2" t="str">
        <x:v>干瘪之手</x:v>
      </x:c>
      <x:c r="E32" s="18" t="n">
        <x:f>IF(G32=0,I32,IF(G32=1,H32,G32*H32+(1-G32)*I32))</x:f>
        <x:v>0</x:v>
      </x:c>
      <x:c r="F32" s="19" t="n">
        <x:v>4</x:v>
      </x:c>
      <x:c r="G32" s="11" t="n">
        <x:v>0.25</x:v>
      </x:c>
      <x:c r="H32" s="11" t="n">
        <x:v>0</x:v>
      </x:c>
      <x:c r="I32" s="11" t="n">
        <x:v>0</x:v>
      </x:c>
      <x:c r="J32" s="13" t="n">
        <x:f>IF(OR(G32=0,G32=1),"",(H32-I32)*100)</x:f>
        <x:v>0</x:v>
      </x:c>
      <x:c r="K32" s="14" t="n">
        <x:v>-17.45</x:v>
      </x:c>
      <x:c r="L32" s="15" t="n">
        <x:f>F32*G32</x:f>
        <x:v>1</x:v>
      </x:c>
      <x:c r="M32" s="15" t="n">
        <x:f>F32-L32</x:f>
        <x:v>3</x:v>
      </x:c>
      <x:c r="N32" s="17" t="str">
        <x:v>出现次数&lt;100；网站古代页记录；未确认先古归属（稀有度：Rare）</x:v>
      </x:c>
      <x:c r="O32" s="17" t="str">
        <x:v>https://sts2log.com/cards</x:v>
      </x:c>
      <x:c r="P32" s="17" t="str">
        <x:v>https://sts2log.com/data/game-entities.json</x:v>
      </x:c>
    </x:row>
    <x:row r="33" ht="72" customHeight="1">
      <x:c r="A33" s="2" t="str">
        <x:v>v0.107</x:v>
      </x:c>
      <x:c r="B33" s="2" t="str">
        <x:v>故障机器人</x:v>
      </x:c>
      <x:c r="C33" s="2" t="str">
        <x:v>未归入先古之民</x:v>
      </x:c>
      <x:c r="D33" s="2" t="str">
        <x:v>铲子</x:v>
      </x:c>
      <x:c r="E33" s="18" t="n">
        <x:f>IF(G33=0,I33,IF(G33=1,H33,G33*H33+(1-G33)*I33))</x:f>
        <x:v>0</x:v>
      </x:c>
      <x:c r="F33" s="19" t="n">
        <x:v>1</x:v>
      </x:c>
      <x:c r="G33" s="11" t="n">
        <x:v>0</x:v>
      </x:c>
      <x:c r="H33" s="11"/>
      <x:c r="I33" s="11" t="n">
        <x:v>0</x:v>
      </x:c>
      <x:c r="J33" s="13" t="str">
        <x:f>IF(OR(G33=0,G33=1),"",(H33-I33)*100)</x:f>
      </x:c>
      <x:c r="K33" s="14" t="n">
        <x:v>-17.45</x:v>
      </x:c>
      <x:c r="L33" s="15" t="n">
        <x:f>F33*G33</x:f>
        <x:v>0</x:v>
      </x:c>
      <x:c r="M33" s="15" t="n">
        <x:f>F33-L33</x:f>
        <x:v>1</x:v>
      </x:c>
      <x:c r="N33" s="17" t="str">
        <x:v>出现次数&lt;100；一组占比显示为零，其胜率及选跳差留空；网站古代页记录；未确认先古归属（稀有度：Rare）</x:v>
      </x:c>
      <x:c r="O33" s="17" t="str">
        <x:v>https://sts2log.com/cards</x:v>
      </x:c>
      <x:c r="P33" s="17" t="str">
        <x:v>https://sts2log.com/data/game-entities.json</x:v>
      </x:c>
    </x:row>
    <x:row r="34" ht="72" customHeight="1">
      <x:c r="A34" s="2" t="str">
        <x:v>v0.107</x:v>
      </x:c>
      <x:c r="B34" s="2" t="str">
        <x:v>亡灵契约师</x:v>
      </x:c>
      <x:c r="C34" s="2" t="str">
        <x:v>未归入先古之民</x:v>
      </x:c>
      <x:c r="D34" s="2" t="str">
        <x:v>头环</x:v>
      </x:c>
      <x:c r="E34" s="18" t="n">
        <x:f>IF(G34=0,I34,IF(G34=1,H34,G34*H34+(1-G34)*I34))</x:f>
        <x:v>0.5</x:v>
      </x:c>
      <x:c r="F34" s="19" t="n">
        <x:v>2</x:v>
      </x:c>
      <x:c r="G34" s="11" t="n">
        <x:v>0</x:v>
      </x:c>
      <x:c r="H34" s="11"/>
      <x:c r="I34" s="11" t="n">
        <x:v>0.5</x:v>
      </x:c>
      <x:c r="J34" s="13" t="str">
        <x:f>IF(OR(G34=0,G34=1),"",(H34-I34)*100)</x:f>
      </x:c>
      <x:c r="K34" s="14" t="n">
        <x:v>-18.13</x:v>
      </x:c>
      <x:c r="L34" s="15" t="n">
        <x:f>F34*G34</x:f>
        <x:v>0</x:v>
      </x:c>
      <x:c r="M34" s="15" t="n">
        <x:f>F34-L34</x:f>
        <x:v>2</x:v>
      </x:c>
      <x:c r="N34" s="17" t="str">
        <x:v>出现次数&lt;100；一组占比显示为零，其胜率及选跳差留空；网站古代页记录；未确认先古归属（稀有度：None）</x:v>
      </x:c>
      <x:c r="O34" s="17" t="str">
        <x:v>https://sts2log.com/cards</x:v>
      </x:c>
      <x:c r="P34" s="17" t="str">
        <x:v>https://sts2log.com/data/game-entities.json</x:v>
      </x:c>
    </x:row>
    <x:row r="35" ht="42" customHeight="1">
      <x:c r="A35" s="2" t="str">
        <x:v>v0.107</x:v>
      </x:c>
      <x:c r="B35" s="2" t="str">
        <x:v>亡灵契约师</x:v>
      </x:c>
      <x:c r="C35" s="2" t="str">
        <x:v>未归入先古之民</x:v>
      </x:c>
      <x:c r="D35" s="2" t="str">
        <x:v>多利之镜</x:v>
      </x:c>
      <x:c r="E35" s="18" t="n">
        <x:f>IF(G35=0,I35,IF(G35=1,H35,G35*H35+(1-G35)*I35))</x:f>
        <x:v>0</x:v>
      </x:c>
      <x:c r="F35" s="19" t="n">
        <x:v>3</x:v>
      </x:c>
      <x:c r="G35" s="11" t="n">
        <x:v>0.3333</x:v>
      </x:c>
      <x:c r="H35" s="11" t="n">
        <x:v>0</x:v>
      </x:c>
      <x:c r="I35" s="11" t="n">
        <x:v>0</x:v>
      </x:c>
      <x:c r="J35" s="13" t="n">
        <x:f>IF(OR(G35=0,G35=1),"",(H35-I35)*100)</x:f>
        <x:v>0</x:v>
      </x:c>
      <x:c r="K35" s="14" t="n">
        <x:v>-18.13</x:v>
      </x:c>
      <x:c r="L35" s="15" t="n">
        <x:f>F35*G35</x:f>
        <x:v>0.9999</x:v>
      </x:c>
      <x:c r="M35" s="15" t="n">
        <x:f>F35-L35</x:f>
        <x:v>2.0000999999999998</x:v>
      </x:c>
      <x:c r="N35" s="17" t="str">
        <x:v>出现次数&lt;100；网站古代页记录；未确认先古归属（稀有度：Shop）</x:v>
      </x:c>
      <x:c r="O35" s="17" t="str">
        <x:v>https://sts2log.com/cards</x:v>
      </x:c>
      <x:c r="P35" s="17" t="str">
        <x:v>https://sts2log.com/data/game-entities.json</x:v>
      </x:c>
    </x:row>
    <x:row r="36" ht="42" customHeight="1">
      <x:c r="A36" s="2" t="str">
        <x:v>v0.107</x:v>
      </x:c>
      <x:c r="B36" s="2" t="str">
        <x:v>亡灵契约师</x:v>
      </x:c>
      <x:c r="C36" s="2" t="str">
        <x:v>未归入先古之民</x:v>
      </x:c>
      <x:c r="D36" s="2" t="str">
        <x:v>不安油灯</x:v>
      </x:c>
      <x:c r="E36" s="18" t="n">
        <x:f>IF(G36=0,I36,IF(G36=1,H36,G36*H36+(1-G36)*I36))</x:f>
        <x:v>0</x:v>
      </x:c>
      <x:c r="F36" s="19" t="n">
        <x:v>3</x:v>
      </x:c>
      <x:c r="G36" s="11" t="n">
        <x:v>0.3333</x:v>
      </x:c>
      <x:c r="H36" s="11" t="n">
        <x:v>0</x:v>
      </x:c>
      <x:c r="I36" s="11" t="n">
        <x:v>0</x:v>
      </x:c>
      <x:c r="J36" s="13" t="n">
        <x:f>IF(OR(G36=0,G36=1),"",(H36-I36)*100)</x:f>
        <x:v>0</x:v>
      </x:c>
      <x:c r="K36" s="14" t="n">
        <x:v>-18.13</x:v>
      </x:c>
      <x:c r="L36" s="15" t="n">
        <x:f>F36*G36</x:f>
        <x:v>0.9999</x:v>
      </x:c>
      <x:c r="M36" s="15" t="n">
        <x:f>F36-L36</x:f>
        <x:v>2.0000999999999998</x:v>
      </x:c>
      <x:c r="N36" s="17" t="str">
        <x:v>出现次数&lt;100；网站古代页记录；未确认先古归属（稀有度：Rare）</x:v>
      </x:c>
      <x:c r="O36" s="17" t="str">
        <x:v>https://sts2log.com/cards</x:v>
      </x:c>
      <x:c r="P36" s="17" t="str">
        <x:v>https://sts2log.com/data/game-entities.json</x:v>
      </x:c>
    </x:row>
    <x:row r="37" ht="42" customHeight="1">
      <x:c r="A37" s="2" t="str">
        <x:v>v0.107</x:v>
      </x:c>
      <x:c r="B37" s="2" t="str">
        <x:v>储君</x:v>
      </x:c>
      <x:c r="C37" s="2" t="str">
        <x:v>未归入先古之民</x:v>
      </x:c>
      <x:c r="D37" s="2" t="str">
        <x:v>头环</x:v>
      </x:c>
      <x:c r="E37" s="18" t="n">
        <x:f>IF(G37=0,I37,IF(G37=1,H37,G37*H37+(1-G37)*I37))</x:f>
        <x:v>0.75</x:v>
      </x:c>
      <x:c r="F37" s="19" t="n">
        <x:v>4</x:v>
      </x:c>
      <x:c r="G37" s="11" t="n">
        <x:v>0.5</x:v>
      </x:c>
      <x:c r="H37" s="11" t="n">
        <x:v>1</x:v>
      </x:c>
      <x:c r="I37" s="11" t="n">
        <x:v>0.5</x:v>
      </x:c>
      <x:c r="J37" s="13" t="n">
        <x:f>IF(OR(G37=0,G37=1),"",(H37-I37)*100)</x:f>
        <x:v>50</x:v>
      </x:c>
      <x:c r="K37" s="14" t="n">
        <x:v>77.15</x:v>
      </x:c>
      <x:c r="L37" s="15" t="n">
        <x:f>F37*G37</x:f>
        <x:v>2</x:v>
      </x:c>
      <x:c r="M37" s="15" t="n">
        <x:f>F37-L37</x:f>
        <x:v>2</x:v>
      </x:c>
      <x:c r="N37" s="17" t="str">
        <x:v>出现次数&lt;100；网站古代页记录；未确认先古归属（稀有度：None）</x:v>
      </x:c>
      <x:c r="O37" s="17" t="str">
        <x:v>https://sts2log.com/cards</x:v>
      </x:c>
      <x:c r="P37" s="17" t="str">
        <x:v>https://sts2log.com/data/game-entities.json</x:v>
      </x:c>
    </x:row>
    <x:row r="38" ht="72" customHeight="1">
      <x:c r="A38" s="2" t="str">
        <x:v>v0.107</x:v>
      </x:c>
      <x:c r="B38" s="2" t="str">
        <x:v>储君</x:v>
      </x:c>
      <x:c r="C38" s="2" t="str">
        <x:v>未归入先古之民</x:v>
      </x:c>
      <x:c r="D38" s="2" t="str">
        <x:v>微型帐篷</x:v>
      </x:c>
      <x:c r="E38" s="18" t="n">
        <x:f>IF(G38=0,I38,IF(G38=1,H38,G38*H38+(1-G38)*I38))</x:f>
        <x:v>0</x:v>
      </x:c>
      <x:c r="F38" s="19" t="n">
        <x:v>1</x:v>
      </x:c>
      <x:c r="G38" s="11" t="n">
        <x:v>1</x:v>
      </x:c>
      <x:c r="H38" s="11" t="n">
        <x:v>0</x:v>
      </x:c>
      <x:c r="I38" s="11"/>
      <x:c r="J38" s="13" t="str">
        <x:f>IF(OR(G38=0,G38=1),"",(H38-I38)*100)</x:f>
      </x:c>
      <x:c r="K38" s="14" t="n">
        <x:v>-22.85</x:v>
      </x:c>
      <x:c r="L38" s="15" t="n">
        <x:f>F38*G38</x:f>
        <x:v>1</x:v>
      </x:c>
      <x:c r="M38" s="15" t="n">
        <x:f>F38-L38</x:f>
        <x:v>0</x:v>
      </x:c>
      <x:c r="N38" s="17" t="str">
        <x:v>出现次数&lt;100；一组占比显示为零，其胜率及选跳差留空；网站古代页记录；未确认先古归属（稀有度：Shop）</x:v>
      </x:c>
      <x:c r="O38" s="17" t="str">
        <x:v>https://sts2log.com/cards</x:v>
      </x:c>
      <x:c r="P38" s="17" t="str">
        <x:v>https://sts2log.com/data/game-entities.json</x:v>
      </x:c>
    </x:row>
    <x:row r="39" ht="42" customHeight="1">
      <x:c r="A39" s="2" t="str">
        <x:v>v0.107</x:v>
      </x:c>
      <x:c r="B39" s="2" t="str">
        <x:v>储君</x:v>
      </x:c>
      <x:c r="C39" s="2" t="str">
        <x:v>未归入先古之民</x:v>
      </x:c>
      <x:c r="D39" s="2" t="str">
        <x:v>击剑指南</x:v>
      </x:c>
      <x:c r="E39" s="18" t="n">
        <x:f>IF(G39=0,I39,IF(G39=1,H39,G39*H39+(1-G39)*I39))</x:f>
        <x:v>0</x:v>
      </x:c>
      <x:c r="F39" s="19" t="n">
        <x:v>9</x:v>
      </x:c>
      <x:c r="G39" s="11" t="n">
        <x:v>0.3333</x:v>
      </x:c>
      <x:c r="H39" s="11" t="n">
        <x:v>0</x:v>
      </x:c>
      <x:c r="I39" s="11" t="n">
        <x:v>0</x:v>
      </x:c>
      <x:c r="J39" s="13" t="n">
        <x:f>IF(OR(G39=0,G39=1),"",(H39-I39)*100)</x:f>
        <x:v>0</x:v>
      </x:c>
      <x:c r="K39" s="14" t="n">
        <x:v>-22.85</x:v>
      </x:c>
      <x:c r="L39" s="15" t="n">
        <x:f>F39*G39</x:f>
        <x:v>2.9997</x:v>
      </x:c>
      <x:c r="M39" s="15" t="n">
        <x:f>F39-L39</x:f>
        <x:v>6.0003</x:v>
      </x:c>
      <x:c r="N39" s="17" t="str">
        <x:v>出现次数&lt;100；网站古代页记录；未确认先古归属（稀有度：Common）</x:v>
      </x:c>
      <x:c r="O39" s="17" t="str">
        <x:v>https://sts2log.com/cards</x:v>
      </x:c>
      <x:c r="P39" s="17" t="str">
        <x:v>https://sts2log.com/data/game-entities.json</x:v>
      </x:c>
    </x:row>
    <x:row r="40" ht="42" customHeight="1">
      <x:c r="A40" s="2" t="str">
        <x:v>v0.107</x:v>
      </x:c>
      <x:c r="B40" s="2" t="str">
        <x:v>储君</x:v>
      </x:c>
      <x:c r="C40" s="2" t="str">
        <x:v>未归入先古之民</x:v>
      </x:c>
      <x:c r="D40" s="2" t="str">
        <x:v>化学物X</x:v>
      </x:c>
      <x:c r="E40" s="18" t="n">
        <x:f>IF(G40=0,I40,IF(G40=1,H40,G40*H40+(1-G40)*I40))</x:f>
        <x:v>0</x:v>
      </x:c>
      <x:c r="F40" s="19" t="n">
        <x:v>6</x:v>
      </x:c>
      <x:c r="G40" s="11" t="n">
        <x:v>0.3333</x:v>
      </x:c>
      <x:c r="H40" s="11" t="n">
        <x:v>0</x:v>
      </x:c>
      <x:c r="I40" s="11" t="n">
        <x:v>0</x:v>
      </x:c>
      <x:c r="J40" s="13" t="n">
        <x:f>IF(OR(G40=0,G40=1),"",(H40-I40)*100)</x:f>
        <x:v>0</x:v>
      </x:c>
      <x:c r="K40" s="14" t="n">
        <x:v>-22.85</x:v>
      </x:c>
      <x:c r="L40" s="15" t="n">
        <x:f>F40*G40</x:f>
        <x:v>1.9998</x:v>
      </x:c>
      <x:c r="M40" s="15" t="n">
        <x:f>F40-L40</x:f>
        <x:v>4.0001999999999995</x:v>
      </x:c>
      <x:c r="N40" s="17" t="str">
        <x:v>出现次数&lt;100；网站古代页记录；未确认先古归属（稀有度：Shop）</x:v>
      </x:c>
      <x:c r="O40" s="17" t="str">
        <x:v>https://sts2log.com/cards</x:v>
      </x:c>
      <x:c r="P40" s="17" t="str">
        <x:v>https://sts2log.com/data/game-entities.json</x:v>
      </x:c>
    </x:row>
    <x:row r="41" ht="42" customHeight="1">
      <x:c r="A41" s="2" t="str">
        <x:v>v0.107</x:v>
      </x:c>
      <x:c r="B41" s="2" t="str">
        <x:v>储君</x:v>
      </x:c>
      <x:c r="C41" s="2" t="str">
        <x:v>未归入先古之民</x:v>
      </x:c>
      <x:c r="D41" s="2" t="str">
        <x:v>天赋君权</x:v>
      </x:c>
      <x:c r="E41" s="18" t="n">
        <x:f>IF(G41=0,I41,IF(G41=1,H41,G41*H41+(1-G41)*I41))</x:f>
        <x:v>0</x:v>
      </x:c>
      <x:c r="F41" s="19" t="n">
        <x:v>6</x:v>
      </x:c>
      <x:c r="G41" s="11" t="n">
        <x:v>0.3333</x:v>
      </x:c>
      <x:c r="H41" s="11" t="n">
        <x:v>0</x:v>
      </x:c>
      <x:c r="I41" s="11" t="n">
        <x:v>0</x:v>
      </x:c>
      <x:c r="J41" s="13" t="n">
        <x:f>IF(OR(G41=0,G41=1),"",(H41-I41)*100)</x:f>
        <x:v>0</x:v>
      </x:c>
      <x:c r="K41" s="14" t="n">
        <x:v>-22.85</x:v>
      </x:c>
      <x:c r="L41" s="15" t="n">
        <x:f>F41*G41</x:f>
        <x:v>1.9998</x:v>
      </x:c>
      <x:c r="M41" s="15" t="n">
        <x:f>F41-L41</x:f>
        <x:v>4.0001999999999995</x:v>
      </x:c>
      <x:c r="N41" s="17" t="str">
        <x:v>出现次数&lt;100；网站古代页记录；未确认先古归属（稀有度：Starter）</x:v>
      </x:c>
      <x:c r="O41" s="17" t="str">
        <x:v>https://sts2log.com/cards</x:v>
      </x:c>
      <x:c r="P41" s="17" t="str">
        <x:v>https://sts2log.com/data/game-entities.json</x:v>
      </x:c>
    </x:row>
    <x:row r="42" ht="42" customHeight="1">
      <x:c r="A42" s="2" t="str">
        <x:v>v0.107</x:v>
      </x:c>
      <x:c r="B42" s="2" t="str">
        <x:v>储君</x:v>
      </x:c>
      <x:c r="C42" s="2" t="str">
        <x:v>未归入先古之民</x:v>
      </x:c>
      <x:c r="D42" s="2" t="str">
        <x:v>硫磺</x:v>
      </x:c>
      <x:c r="E42" s="18" t="n">
        <x:f>IF(G42=0,I42,IF(G42=1,H42,G42*H42+(1-G42)*I42))</x:f>
        <x:v>0</x:v>
      </x:c>
      <x:c r="F42" s="19" t="n">
        <x:v>3</x:v>
      </x:c>
      <x:c r="G42" s="11" t="n">
        <x:v>0.3333</x:v>
      </x:c>
      <x:c r="H42" s="11" t="n">
        <x:v>0</x:v>
      </x:c>
      <x:c r="I42" s="11" t="n">
        <x:v>0</x:v>
      </x:c>
      <x:c r="J42" s="13" t="n">
        <x:f>IF(OR(G42=0,G42=1),"",(H42-I42)*100)</x:f>
        <x:v>0</x:v>
      </x:c>
      <x:c r="K42" s="14" t="n">
        <x:v>-22.85</x:v>
      </x:c>
      <x:c r="L42" s="15" t="n">
        <x:f>F42*G42</x:f>
        <x:v>0.9999</x:v>
      </x:c>
      <x:c r="M42" s="15" t="n">
        <x:f>F42-L42</x:f>
        <x:v>2.0000999999999998</x:v>
      </x:c>
      <x:c r="N42" s="17" t="str">
        <x:v>出现次数&lt;100；网站古代页记录；未确认先古归属（稀有度：Shop）</x:v>
      </x:c>
      <x:c r="O42" s="17" t="str">
        <x:v>https://sts2log.com/cards</x:v>
      </x:c>
      <x:c r="P42" s="17" t="str">
        <x:v>https://sts2log.com/data/game-entities.json</x:v>
      </x:c>
    </x:row>
    <x:row r="43" ht="42" customHeight="1">
      <x:c r="A43" s="2" t="str">
        <x:v>v0.107</x:v>
      </x:c>
      <x:c r="B43" s="2" t="str">
        <x:v>储君</x:v>
      </x:c>
      <x:c r="C43" s="2" t="str">
        <x:v>未归入先古之民</x:v>
      </x:c>
      <x:c r="D43" s="2" t="str">
        <x:v>月亮糕点</x:v>
      </x:c>
      <x:c r="E43" s="18" t="n">
        <x:f>IF(G43=0,I43,IF(G43=1,H43,G43*H43+(1-G43)*I43))</x:f>
        <x:v>0</x:v>
      </x:c>
      <x:c r="F43" s="19" t="n">
        <x:v>3</x:v>
      </x:c>
      <x:c r="G43" s="11" t="n">
        <x:v>0.3333</x:v>
      </x:c>
      <x:c r="H43" s="11" t="n">
        <x:v>0</x:v>
      </x:c>
      <x:c r="I43" s="11" t="n">
        <x:v>0</x:v>
      </x:c>
      <x:c r="J43" s="13" t="n">
        <x:f>IF(OR(G43=0,G43=1),"",(H43-I43)*100)</x:f>
        <x:v>0</x:v>
      </x:c>
      <x:c r="K43" s="14" t="n">
        <x:v>-22.85</x:v>
      </x:c>
      <x:c r="L43" s="15" t="n">
        <x:f>F43*G43</x:f>
        <x:v>0.9999</x:v>
      </x:c>
      <x:c r="M43" s="15" t="n">
        <x:f>F43-L43</x:f>
        <x:v>2.0000999999999998</x:v>
      </x:c>
      <x:c r="N43" s="17" t="str">
        <x:v>出现次数&lt;100；网站古代页记录；未确认先古归属（稀有度：Rare）</x:v>
      </x:c>
      <x:c r="O43" s="17" t="str">
        <x:v>https://sts2log.com/cards</x:v>
      </x:c>
      <x:c r="P43" s="17" t="str">
        <x:v>https://sts2log.com/data/game-entities.json</x:v>
      </x:c>
    </x:row>
    <x:row r="44" ht="42" customHeight="1">
      <x:c r="A44" s="2" t="str">
        <x:v>v0.107</x:v>
      </x:c>
      <x:c r="B44" s="2" t="str">
        <x:v>储君</x:v>
      </x:c>
      <x:c r="C44" s="2" t="str">
        <x:v>未归入先古之民</x:v>
      </x:c>
      <x:c r="D44" s="2" t="str">
        <x:v>会员卡</x:v>
      </x:c>
      <x:c r="E44" s="18" t="n">
        <x:f>IF(G44=0,I44,IF(G44=1,H44,G44*H44+(1-G44)*I44))</x:f>
        <x:v>0</x:v>
      </x:c>
      <x:c r="F44" s="19" t="n">
        <x:v>3</x:v>
      </x:c>
      <x:c r="G44" s="11" t="n">
        <x:v>0.3333</x:v>
      </x:c>
      <x:c r="H44" s="11" t="n">
        <x:v>0</x:v>
      </x:c>
      <x:c r="I44" s="11" t="n">
        <x:v>0</x:v>
      </x:c>
      <x:c r="J44" s="13" t="n">
        <x:f>IF(OR(G44=0,G44=1),"",(H44-I44)*100)</x:f>
        <x:v>0</x:v>
      </x:c>
      <x:c r="K44" s="14" t="n">
        <x:v>-22.85</x:v>
      </x:c>
      <x:c r="L44" s="15" t="n">
        <x:f>F44*G44</x:f>
        <x:v>0.9999</x:v>
      </x:c>
      <x:c r="M44" s="15" t="n">
        <x:f>F44-L44</x:f>
        <x:v>2.0000999999999998</x:v>
      </x:c>
      <x:c r="N44" s="17" t="str">
        <x:v>出现次数&lt;100；网站古代页记录；未确认先古归属（稀有度：Shop）</x:v>
      </x:c>
      <x:c r="O44" s="17" t="str">
        <x:v>https://sts2log.com/cards</x:v>
      </x:c>
      <x:c r="P44" s="17" t="str">
        <x:v>https://sts2log.com/data/game-entities.json</x:v>
      </x:c>
    </x:row>
    <x:row r="45" ht="42" customHeight="1">
      <x:c r="A45" s="2" t="str">
        <x:v>v0.107</x:v>
      </x:c>
      <x:c r="B45" s="2" t="str">
        <x:v>储君</x:v>
      </x:c>
      <x:c r="C45" s="2" t="str">
        <x:v>未归入先古之民</x:v>
      </x:c>
      <x:c r="D45" s="2" t="str">
        <x:v>迷你储君</x:v>
      </x:c>
      <x:c r="E45" s="18" t="n">
        <x:f>IF(G45=0,I45,IF(G45=1,H45,G45*H45+(1-G45)*I45))</x:f>
        <x:v>0</x:v>
      </x:c>
      <x:c r="F45" s="19" t="n">
        <x:v>3</x:v>
      </x:c>
      <x:c r="G45" s="11" t="n">
        <x:v>0.3333</x:v>
      </x:c>
      <x:c r="H45" s="11" t="n">
        <x:v>0</x:v>
      </x:c>
      <x:c r="I45" s="11" t="n">
        <x:v>0</x:v>
      </x:c>
      <x:c r="J45" s="13" t="n">
        <x:f>IF(OR(G45=0,G45=1),"",(H45-I45)*100)</x:f>
        <x:v>0</x:v>
      </x:c>
      <x:c r="K45" s="14" t="n">
        <x:v>-22.85</x:v>
      </x:c>
      <x:c r="L45" s="15" t="n">
        <x:f>F45*G45</x:f>
        <x:v>0.9999</x:v>
      </x:c>
      <x:c r="M45" s="15" t="n">
        <x:f>F45-L45</x:f>
        <x:v>2.0000999999999998</x:v>
      </x:c>
      <x:c r="N45" s="17" t="str">
        <x:v>出现次数&lt;100；网站古代页记录；未确认先古归属（稀有度：Rare）</x:v>
      </x:c>
      <x:c r="O45" s="17" t="str">
        <x:v>https://sts2log.com/cards</x:v>
      </x:c>
      <x:c r="P45" s="17" t="str">
        <x:v>https://sts2log.com/data/game-entities.json</x:v>
      </x:c>
    </x:row>
    <x:row r="46" ht="42" customHeight="1">
      <x:c r="A46" s="2" t="str">
        <x:v>v0.107</x:v>
      </x:c>
      <x:c r="B46" s="2" t="str">
        <x:v>储君</x:v>
      </x:c>
      <x:c r="C46" s="2" t="str">
        <x:v>未归入先古之民</x:v>
      </x:c>
      <x:c r="D46" s="2" t="str">
        <x:v>送货员</x:v>
      </x:c>
      <x:c r="E46" s="18" t="n">
        <x:f>IF(G46=0,I46,IF(G46=1,H46,G46*H46+(1-G46)*I46))</x:f>
        <x:v>0</x:v>
      </x:c>
      <x:c r="F46" s="19" t="n">
        <x:v>3</x:v>
      </x:c>
      <x:c r="G46" s="11" t="n">
        <x:v>0.3333</x:v>
      </x:c>
      <x:c r="H46" s="11" t="n">
        <x:v>0</x:v>
      </x:c>
      <x:c r="I46" s="11" t="n">
        <x:v>0</x:v>
      </x:c>
      <x:c r="J46" s="13" t="n">
        <x:f>IF(OR(G46=0,G46=1),"",(H46-I46)*100)</x:f>
        <x:v>0</x:v>
      </x:c>
      <x:c r="K46" s="14" t="n">
        <x:v>-22.85</x:v>
      </x:c>
      <x:c r="L46" s="15" t="n">
        <x:f>F46*G46</x:f>
        <x:v>0.9999</x:v>
      </x:c>
      <x:c r="M46" s="15" t="n">
        <x:f>F46-L46</x:f>
        <x:v>2.0000999999999998</x:v>
      </x:c>
      <x:c r="N46" s="17" t="str">
        <x:v>出现次数&lt;100；网站古代页记录；未确认先古归属（稀有度：Rare）</x:v>
      </x:c>
      <x:c r="O46" s="17" t="str">
        <x:v>https://sts2log.com/cards</x:v>
      </x:c>
      <x:c r="P46" s="17" t="str">
        <x:v>https://sts2log.com/data/game-entities.json</x:v>
      </x:c>
    </x:row>
    <x:row r="47" ht="42" customHeight="1">
      <x:c r="A47" s="2" t="str">
        <x:v>v0.107</x:v>
      </x:c>
      <x:c r="B47" s="2" t="str">
        <x:v>储君</x:v>
      </x:c>
      <x:c r="C47" s="2" t="str">
        <x:v>未归入先古之民</x:v>
      </x:c>
      <x:c r="D47" s="2" t="str">
        <x:v>维特鲁威仆从</x:v>
      </x:c>
      <x:c r="E47" s="18" t="n">
        <x:f>IF(G47=0,I47,IF(G47=1,H47,G47*H47+(1-G47)*I47))</x:f>
        <x:v>0</x:v>
      </x:c>
      <x:c r="F47" s="19" t="n">
        <x:v>3</x:v>
      </x:c>
      <x:c r="G47" s="11" t="n">
        <x:v>0.3333</x:v>
      </x:c>
      <x:c r="H47" s="11" t="n">
        <x:v>0</x:v>
      </x:c>
      <x:c r="I47" s="11" t="n">
        <x:v>0</x:v>
      </x:c>
      <x:c r="J47" s="13" t="n">
        <x:f>IF(OR(G47=0,G47=1),"",(H47-I47)*100)</x:f>
        <x:v>0</x:v>
      </x:c>
      <x:c r="K47" s="14" t="n">
        <x:v>-22.85</x:v>
      </x:c>
      <x:c r="L47" s="15" t="n">
        <x:f>F47*G47</x:f>
        <x:v>0.9999</x:v>
      </x:c>
      <x:c r="M47" s="15" t="n">
        <x:f>F47-L47</x:f>
        <x:v>2.0000999999999998</x:v>
      </x:c>
      <x:c r="N47" s="17" t="str">
        <x:v>出现次数&lt;100；网站古代页记录；未确认先古归属（稀有度：Shop）</x:v>
      </x:c>
      <x:c r="O47" s="17" t="str">
        <x:v>https://sts2log.com/cards</x:v>
      </x:c>
      <x:c r="P47" s="17" t="str">
        <x:v>https://sts2log.com/data/game-entities.json</x:v>
      </x:c>
    </x:row>
    <x:row r="48" ht="72" customHeight="1">
      <x:c r="A48" s="2" t="str">
        <x:v>v0.107</x:v>
      </x:c>
      <x:c r="B48" s="2" t="str">
        <x:v>储君</x:v>
      </x:c>
      <x:c r="C48" s="2" t="str">
        <x:v>未归入先古之民</x:v>
      </x:c>
      <x:c r="D48" s="2" t="str">
        <x:v>历史课</x:v>
      </x:c>
      <x:c r="E48" s="18" t="n">
        <x:f>IF(G48=0,I48,IF(G48=1,H48,G48*H48+(1-G48)*I48))</x:f>
        <x:v>0</x:v>
      </x:c>
      <x:c r="F48" s="19" t="n">
        <x:v>1</x:v>
      </x:c>
      <x:c r="G48" s="11" t="n">
        <x:v>0</x:v>
      </x:c>
      <x:c r="H48" s="11"/>
      <x:c r="I48" s="11" t="n">
        <x:v>0</x:v>
      </x:c>
      <x:c r="J48" s="13" t="str">
        <x:f>IF(OR(G48=0,G48=1),"",(H48-I48)*100)</x:f>
      </x:c>
      <x:c r="K48" s="14" t="n">
        <x:v>-22.85</x:v>
      </x:c>
      <x:c r="L48" s="15" t="n">
        <x:f>F48*G48</x:f>
        <x:v>0</x:v>
      </x:c>
      <x:c r="M48" s="15" t="n">
        <x:f>F48-L48</x:f>
        <x:v>1</x:v>
      </x:c>
      <x:c r="N48" s="17" t="str">
        <x:v>出现次数&lt;100；一组占比显示为零，其胜率及选跳差留空；网站古代页记录；未确认先古归属（稀有度：Event）</x:v>
      </x:c>
      <x:c r="O48" s="17" t="str">
        <x:v>https://sts2log.com/cards</x:v>
      </x:c>
      <x:c r="P48" s="17" t="str">
        <x:v>https://sts2log.com/data/game-entities.json</x:v>
      </x:c>
    </x:row>
    <x:row r="49" ht="42" customHeight="1">
      <x:c r="A49" s="2" t="str">
        <x:v>v0.111</x:v>
      </x:c>
      <x:c r="B49" s="2" t="str">
        <x:v>铁甲战士</x:v>
      </x:c>
      <x:c r="C49" s="2" t="str">
        <x:v>未归入先古之民</x:v>
      </x:c>
      <x:c r="D49" s="2" t="str">
        <x:v>异鸟宝宝</x:v>
      </x:c>
      <x:c r="E49" s="18" t="n">
        <x:f>IF(G49=0,I49,IF(G49=1,H49,G49*H49+(1-G49)*I49))</x:f>
        <x:v>0</x:v>
      </x:c>
      <x:c r="F49" s="19" t="n">
        <x:v>3</x:v>
      </x:c>
      <x:c r="G49" s="11" t="n">
        <x:v>0.3333</x:v>
      </x:c>
      <x:c r="H49" s="11" t="n">
        <x:v>0</x:v>
      </x:c>
      <x:c r="I49" s="11" t="n">
        <x:v>0</x:v>
      </x:c>
      <x:c r="J49" s="13" t="n">
        <x:f>IF(OR(G49=0,G49=1),"",(H49-I49)*100)</x:f>
        <x:v>0</x:v>
      </x:c>
      <x:c r="K49" s="14" t="n">
        <x:v>-33.08</x:v>
      </x:c>
      <x:c r="L49" s="15" t="n">
        <x:f>F49*G49</x:f>
        <x:v>0.9999</x:v>
      </x:c>
      <x:c r="M49" s="15" t="n">
        <x:f>F49-L49</x:f>
        <x:v>2.0000999999999998</x:v>
      </x:c>
      <x:c r="N49" s="17" t="str">
        <x:v>出现次数&lt;100；网站古代页记录；未确认先古归属（稀有度：Event）</x:v>
      </x:c>
      <x:c r="O49" s="17" t="str">
        <x:v>https://sts2log.com/cards</x:v>
      </x:c>
      <x:c r="P49" s="17" t="str">
        <x:v>https://sts2log.com/data/game-entities.json</x:v>
      </x:c>
    </x:row>
    <x:row r="50" ht="42" customHeight="1">
      <x:c r="A50" s="2" t="str">
        <x:v>v0.111</x:v>
      </x:c>
      <x:c r="B50" s="2" t="str">
        <x:v>铁甲战士</x:v>
      </x:c>
      <x:c r="C50" s="2" t="str">
        <x:v>未归入先古之民</x:v>
      </x:c>
      <x:c r="D50" s="2" t="str">
        <x:v>送货员</x:v>
      </x:c>
      <x:c r="E50" s="18" t="n">
        <x:f>IF(G50=0,I50,IF(G50=1,H50,G50*H50+(1-G50)*I50))</x:f>
        <x:v>0</x:v>
      </x:c>
      <x:c r="F50" s="19" t="n">
        <x:v>3</x:v>
      </x:c>
      <x:c r="G50" s="11" t="n">
        <x:v>0.3333</x:v>
      </x:c>
      <x:c r="H50" s="11" t="n">
        <x:v>0</x:v>
      </x:c>
      <x:c r="I50" s="11" t="n">
        <x:v>0</x:v>
      </x:c>
      <x:c r="J50" s="13" t="n">
        <x:f>IF(OR(G50=0,G50=1),"",(H50-I50)*100)</x:f>
        <x:v>0</x:v>
      </x:c>
      <x:c r="K50" s="14" t="n">
        <x:v>-33.08</x:v>
      </x:c>
      <x:c r="L50" s="15" t="n">
        <x:f>F50*G50</x:f>
        <x:v>0.9999</x:v>
      </x:c>
      <x:c r="M50" s="15" t="n">
        <x:f>F50-L50</x:f>
        <x:v>2.0000999999999998</x:v>
      </x:c>
      <x:c r="N50" s="17" t="str">
        <x:v>出现次数&lt;100；网站古代页记录；未确认先古归属（稀有度：Rare）</x:v>
      </x:c>
      <x:c r="O50" s="17" t="str">
        <x:v>https://sts2log.com/cards</x:v>
      </x:c>
      <x:c r="P50" s="17" t="str">
        <x:v>https://sts2log.com/data/game-entities.json</x:v>
      </x:c>
    </x:row>
    <x:row r="51" ht="72" customHeight="1">
      <x:c r="A51" s="2" t="str">
        <x:v>v0.111</x:v>
      </x:c>
      <x:c r="B51" s="2" t="str">
        <x:v>铁甲战士</x:v>
      </x:c>
      <x:c r="C51" s="2" t="str">
        <x:v>未归入先古之民</x:v>
      </x:c>
      <x:c r="D51" s="2" t="str">
        <x:v>头环</x:v>
      </x:c>
      <x:c r="E51" s="18" t="n">
        <x:f>IF(G51=0,I51,IF(G51=1,H51,G51*H51+(1-G51)*I51))</x:f>
        <x:v>0</x:v>
      </x:c>
      <x:c r="F51" s="19" t="n">
        <x:v>1</x:v>
      </x:c>
      <x:c r="G51" s="11" t="n">
        <x:v>0</x:v>
      </x:c>
      <x:c r="H51" s="11"/>
      <x:c r="I51" s="11" t="n">
        <x:v>0</x:v>
      </x:c>
      <x:c r="J51" s="13" t="str">
        <x:f>IF(OR(G51=0,G51=1),"",(H51-I51)*100)</x:f>
      </x:c>
      <x:c r="K51" s="14" t="n">
        <x:v>-33.08</x:v>
      </x:c>
      <x:c r="L51" s="15" t="n">
        <x:f>F51*G51</x:f>
        <x:v>0</x:v>
      </x:c>
      <x:c r="M51" s="15" t="n">
        <x:f>F51-L51</x:f>
        <x:v>1</x:v>
      </x:c>
      <x:c r="N51" s="17" t="str">
        <x:v>出现次数&lt;100；一组占比显示为零，其胜率及选跳差留空；网站古代页记录；未确认先古归属（稀有度：None）</x:v>
      </x:c>
      <x:c r="O51" s="17" t="str">
        <x:v>https://sts2log.com/cards</x:v>
      </x:c>
      <x:c r="P51" s="17" t="str">
        <x:v>https://sts2log.com/data/game-entities.json</x:v>
      </x:c>
    </x:row>
    <x:row r="52" ht="72" customHeight="1">
      <x:c r="A52" s="2" t="str">
        <x:v>v0.111</x:v>
      </x:c>
      <x:c r="B52" s="2" t="str">
        <x:v>铁甲战士</x:v>
      </x:c>
      <x:c r="C52" s="2" t="str">
        <x:v>未归入先古之民</x:v>
      </x:c>
      <x:c r="D52" s="2" t="str">
        <x:v>微型帐篷</x:v>
      </x:c>
      <x:c r="E52" s="18" t="n">
        <x:f>IF(G52=0,I52,IF(G52=1,H52,G52*H52+(1-G52)*I52))</x:f>
        <x:v>0</x:v>
      </x:c>
      <x:c r="F52" s="19" t="n">
        <x:v>1</x:v>
      </x:c>
      <x:c r="G52" s="11" t="n">
        <x:v>0</x:v>
      </x:c>
      <x:c r="H52" s="11"/>
      <x:c r="I52" s="11" t="n">
        <x:v>0</x:v>
      </x:c>
      <x:c r="J52" s="13" t="str">
        <x:f>IF(OR(G52=0,G52=1),"",(H52-I52)*100)</x:f>
      </x:c>
      <x:c r="K52" s="14" t="n">
        <x:v>-33.08</x:v>
      </x:c>
      <x:c r="L52" s="15" t="n">
        <x:f>F52*G52</x:f>
        <x:v>0</x:v>
      </x:c>
      <x:c r="M52" s="15" t="n">
        <x:f>F52-L52</x:f>
        <x:v>1</x:v>
      </x:c>
      <x:c r="N52" s="17" t="str">
        <x:v>出现次数&lt;100；一组占比显示为零，其胜率及选跳差留空；网站古代页记录；未确认先古归属（稀有度：Shop）</x:v>
      </x:c>
      <x:c r="O52" s="17" t="str">
        <x:v>https://sts2log.com/cards</x:v>
      </x:c>
      <x:c r="P52" s="17" t="str">
        <x:v>https://sts2log.com/data/game-entities.json</x:v>
      </x:c>
    </x:row>
    <x:row r="53" ht="42" customHeight="1">
      <x:c r="A53" s="2" t="str">
        <x:v>v0.111</x:v>
      </x:c>
      <x:c r="B53" s="2" t="str">
        <x:v>静默猎手</x:v>
      </x:c>
      <x:c r="C53" s="2" t="str">
        <x:v>未归入先古之民</x:v>
      </x:c>
      <x:c r="D53" s="2" t="str">
        <x:v>异蛇头骨</x:v>
      </x:c>
      <x:c r="E53" s="18" t="n">
        <x:f>IF(G53=0,I53,IF(G53=1,H53,G53*H53+(1-G53)*I53))</x:f>
        <x:v>0</x:v>
      </x:c>
      <x:c r="F53" s="19" t="n">
        <x:v>3</x:v>
      </x:c>
      <x:c r="G53" s="11" t="n">
        <x:v>0.3333</x:v>
      </x:c>
      <x:c r="H53" s="11" t="n">
        <x:v>0</x:v>
      </x:c>
      <x:c r="I53" s="11" t="n">
        <x:v>0</x:v>
      </x:c>
      <x:c r="J53" s="13" t="n">
        <x:f>IF(OR(G53=0,G53=1),"",(H53-I53)*100)</x:f>
        <x:v>0</x:v>
      </x:c>
      <x:c r="K53" s="14" t="n">
        <x:v>-32.55</x:v>
      </x:c>
      <x:c r="L53" s="15" t="n">
        <x:f>F53*G53</x:f>
        <x:v>0.9999</x:v>
      </x:c>
      <x:c r="M53" s="15" t="n">
        <x:f>F53-L53</x:f>
        <x:v>2.0000999999999998</x:v>
      </x:c>
      <x:c r="N53" s="17" t="str">
        <x:v>出现次数&lt;100；网站古代页记录；未确认先古归属（稀有度：Common）</x:v>
      </x:c>
      <x:c r="O53" s="17" t="str">
        <x:v>https://sts2log.com/cards</x:v>
      </x:c>
      <x:c r="P53" s="17" t="str">
        <x:v>https://sts2log.com/data/game-entities.json</x:v>
      </x:c>
    </x:row>
    <x:row r="54" ht="42" customHeight="1">
      <x:c r="A54" s="2" t="str">
        <x:v>v0.111</x:v>
      </x:c>
      <x:c r="B54" s="2" t="str">
        <x:v>静默猎手</x:v>
      </x:c>
      <x:c r="C54" s="2" t="str">
        <x:v>未归入先古之民</x:v>
      </x:c>
      <x:c r="D54" s="2" t="str">
        <x:v>扭曲漏斗</x:v>
      </x:c>
      <x:c r="E54" s="18" t="n">
        <x:f>IF(G54=0,I54,IF(G54=1,H54,G54*H54+(1-G54)*I54))</x:f>
        <x:v>0</x:v>
      </x:c>
      <x:c r="F54" s="19" t="n">
        <x:v>3</x:v>
      </x:c>
      <x:c r="G54" s="11" t="n">
        <x:v>0.3333</x:v>
      </x:c>
      <x:c r="H54" s="11" t="n">
        <x:v>0</x:v>
      </x:c>
      <x:c r="I54" s="11" t="n">
        <x:v>0</x:v>
      </x:c>
      <x:c r="J54" s="13" t="n">
        <x:f>IF(OR(G54=0,G54=1),"",(H54-I54)*100)</x:f>
        <x:v>0</x:v>
      </x:c>
      <x:c r="K54" s="14" t="n">
        <x:v>-32.55</x:v>
      </x:c>
      <x:c r="L54" s="15" t="n">
        <x:f>F54*G54</x:f>
        <x:v>0.9999</x:v>
      </x:c>
      <x:c r="M54" s="15" t="n">
        <x:f>F54-L54</x:f>
        <x:v>2.0000999999999998</x:v>
      </x:c>
      <x:c r="N54" s="17" t="str">
        <x:v>出现次数&lt;100；网站古代页记录；未确认先古归属（稀有度：Uncommon）</x:v>
      </x:c>
      <x:c r="O54" s="17" t="str">
        <x:v>https://sts2log.com/cards</x:v>
      </x:c>
      <x:c r="P54" s="17" t="str">
        <x:v>https://sts2log.com/data/game-entities.json</x:v>
      </x:c>
    </x:row>
    <x:row r="55" ht="72" customHeight="1">
      <x:c r="A55" s="2" t="str">
        <x:v>v0.111</x:v>
      </x:c>
      <x:c r="B55" s="2" t="str">
        <x:v>静默猎手</x:v>
      </x:c>
      <x:c r="C55" s="2" t="str">
        <x:v>未归入先古之民</x:v>
      </x:c>
      <x:c r="D55" s="2" t="str">
        <x:v>头环</x:v>
      </x:c>
      <x:c r="E55" s="18" t="n">
        <x:f>IF(G55=0,I55,IF(G55=1,H55,G55*H55+(1-G55)*I55))</x:f>
        <x:v>0</x:v>
      </x:c>
      <x:c r="F55" s="19" t="n">
        <x:v>1</x:v>
      </x:c>
      <x:c r="G55" s="11" t="n">
        <x:v>0</x:v>
      </x:c>
      <x:c r="H55" s="11"/>
      <x:c r="I55" s="11" t="n">
        <x:v>0</x:v>
      </x:c>
      <x:c r="J55" s="13" t="str">
        <x:f>IF(OR(G55=0,G55=1),"",(H55-I55)*100)</x:f>
      </x:c>
      <x:c r="K55" s="14" t="n">
        <x:v>-32.55</x:v>
      </x:c>
      <x:c r="L55" s="15" t="n">
        <x:f>F55*G55</x:f>
        <x:v>0</x:v>
      </x:c>
      <x:c r="M55" s="15" t="n">
        <x:f>F55-L55</x:f>
        <x:v>1</x:v>
      </x:c>
      <x:c r="N55" s="17" t="str">
        <x:v>出现次数&lt;100；一组占比显示为零，其胜率及选跳差留空；网站古代页记录；未确认先古归属（稀有度：None）</x:v>
      </x:c>
      <x:c r="O55" s="17" t="str">
        <x:v>https://sts2log.com/cards</x:v>
      </x:c>
      <x:c r="P55" s="17" t="str">
        <x:v>https://sts2log.com/data/game-entities.json</x:v>
      </x:c>
    </x:row>
    <x:row r="56" ht="42" customHeight="1">
      <x:c r="A56" s="2" t="str">
        <x:v>v0.111</x:v>
      </x:c>
      <x:c r="B56" s="2" t="str">
        <x:v>亡灵契约师</x:v>
      </x:c>
      <x:c r="C56" s="2" t="str">
        <x:v>未归入先古之民</x:v>
      </x:c>
      <x:c r="D56" s="2" t="str">
        <x:v>书签</x:v>
      </x:c>
      <x:c r="E56" s="18" t="n">
        <x:f>IF(G56=0,I56,IF(G56=1,H56,G56*H56+(1-G56)*I56))</x:f>
        <x:v>0</x:v>
      </x:c>
      <x:c r="F56" s="19" t="n">
        <x:v>3</x:v>
      </x:c>
      <x:c r="G56" s="11" t="n">
        <x:v>0.3333</x:v>
      </x:c>
      <x:c r="H56" s="11" t="n">
        <x:v>0</x:v>
      </x:c>
      <x:c r="I56" s="11" t="n">
        <x:v>0</x:v>
      </x:c>
      <x:c r="J56" s="13" t="n">
        <x:f>IF(OR(G56=0,G56=1),"",(H56-I56)*100)</x:f>
        <x:v>0</x:v>
      </x:c>
      <x:c r="K56" s="14" t="n">
        <x:v>-26.03</x:v>
      </x:c>
      <x:c r="L56" s="15" t="n">
        <x:f>F56*G56</x:f>
        <x:v>0.9999</x:v>
      </x:c>
      <x:c r="M56" s="15" t="n">
        <x:f>F56-L56</x:f>
        <x:v>2.0000999999999998</x:v>
      </x:c>
      <x:c r="N56" s="17" t="str">
        <x:v>出现次数&lt;100；网站古代页记录；未确认先古归属（稀有度：Rare）</x:v>
      </x:c>
      <x:c r="O56" s="17" t="str">
        <x:v>https://sts2log.com/cards</x:v>
      </x:c>
      <x:c r="P56" s="17" t="str">
        <x:v>https://sts2log.com/data/game-entities.json</x:v>
      </x:c>
    </x:row>
    <x:row r="57" ht="42" customHeight="1">
      <x:c r="A57" s="2" t="str">
        <x:v>v0.111</x:v>
      </x:c>
      <x:c r="B57" s="2" t="str">
        <x:v>亡灵契约师</x:v>
      </x:c>
      <x:c r="C57" s="2" t="str">
        <x:v>未归入先古之民</x:v>
      </x:c>
      <x:c r="D57" s="2" t="str">
        <x:v>异蛇头骨</x:v>
      </x:c>
      <x:c r="E57" s="18" t="n">
        <x:f>IF(G57=0,I57,IF(G57=1,H57,G57*H57+(1-G57)*I57))</x:f>
        <x:v>0</x:v>
      </x:c>
      <x:c r="F57" s="19" t="n">
        <x:v>3</x:v>
      </x:c>
      <x:c r="G57" s="11" t="n">
        <x:v>0.3333</x:v>
      </x:c>
      <x:c r="H57" s="11" t="n">
        <x:v>0</x:v>
      </x:c>
      <x:c r="I57" s="11" t="n">
        <x:v>0</x:v>
      </x:c>
      <x:c r="J57" s="13" t="n">
        <x:f>IF(OR(G57=0,G57=1),"",(H57-I57)*100)</x:f>
        <x:v>0</x:v>
      </x:c>
      <x:c r="K57" s="14" t="n">
        <x:v>-26.03</x:v>
      </x:c>
      <x:c r="L57" s="15" t="n">
        <x:f>F57*G57</x:f>
        <x:v>0.9999</x:v>
      </x:c>
      <x:c r="M57" s="15" t="n">
        <x:f>F57-L57</x:f>
        <x:v>2.0000999999999998</x:v>
      </x:c>
      <x:c r="N57" s="17" t="str">
        <x:v>出现次数&lt;100；网站古代页记录；未确认先古归属（稀有度：Common）</x:v>
      </x:c>
      <x:c r="O57" s="17" t="str">
        <x:v>https://sts2log.com/cards</x:v>
      </x:c>
      <x:c r="P57" s="17" t="str">
        <x:v>https://sts2log.com/data/game-entities.json</x:v>
      </x:c>
    </x:row>
    <x:row r="58" ht="72" customHeight="1">
      <x:c r="A58" s="2" t="str">
        <x:v>v0.111</x:v>
      </x:c>
      <x:c r="B58" s="2" t="str">
        <x:v>储君</x:v>
      </x:c>
      <x:c r="C58" s="2" t="str">
        <x:v>未归入先古之民</x:v>
      </x:c>
      <x:c r="D58" s="2" t="str">
        <x:v>头环</x:v>
      </x:c>
      <x:c r="E58" s="18" t="n">
        <x:f>IF(G58=0,I58,IF(G58=1,H58,G58*H58+(1-G58)*I58))</x:f>
        <x:v>1</x:v>
      </x:c>
      <x:c r="F58" s="19" t="n">
        <x:v>1</x:v>
      </x:c>
      <x:c r="G58" s="11" t="n">
        <x:v>0</x:v>
      </x:c>
      <x:c r="H58" s="11"/>
      <x:c r="I58" s="11" t="n">
        <x:v>1</x:v>
      </x:c>
      <x:c r="J58" s="13" t="str">
        <x:f>IF(OR(G58=0,G58=1),"",(H58-I58)*100)</x:f>
      </x:c>
      <x:c r="K58" s="14" t="n">
        <x:v>-28.86</x:v>
      </x:c>
      <x:c r="L58" s="15" t="n">
        <x:f>F58*G58</x:f>
        <x:v>0</x:v>
      </x:c>
      <x:c r="M58" s="15" t="n">
        <x:f>F58-L58</x:f>
        <x:v>1</x:v>
      </x:c>
      <x:c r="N58" s="17" t="str">
        <x:v>出现次数&lt;100；一组占比显示为零，其胜率及选跳差留空；网站古代页记录；未确认先古归属（稀有度：None）</x:v>
      </x:c>
      <x:c r="O58" s="17" t="str">
        <x:v>https://sts2log.com/cards</x:v>
      </x:c>
      <x:c r="P58" s="17" t="str">
        <x:v>https://sts2log.com/data/game-entities.json</x:v>
      </x:c>
    </x:row>
    <x:row r="59" ht="42" customHeight="1">
      <x:c r="A59" s="2" t="str">
        <x:v>v0.111</x:v>
      </x:c>
      <x:c r="B59" s="2" t="str">
        <x:v>储君</x:v>
      </x:c>
      <x:c r="C59" s="2" t="str">
        <x:v>未归入先古之民</x:v>
      </x:c>
      <x:c r="D59" s="2" t="str">
        <x:v>送货员</x:v>
      </x:c>
      <x:c r="E59" s="18" t="n">
        <x:f>IF(G59=0,I59,IF(G59=1,H59,G59*H59+(1-G59)*I59))</x:f>
        <x:v>0</x:v>
      </x:c>
      <x:c r="F59" s="19" t="n">
        <x:v>3</x:v>
      </x:c>
      <x:c r="G59" s="11" t="n">
        <x:v>0.3333</x:v>
      </x:c>
      <x:c r="H59" s="11" t="n">
        <x:v>0</x:v>
      </x:c>
      <x:c r="I59" s="11" t="n">
        <x:v>0</x:v>
      </x:c>
      <x:c r="J59" s="13" t="n">
        <x:f>IF(OR(G59=0,G59=1),"",(H59-I59)*100)</x:f>
        <x:v>0</x:v>
      </x:c>
      <x:c r="K59" s="14" t="n">
        <x:v>-28.86</x:v>
      </x:c>
      <x:c r="L59" s="15" t="n">
        <x:f>F59*G59</x:f>
        <x:v>0.9999</x:v>
      </x:c>
      <x:c r="M59" s="15" t="n">
        <x:f>F59-L59</x:f>
        <x:v>2.0000999999999998</x:v>
      </x:c>
      <x:c r="N59" s="17" t="str">
        <x:v>出现次数&lt;100；网站古代页记录；未确认先古归属（稀有度：Rare）</x:v>
      </x:c>
      <x:c r="O59" s="17" t="str">
        <x:v>https://sts2log.com/cards</x:v>
      </x:c>
      <x:c r="P59" s="17" t="str">
        <x:v>https://sts2log.com/data/game-entities.json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c64c92c649684877"/>
  </x:tableParts>
</x:worksheet>
</file>